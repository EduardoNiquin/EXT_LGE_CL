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FINANCE\"/>
    </mc:Choice>
  </mc:AlternateContent>
  <xr:revisionPtr revIDLastSave="0" documentId="13_ncr:1_{AD4F424B-232D-4AAA-AF20-37FE3E597C1A}" xr6:coauthVersionLast="47" xr6:coauthVersionMax="47" xr10:uidLastSave="{00000000-0000-0000-0000-000000000000}"/>
  <bookViews>
    <workbookView xWindow="13960" yWindow="0" windowWidth="11730" windowHeight="15370" tabRatio="870" firstSheet="2" activeTab="2" xr2:uid="{811DF7F3-D0A9-4DAA-8D28-ADA39C01D368}"/>
  </bookViews>
  <sheets>
    <sheet name="Pivot Master1" sheetId="8" r:id="rId1"/>
    <sheet name="Master 1_BU" sheetId="4" state="hidden" r:id="rId2"/>
    <sheet name="Master 1_BU v2" sheetId="9" r:id="rId3"/>
    <sheet name="Sheet1" sheetId="12" r:id="rId4"/>
    <sheet name="Master 2_STEPS" sheetId="1" r:id="rId5"/>
    <sheet name="Sep Sales Portion" sheetId="11" r:id="rId6"/>
    <sheet name="Map" sheetId="5" r:id="rId7"/>
    <sheet name="Round" sheetId="6" r:id="rId8"/>
    <sheet name="FX" sheetId="3" r:id="rId9"/>
    <sheet name="Aug Sales Portion" sheetId="10" r:id="rId10"/>
  </sheets>
  <definedNames>
    <definedName name="_xlnm._FilterDatabase" localSheetId="8" hidden="1">FX!$X$2:$AR$36</definedName>
    <definedName name="_xlnm._FilterDatabase" localSheetId="1" hidden="1">'Master 1_BU'!$B$4:$AF$388</definedName>
    <definedName name="_xlnm._FilterDatabase" localSheetId="2" hidden="1">'Master 1_BU v2'!$B$4:$AF$628</definedName>
  </definedNames>
  <calcPr calcId="191029" concurrentManualCount="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9" i="11" l="1"/>
  <c r="V48" i="11"/>
  <c r="V47" i="11"/>
  <c r="V46" i="11"/>
  <c r="V45" i="11"/>
  <c r="V44" i="11"/>
  <c r="V43" i="11"/>
  <c r="V42" i="11"/>
  <c r="V41" i="11"/>
  <c r="V40" i="11"/>
  <c r="V39" i="11"/>
  <c r="Z340" i="9"/>
  <c r="U49" i="11" l="1"/>
  <c r="U48" i="11"/>
  <c r="U47" i="11"/>
  <c r="U46" i="11"/>
  <c r="U45" i="11"/>
  <c r="U44" i="11"/>
  <c r="U43" i="11"/>
  <c r="U42" i="11"/>
  <c r="U41" i="11"/>
  <c r="U40" i="11"/>
  <c r="U39" i="11"/>
  <c r="S49" i="11"/>
  <c r="S48" i="11"/>
  <c r="S47" i="11"/>
  <c r="S46" i="11"/>
  <c r="S45" i="11"/>
  <c r="S44" i="11"/>
  <c r="S43" i="11"/>
  <c r="S42" i="11"/>
  <c r="S41" i="11"/>
  <c r="S40" i="11"/>
  <c r="S39" i="11"/>
  <c r="O620" i="9"/>
  <c r="T49" i="11"/>
  <c r="T48" i="11"/>
  <c r="T47" i="11"/>
  <c r="T46" i="11"/>
  <c r="T45" i="11"/>
  <c r="T44" i="11"/>
  <c r="T43" i="11"/>
  <c r="T42" i="11"/>
  <c r="T41" i="11"/>
  <c r="T40" i="11"/>
  <c r="T39" i="11"/>
  <c r="Z628" i="9"/>
  <c r="AB628" i="9" s="1"/>
  <c r="Y628" i="9"/>
  <c r="W628" i="9"/>
  <c r="S628" i="9"/>
  <c r="M628" i="9"/>
  <c r="K628" i="9"/>
  <c r="J628" i="9"/>
  <c r="AB627" i="9"/>
  <c r="Y627" i="9"/>
  <c r="AD627" i="9" s="1"/>
  <c r="W627" i="9"/>
  <c r="S627" i="9"/>
  <c r="AC627" i="9" s="1"/>
  <c r="AE627" i="9" s="1"/>
  <c r="Q627" i="9"/>
  <c r="O627" i="9"/>
  <c r="N627" i="9"/>
  <c r="K627" i="9"/>
  <c r="J627" i="9"/>
  <c r="AB626" i="9"/>
  <c r="Y626" i="9"/>
  <c r="AA626" i="9" s="1"/>
  <c r="W626" i="9"/>
  <c r="S626" i="9"/>
  <c r="P626" i="9" s="1"/>
  <c r="R626" i="9" s="1"/>
  <c r="Q626" i="9"/>
  <c r="O626" i="9"/>
  <c r="N626" i="9"/>
  <c r="K626" i="9"/>
  <c r="J626" i="9"/>
  <c r="AB625" i="9"/>
  <c r="Y625" i="9"/>
  <c r="AA625" i="9" s="1"/>
  <c r="W625" i="9"/>
  <c r="S625" i="9"/>
  <c r="AC625" i="9" s="1"/>
  <c r="AE625" i="9" s="1"/>
  <c r="Q625" i="9"/>
  <c r="O625" i="9"/>
  <c r="N625" i="9"/>
  <c r="K625" i="9"/>
  <c r="J625" i="9"/>
  <c r="AB624" i="9"/>
  <c r="Y624" i="9"/>
  <c r="AD624" i="9" s="1"/>
  <c r="W624" i="9"/>
  <c r="S624" i="9"/>
  <c r="P624" i="9" s="1"/>
  <c r="R624" i="9" s="1"/>
  <c r="Q624" i="9"/>
  <c r="O624" i="9"/>
  <c r="N624" i="9"/>
  <c r="K624" i="9"/>
  <c r="J624" i="9"/>
  <c r="AB623" i="9"/>
  <c r="Y623" i="9"/>
  <c r="AA623" i="9" s="1"/>
  <c r="W623" i="9"/>
  <c r="S623" i="9"/>
  <c r="AC623" i="9" s="1"/>
  <c r="AE623" i="9" s="1"/>
  <c r="Q623" i="9"/>
  <c r="O623" i="9"/>
  <c r="N623" i="9"/>
  <c r="K623" i="9"/>
  <c r="J623" i="9"/>
  <c r="AB622" i="9"/>
  <c r="Y622" i="9"/>
  <c r="AD622" i="9" s="1"/>
  <c r="W622" i="9"/>
  <c r="S622" i="9"/>
  <c r="P622" i="9" s="1"/>
  <c r="R622" i="9" s="1"/>
  <c r="Q622" i="9"/>
  <c r="N622" i="9"/>
  <c r="K622" i="9"/>
  <c r="J622" i="9"/>
  <c r="AB621" i="9"/>
  <c r="Y621" i="9"/>
  <c r="AD621" i="9" s="1"/>
  <c r="W621" i="9"/>
  <c r="S621" i="9"/>
  <c r="AC621" i="9" s="1"/>
  <c r="AE621" i="9" s="1"/>
  <c r="Q621" i="9"/>
  <c r="O621" i="9"/>
  <c r="N621" i="9"/>
  <c r="K621" i="9"/>
  <c r="J621" i="9"/>
  <c r="AB620" i="9"/>
  <c r="Y620" i="9"/>
  <c r="AD620" i="9" s="1"/>
  <c r="W620" i="9"/>
  <c r="S620" i="9"/>
  <c r="AC620" i="9" s="1"/>
  <c r="AE620" i="9" s="1"/>
  <c r="Q620" i="9"/>
  <c r="N620" i="9"/>
  <c r="K620" i="9"/>
  <c r="J620" i="9"/>
  <c r="AB619" i="9"/>
  <c r="Y619" i="9"/>
  <c r="AD619" i="9" s="1"/>
  <c r="W619" i="9"/>
  <c r="S619" i="9"/>
  <c r="AC619" i="9" s="1"/>
  <c r="AE619" i="9" s="1"/>
  <c r="Q619" i="9"/>
  <c r="O619" i="9"/>
  <c r="N619" i="9"/>
  <c r="K619" i="9"/>
  <c r="J619" i="9"/>
  <c r="AB618" i="9"/>
  <c r="Y618" i="9"/>
  <c r="AA618" i="9" s="1"/>
  <c r="W618" i="9"/>
  <c r="S618" i="9"/>
  <c r="AC618" i="9" s="1"/>
  <c r="AE618" i="9" s="1"/>
  <c r="Q618" i="9"/>
  <c r="O618" i="9"/>
  <c r="N618" i="9"/>
  <c r="K618" i="9"/>
  <c r="J618" i="9"/>
  <c r="AB617" i="9"/>
  <c r="Y617" i="9"/>
  <c r="AA617" i="9" s="1"/>
  <c r="W617" i="9"/>
  <c r="S617" i="9"/>
  <c r="P617" i="9" s="1"/>
  <c r="R617" i="9" s="1"/>
  <c r="Q617" i="9"/>
  <c r="O617" i="9"/>
  <c r="N617" i="9"/>
  <c r="K617" i="9"/>
  <c r="J617" i="9"/>
  <c r="Z616" i="9"/>
  <c r="Y616" i="9"/>
  <c r="W616" i="9"/>
  <c r="S616" i="9"/>
  <c r="M616" i="9"/>
  <c r="N616" i="9" s="1"/>
  <c r="K616" i="9"/>
  <c r="J616" i="9"/>
  <c r="AB615" i="9"/>
  <c r="Y615" i="9"/>
  <c r="AD615" i="9" s="1"/>
  <c r="W615" i="9"/>
  <c r="S615" i="9"/>
  <c r="AC615" i="9" s="1"/>
  <c r="AE615" i="9" s="1"/>
  <c r="Q615" i="9"/>
  <c r="O615" i="9"/>
  <c r="N615" i="9"/>
  <c r="K615" i="9"/>
  <c r="J615" i="9"/>
  <c r="AB614" i="9"/>
  <c r="Y614" i="9"/>
  <c r="AD614" i="9" s="1"/>
  <c r="W614" i="9"/>
  <c r="S614" i="9"/>
  <c r="AC614" i="9" s="1"/>
  <c r="AE614" i="9" s="1"/>
  <c r="Q614" i="9"/>
  <c r="O614" i="9"/>
  <c r="N614" i="9"/>
  <c r="K614" i="9"/>
  <c r="J614" i="9"/>
  <c r="AB613" i="9"/>
  <c r="Y613" i="9"/>
  <c r="AA613" i="9" s="1"/>
  <c r="W613" i="9"/>
  <c r="S613" i="9"/>
  <c r="AC613" i="9" s="1"/>
  <c r="AE613" i="9" s="1"/>
  <c r="Q613" i="9"/>
  <c r="O613" i="9"/>
  <c r="N613" i="9"/>
  <c r="K613" i="9"/>
  <c r="J613" i="9"/>
  <c r="AB612" i="9"/>
  <c r="Y612" i="9"/>
  <c r="AA612" i="9" s="1"/>
  <c r="W612" i="9"/>
  <c r="S612" i="9"/>
  <c r="P612" i="9" s="1"/>
  <c r="R612" i="9" s="1"/>
  <c r="Q612" i="9"/>
  <c r="O612" i="9"/>
  <c r="N612" i="9"/>
  <c r="K612" i="9"/>
  <c r="J612" i="9"/>
  <c r="AB611" i="9"/>
  <c r="Y611" i="9"/>
  <c r="AA611" i="9" s="1"/>
  <c r="W611" i="9"/>
  <c r="S611" i="9"/>
  <c r="P611" i="9" s="1"/>
  <c r="R611" i="9" s="1"/>
  <c r="Q611" i="9"/>
  <c r="O611" i="9"/>
  <c r="N611" i="9"/>
  <c r="K611" i="9"/>
  <c r="J611" i="9"/>
  <c r="AB610" i="9"/>
  <c r="Y610" i="9"/>
  <c r="AA610" i="9" s="1"/>
  <c r="W610" i="9"/>
  <c r="S610" i="9"/>
  <c r="AC610" i="9" s="1"/>
  <c r="AE610" i="9" s="1"/>
  <c r="Q610" i="9"/>
  <c r="O610" i="9"/>
  <c r="N610" i="9"/>
  <c r="K610" i="9"/>
  <c r="J610" i="9"/>
  <c r="AB609" i="9"/>
  <c r="Y609" i="9"/>
  <c r="AD609" i="9" s="1"/>
  <c r="W609" i="9"/>
  <c r="S609" i="9"/>
  <c r="AC609" i="9" s="1"/>
  <c r="AE609" i="9" s="1"/>
  <c r="Q609" i="9"/>
  <c r="O609" i="9"/>
  <c r="N609" i="9"/>
  <c r="K609" i="9"/>
  <c r="J609" i="9"/>
  <c r="AB608" i="9"/>
  <c r="Y608" i="9"/>
  <c r="AD608" i="9" s="1"/>
  <c r="W608" i="9"/>
  <c r="S608" i="9"/>
  <c r="P608" i="9" s="1"/>
  <c r="R608" i="9" s="1"/>
  <c r="Q608" i="9"/>
  <c r="O608" i="9"/>
  <c r="N608" i="9"/>
  <c r="K608" i="9"/>
  <c r="J608" i="9"/>
  <c r="AB607" i="9"/>
  <c r="Y607" i="9"/>
  <c r="AD607" i="9" s="1"/>
  <c r="W607" i="9"/>
  <c r="S607" i="9"/>
  <c r="AC607" i="9" s="1"/>
  <c r="AE607" i="9" s="1"/>
  <c r="Q607" i="9"/>
  <c r="O607" i="9"/>
  <c r="N607" i="9"/>
  <c r="K607" i="9"/>
  <c r="J607" i="9"/>
  <c r="AB606" i="9"/>
  <c r="Y606" i="9"/>
  <c r="AD606" i="9" s="1"/>
  <c r="W606" i="9"/>
  <c r="S606" i="9"/>
  <c r="AC606" i="9" s="1"/>
  <c r="AE606" i="9" s="1"/>
  <c r="Q606" i="9"/>
  <c r="O606" i="9"/>
  <c r="N606" i="9"/>
  <c r="K606" i="9"/>
  <c r="J606" i="9"/>
  <c r="AB605" i="9"/>
  <c r="Y605" i="9"/>
  <c r="AD605" i="9" s="1"/>
  <c r="W605" i="9"/>
  <c r="S605" i="9"/>
  <c r="AC605" i="9" s="1"/>
  <c r="AE605" i="9" s="1"/>
  <c r="Q605" i="9"/>
  <c r="O605" i="9"/>
  <c r="N605" i="9"/>
  <c r="K605" i="9"/>
  <c r="J605" i="9"/>
  <c r="R49" i="11"/>
  <c r="R48" i="11"/>
  <c r="R47" i="11"/>
  <c r="R46" i="11"/>
  <c r="R45" i="11"/>
  <c r="R44" i="11"/>
  <c r="R43" i="11"/>
  <c r="R42" i="11"/>
  <c r="R41" i="11"/>
  <c r="R40" i="11"/>
  <c r="R39" i="11"/>
  <c r="Q49" i="11"/>
  <c r="P49" i="11"/>
  <c r="O49" i="11"/>
  <c r="Q48" i="11"/>
  <c r="P48" i="11"/>
  <c r="O48" i="11"/>
  <c r="Q47" i="11"/>
  <c r="P47" i="11"/>
  <c r="O47" i="11"/>
  <c r="Q46" i="11"/>
  <c r="P46" i="11"/>
  <c r="O46" i="11"/>
  <c r="Q45" i="11"/>
  <c r="P45" i="11"/>
  <c r="O45" i="11"/>
  <c r="Q44" i="11"/>
  <c r="P44" i="11"/>
  <c r="O44" i="11"/>
  <c r="Q43" i="11"/>
  <c r="P43" i="11"/>
  <c r="O43" i="11"/>
  <c r="Q42" i="11"/>
  <c r="P42" i="11"/>
  <c r="O42" i="11"/>
  <c r="Q41" i="11"/>
  <c r="P41" i="11"/>
  <c r="O41" i="11"/>
  <c r="Q40" i="11"/>
  <c r="P40" i="11"/>
  <c r="O40" i="11"/>
  <c r="Q39" i="11"/>
  <c r="P39" i="11"/>
  <c r="O39" i="11"/>
  <c r="N39" i="11"/>
  <c r="M39" i="11"/>
  <c r="Z316" i="9"/>
  <c r="Z304" i="9"/>
  <c r="Z604" i="9"/>
  <c r="AB604" i="9" s="1"/>
  <c r="Y604" i="9"/>
  <c r="W604" i="9"/>
  <c r="S604" i="9"/>
  <c r="M604" i="9"/>
  <c r="K604" i="9"/>
  <c r="J604" i="9"/>
  <c r="AB603" i="9"/>
  <c r="Y603" i="9"/>
  <c r="AA603" i="9" s="1"/>
  <c r="W603" i="9"/>
  <c r="S603" i="9"/>
  <c r="AC603" i="9" s="1"/>
  <c r="AE603" i="9" s="1"/>
  <c r="Q603" i="9"/>
  <c r="O603" i="9"/>
  <c r="N603" i="9"/>
  <c r="K603" i="9"/>
  <c r="J603" i="9"/>
  <c r="AB602" i="9"/>
  <c r="Y602" i="9"/>
  <c r="AD602" i="9" s="1"/>
  <c r="W602" i="9"/>
  <c r="S602" i="9"/>
  <c r="AC602" i="9" s="1"/>
  <c r="AE602" i="9" s="1"/>
  <c r="Q602" i="9"/>
  <c r="O602" i="9"/>
  <c r="N602" i="9"/>
  <c r="K602" i="9"/>
  <c r="J602" i="9"/>
  <c r="AB601" i="9"/>
  <c r="Y601" i="9"/>
  <c r="AA601" i="9" s="1"/>
  <c r="W601" i="9"/>
  <c r="S601" i="9"/>
  <c r="P601" i="9" s="1"/>
  <c r="R601" i="9" s="1"/>
  <c r="Q601" i="9"/>
  <c r="O601" i="9"/>
  <c r="N601" i="9"/>
  <c r="K601" i="9"/>
  <c r="J601" i="9"/>
  <c r="AB600" i="9"/>
  <c r="Y600" i="9"/>
  <c r="AA600" i="9" s="1"/>
  <c r="W600" i="9"/>
  <c r="S600" i="9"/>
  <c r="P600" i="9" s="1"/>
  <c r="R600" i="9" s="1"/>
  <c r="Q600" i="9"/>
  <c r="O600" i="9"/>
  <c r="N600" i="9"/>
  <c r="K600" i="9"/>
  <c r="J600" i="9"/>
  <c r="AB599" i="9"/>
  <c r="Y599" i="9"/>
  <c r="AA599" i="9" s="1"/>
  <c r="W599" i="9"/>
  <c r="S599" i="9"/>
  <c r="P599" i="9" s="1"/>
  <c r="R599" i="9" s="1"/>
  <c r="Q599" i="9"/>
  <c r="O599" i="9"/>
  <c r="N599" i="9"/>
  <c r="K599" i="9"/>
  <c r="J599" i="9"/>
  <c r="AB598" i="9"/>
  <c r="Y598" i="9"/>
  <c r="AA598" i="9" s="1"/>
  <c r="W598" i="9"/>
  <c r="S598" i="9"/>
  <c r="AC598" i="9" s="1"/>
  <c r="AE598" i="9" s="1"/>
  <c r="Q598" i="9"/>
  <c r="O598" i="9"/>
  <c r="N598" i="9"/>
  <c r="K598" i="9"/>
  <c r="J598" i="9"/>
  <c r="AB597" i="9"/>
  <c r="Y597" i="9"/>
  <c r="AD597" i="9" s="1"/>
  <c r="W597" i="9"/>
  <c r="S597" i="9"/>
  <c r="AC597" i="9" s="1"/>
  <c r="AE597" i="9" s="1"/>
  <c r="Q597" i="9"/>
  <c r="O597" i="9"/>
  <c r="N597" i="9"/>
  <c r="K597" i="9"/>
  <c r="J597" i="9"/>
  <c r="AB596" i="9"/>
  <c r="Y596" i="9"/>
  <c r="AD596" i="9" s="1"/>
  <c r="W596" i="9"/>
  <c r="S596" i="9"/>
  <c r="AC596" i="9" s="1"/>
  <c r="AE596" i="9" s="1"/>
  <c r="Q596" i="9"/>
  <c r="O596" i="9"/>
  <c r="N596" i="9"/>
  <c r="K596" i="9"/>
  <c r="J596" i="9"/>
  <c r="AB595" i="9"/>
  <c r="Y595" i="9"/>
  <c r="AA595" i="9" s="1"/>
  <c r="W595" i="9"/>
  <c r="S595" i="9"/>
  <c r="AC595" i="9" s="1"/>
  <c r="AE595" i="9" s="1"/>
  <c r="Q595" i="9"/>
  <c r="O595" i="9"/>
  <c r="N595" i="9"/>
  <c r="K595" i="9"/>
  <c r="J595" i="9"/>
  <c r="AB594" i="9"/>
  <c r="Y594" i="9"/>
  <c r="AA594" i="9" s="1"/>
  <c r="W594" i="9"/>
  <c r="S594" i="9"/>
  <c r="AC594" i="9" s="1"/>
  <c r="AE594" i="9" s="1"/>
  <c r="Q594" i="9"/>
  <c r="O594" i="9"/>
  <c r="N594" i="9"/>
  <c r="K594" i="9"/>
  <c r="J594" i="9"/>
  <c r="AB593" i="9"/>
  <c r="Y593" i="9"/>
  <c r="AA593" i="9" s="1"/>
  <c r="W593" i="9"/>
  <c r="S593" i="9"/>
  <c r="AC593" i="9" s="1"/>
  <c r="AE593" i="9" s="1"/>
  <c r="Q593" i="9"/>
  <c r="O593" i="9"/>
  <c r="N593" i="9"/>
  <c r="K593" i="9"/>
  <c r="J593" i="9"/>
  <c r="Z172" i="9"/>
  <c r="Z160" i="9"/>
  <c r="AA628" i="9" l="1"/>
  <c r="AC622" i="9"/>
  <c r="AE622" i="9" s="1"/>
  <c r="P618" i="9"/>
  <c r="R618" i="9" s="1"/>
  <c r="AD625" i="9"/>
  <c r="P625" i="9"/>
  <c r="R625" i="9" s="1"/>
  <c r="AC617" i="9"/>
  <c r="AE617" i="9" s="1"/>
  <c r="AC626" i="9"/>
  <c r="AE626" i="9" s="1"/>
  <c r="AA627" i="9"/>
  <c r="P623" i="9"/>
  <c r="R623" i="9" s="1"/>
  <c r="AC624" i="9"/>
  <c r="AE624" i="9" s="1"/>
  <c r="O622" i="9"/>
  <c r="AA624" i="9"/>
  <c r="P628" i="9"/>
  <c r="Q628" i="9" s="1"/>
  <c r="AD618" i="9"/>
  <c r="AA619" i="9"/>
  <c r="AD626" i="9"/>
  <c r="AD617" i="9"/>
  <c r="AC628" i="9"/>
  <c r="AE628" i="9" s="1"/>
  <c r="N628" i="9"/>
  <c r="AA622" i="9"/>
  <c r="AA621" i="9"/>
  <c r="AA620" i="9"/>
  <c r="AD623" i="9"/>
  <c r="P620" i="9"/>
  <c r="R620" i="9" s="1"/>
  <c r="O628" i="9"/>
  <c r="P621" i="9"/>
  <c r="R621" i="9" s="1"/>
  <c r="P619" i="9"/>
  <c r="R619" i="9" s="1"/>
  <c r="P627" i="9"/>
  <c r="R627" i="9" s="1"/>
  <c r="AC612" i="9"/>
  <c r="AE612" i="9" s="1"/>
  <c r="AD612" i="9"/>
  <c r="AA607" i="9"/>
  <c r="AD610" i="9"/>
  <c r="AA605" i="9"/>
  <c r="P616" i="9"/>
  <c r="R616" i="9" s="1"/>
  <c r="AD613" i="9"/>
  <c r="AC608" i="9"/>
  <c r="AE608" i="9" s="1"/>
  <c r="AC611" i="9"/>
  <c r="AE611" i="9" s="1"/>
  <c r="AA615" i="9"/>
  <c r="AD595" i="9"/>
  <c r="AC616" i="9"/>
  <c r="AE616" i="9" s="1"/>
  <c r="AA609" i="9"/>
  <c r="AA608" i="9"/>
  <c r="P610" i="9"/>
  <c r="R610" i="9" s="1"/>
  <c r="AD611" i="9"/>
  <c r="P609" i="9"/>
  <c r="R609" i="9" s="1"/>
  <c r="AA606" i="9"/>
  <c r="AA614" i="9"/>
  <c r="O616" i="9"/>
  <c r="AA616" i="9"/>
  <c r="P607" i="9"/>
  <c r="R607" i="9" s="1"/>
  <c r="P615" i="9"/>
  <c r="R615" i="9" s="1"/>
  <c r="AB616" i="9"/>
  <c r="P606" i="9"/>
  <c r="R606" i="9" s="1"/>
  <c r="P614" i="9"/>
  <c r="R614" i="9" s="1"/>
  <c r="P605" i="9"/>
  <c r="R605" i="9" s="1"/>
  <c r="P613" i="9"/>
  <c r="R613" i="9" s="1"/>
  <c r="P593" i="9"/>
  <c r="R593" i="9" s="1"/>
  <c r="AD603" i="9"/>
  <c r="AD593" i="9"/>
  <c r="AD600" i="9"/>
  <c r="AC599" i="9"/>
  <c r="AE599" i="9" s="1"/>
  <c r="P598" i="9"/>
  <c r="R598" i="9" s="1"/>
  <c r="P594" i="9"/>
  <c r="R594" i="9" s="1"/>
  <c r="AC601" i="9"/>
  <c r="AE601" i="9" s="1"/>
  <c r="AD601" i="9"/>
  <c r="P604" i="9"/>
  <c r="R604" i="9" s="1"/>
  <c r="AD594" i="9"/>
  <c r="N604" i="9"/>
  <c r="AC600" i="9"/>
  <c r="AE600" i="9" s="1"/>
  <c r="AC604" i="9"/>
  <c r="AE604" i="9" s="1"/>
  <c r="AA604" i="9"/>
  <c r="AA597" i="9"/>
  <c r="AA596" i="9"/>
  <c r="AD599" i="9"/>
  <c r="AD598" i="9"/>
  <c r="P597" i="9"/>
  <c r="R597" i="9" s="1"/>
  <c r="P596" i="9"/>
  <c r="R596" i="9" s="1"/>
  <c r="AA602" i="9"/>
  <c r="O604" i="9"/>
  <c r="P595" i="9"/>
  <c r="R595" i="9" s="1"/>
  <c r="P603" i="9"/>
  <c r="R603" i="9" s="1"/>
  <c r="P602" i="9"/>
  <c r="R602" i="9" s="1"/>
  <c r="R628" i="9" l="1"/>
  <c r="AD628" i="9"/>
  <c r="Q616" i="9"/>
  <c r="AD616" i="9"/>
  <c r="Q604" i="9"/>
  <c r="AD604" i="9"/>
  <c r="AG471" i="9" l="1"/>
  <c r="AG470" i="9"/>
  <c r="AG469" i="9"/>
  <c r="AG468" i="9"/>
  <c r="AG467" i="9"/>
  <c r="AG466" i="9"/>
  <c r="AG465" i="9"/>
  <c r="AG464" i="9"/>
  <c r="AG463" i="9"/>
  <c r="AG462" i="9"/>
  <c r="AG461" i="9"/>
  <c r="AB592" i="9"/>
  <c r="Y592" i="9"/>
  <c r="W592" i="9"/>
  <c r="S592" i="9"/>
  <c r="AC592" i="9" s="1"/>
  <c r="AE592" i="9" s="1"/>
  <c r="M592" i="9"/>
  <c r="K592" i="9"/>
  <c r="J592" i="9"/>
  <c r="AB591" i="9"/>
  <c r="Y591" i="9"/>
  <c r="AA591" i="9" s="1"/>
  <c r="W591" i="9"/>
  <c r="S591" i="9"/>
  <c r="P591" i="9" s="1"/>
  <c r="R591" i="9" s="1"/>
  <c r="Q591" i="9"/>
  <c r="O591" i="9"/>
  <c r="N591" i="9"/>
  <c r="K591" i="9"/>
  <c r="J591" i="9"/>
  <c r="AB590" i="9"/>
  <c r="Y590" i="9"/>
  <c r="W590" i="9"/>
  <c r="S590" i="9"/>
  <c r="P590" i="9" s="1"/>
  <c r="R590" i="9" s="1"/>
  <c r="Q590" i="9"/>
  <c r="O590" i="9"/>
  <c r="N590" i="9"/>
  <c r="K590" i="9"/>
  <c r="J590" i="9"/>
  <c r="AB589" i="9"/>
  <c r="Y589" i="9"/>
  <c r="W589" i="9"/>
  <c r="S589" i="9"/>
  <c r="AC589" i="9" s="1"/>
  <c r="AE589" i="9" s="1"/>
  <c r="Q589" i="9"/>
  <c r="O589" i="9"/>
  <c r="N589" i="9"/>
  <c r="K589" i="9"/>
  <c r="J589" i="9"/>
  <c r="AB588" i="9"/>
  <c r="Y588" i="9"/>
  <c r="W588" i="9"/>
  <c r="S588" i="9"/>
  <c r="Q588" i="9"/>
  <c r="O588" i="9"/>
  <c r="N588" i="9"/>
  <c r="K588" i="9"/>
  <c r="J588" i="9"/>
  <c r="AB587" i="9"/>
  <c r="Y587" i="9"/>
  <c r="AA587" i="9" s="1"/>
  <c r="W587" i="9"/>
  <c r="S587" i="9"/>
  <c r="P587" i="9" s="1"/>
  <c r="R587" i="9" s="1"/>
  <c r="Q587" i="9"/>
  <c r="O587" i="9"/>
  <c r="N587" i="9"/>
  <c r="K587" i="9"/>
  <c r="J587" i="9"/>
  <c r="AB586" i="9"/>
  <c r="Y586" i="9"/>
  <c r="AD586" i="9" s="1"/>
  <c r="W586" i="9"/>
  <c r="S586" i="9"/>
  <c r="P586" i="9" s="1"/>
  <c r="R586" i="9" s="1"/>
  <c r="Q586" i="9"/>
  <c r="O586" i="9"/>
  <c r="N586" i="9"/>
  <c r="K586" i="9"/>
  <c r="J586" i="9"/>
  <c r="AB585" i="9"/>
  <c r="Y585" i="9"/>
  <c r="AA585" i="9" s="1"/>
  <c r="W585" i="9"/>
  <c r="S585" i="9"/>
  <c r="Q585" i="9"/>
  <c r="O585" i="9"/>
  <c r="N585" i="9"/>
  <c r="K585" i="9"/>
  <c r="J585" i="9"/>
  <c r="AB584" i="9"/>
  <c r="Y584" i="9"/>
  <c r="W584" i="9"/>
  <c r="S584" i="9"/>
  <c r="AC584" i="9" s="1"/>
  <c r="AE584" i="9" s="1"/>
  <c r="Q584" i="9"/>
  <c r="O584" i="9"/>
  <c r="N584" i="9"/>
  <c r="K584" i="9"/>
  <c r="J584" i="9"/>
  <c r="AB583" i="9"/>
  <c r="Y583" i="9"/>
  <c r="AD583" i="9" s="1"/>
  <c r="W583" i="9"/>
  <c r="S583" i="9"/>
  <c r="P583" i="9" s="1"/>
  <c r="R583" i="9" s="1"/>
  <c r="Q583" i="9"/>
  <c r="O583" i="9"/>
  <c r="N583" i="9"/>
  <c r="K583" i="9"/>
  <c r="J583" i="9"/>
  <c r="AB582" i="9"/>
  <c r="Y582" i="9"/>
  <c r="W582" i="9"/>
  <c r="S582" i="9"/>
  <c r="P582" i="9" s="1"/>
  <c r="R582" i="9" s="1"/>
  <c r="Q582" i="9"/>
  <c r="O582" i="9"/>
  <c r="N582" i="9"/>
  <c r="K582" i="9"/>
  <c r="J582" i="9"/>
  <c r="AB581" i="9"/>
  <c r="Y581" i="9"/>
  <c r="AD581" i="9" s="1"/>
  <c r="W581" i="9"/>
  <c r="S581" i="9"/>
  <c r="Q581" i="9"/>
  <c r="O581" i="9"/>
  <c r="N581" i="9"/>
  <c r="K581" i="9"/>
  <c r="J581" i="9"/>
  <c r="AB580" i="9"/>
  <c r="Y580" i="9"/>
  <c r="W580" i="9"/>
  <c r="S580" i="9"/>
  <c r="AC580" i="9" s="1"/>
  <c r="AE580" i="9" s="1"/>
  <c r="M580" i="9"/>
  <c r="N580" i="9" s="1"/>
  <c r="K580" i="9"/>
  <c r="J580" i="9"/>
  <c r="AB579" i="9"/>
  <c r="Y579" i="9"/>
  <c r="AD579" i="9" s="1"/>
  <c r="W579" i="9"/>
  <c r="S579" i="9"/>
  <c r="AC579" i="9" s="1"/>
  <c r="AE579" i="9" s="1"/>
  <c r="Q579" i="9"/>
  <c r="O579" i="9"/>
  <c r="N579" i="9"/>
  <c r="K579" i="9"/>
  <c r="J579" i="9"/>
  <c r="AB578" i="9"/>
  <c r="Y578" i="9"/>
  <c r="AD578" i="9" s="1"/>
  <c r="W578" i="9"/>
  <c r="S578" i="9"/>
  <c r="Q578" i="9"/>
  <c r="O578" i="9"/>
  <c r="N578" i="9"/>
  <c r="K578" i="9"/>
  <c r="J578" i="9"/>
  <c r="AB577" i="9"/>
  <c r="Y577" i="9"/>
  <c r="AA577" i="9" s="1"/>
  <c r="W577" i="9"/>
  <c r="S577" i="9"/>
  <c r="P577" i="9" s="1"/>
  <c r="R577" i="9" s="1"/>
  <c r="Q577" i="9"/>
  <c r="O577" i="9"/>
  <c r="N577" i="9"/>
  <c r="K577" i="9"/>
  <c r="J577" i="9"/>
  <c r="AB576" i="9"/>
  <c r="Y576" i="9"/>
  <c r="W576" i="9"/>
  <c r="S576" i="9"/>
  <c r="Q576" i="9"/>
  <c r="O576" i="9"/>
  <c r="N576" i="9"/>
  <c r="K576" i="9"/>
  <c r="J576" i="9"/>
  <c r="AB575" i="9"/>
  <c r="Y575" i="9"/>
  <c r="W575" i="9"/>
  <c r="S575" i="9"/>
  <c r="Q575" i="9"/>
  <c r="O575" i="9"/>
  <c r="N575" i="9"/>
  <c r="K575" i="9"/>
  <c r="J575" i="9"/>
  <c r="AB574" i="9"/>
  <c r="Y574" i="9"/>
  <c r="W574" i="9"/>
  <c r="S574" i="9"/>
  <c r="Q574" i="9"/>
  <c r="O574" i="9"/>
  <c r="N574" i="9"/>
  <c r="K574" i="9"/>
  <c r="J574" i="9"/>
  <c r="AB573" i="9"/>
  <c r="Y573" i="9"/>
  <c r="W573" i="9"/>
  <c r="S573" i="9"/>
  <c r="Q573" i="9"/>
  <c r="O573" i="9"/>
  <c r="N573" i="9"/>
  <c r="K573" i="9"/>
  <c r="J573" i="9"/>
  <c r="AB572" i="9"/>
  <c r="Y572" i="9"/>
  <c r="W572" i="9"/>
  <c r="S572" i="9"/>
  <c r="Q572" i="9"/>
  <c r="O572" i="9"/>
  <c r="N572" i="9"/>
  <c r="K572" i="9"/>
  <c r="J572" i="9"/>
  <c r="AB571" i="9"/>
  <c r="Y571" i="9"/>
  <c r="AA571" i="9" s="1"/>
  <c r="W571" i="9"/>
  <c r="S571" i="9"/>
  <c r="AC571" i="9" s="1"/>
  <c r="AE571" i="9" s="1"/>
  <c r="Q571" i="9"/>
  <c r="O571" i="9"/>
  <c r="N571" i="9"/>
  <c r="K571" i="9"/>
  <c r="J571" i="9"/>
  <c r="AB570" i="9"/>
  <c r="Y570" i="9"/>
  <c r="W570" i="9"/>
  <c r="S570" i="9"/>
  <c r="Q570" i="9"/>
  <c r="O570" i="9"/>
  <c r="N570" i="9"/>
  <c r="K570" i="9"/>
  <c r="J570" i="9"/>
  <c r="AB569" i="9"/>
  <c r="Y569" i="9"/>
  <c r="AA569" i="9" s="1"/>
  <c r="W569" i="9"/>
  <c r="S569" i="9"/>
  <c r="AC569" i="9" s="1"/>
  <c r="AE569" i="9" s="1"/>
  <c r="Q569" i="9"/>
  <c r="O569" i="9"/>
  <c r="N569" i="9"/>
  <c r="K569" i="9"/>
  <c r="J569" i="9"/>
  <c r="AB568" i="9"/>
  <c r="Y568" i="9"/>
  <c r="AA568" i="9" s="1"/>
  <c r="W568" i="9"/>
  <c r="S568" i="9"/>
  <c r="M568" i="9"/>
  <c r="N568" i="9" s="1"/>
  <c r="K568" i="9"/>
  <c r="J568" i="9"/>
  <c r="AB567" i="9"/>
  <c r="Y567" i="9"/>
  <c r="W567" i="9"/>
  <c r="S567" i="9"/>
  <c r="Q567" i="9"/>
  <c r="O567" i="9"/>
  <c r="N567" i="9"/>
  <c r="K567" i="9"/>
  <c r="J567" i="9"/>
  <c r="AB566" i="9"/>
  <c r="Y566" i="9"/>
  <c r="W566" i="9"/>
  <c r="S566" i="9"/>
  <c r="P566" i="9" s="1"/>
  <c r="R566" i="9" s="1"/>
  <c r="Q566" i="9"/>
  <c r="O566" i="9"/>
  <c r="N566" i="9"/>
  <c r="K566" i="9"/>
  <c r="J566" i="9"/>
  <c r="AB565" i="9"/>
  <c r="Y565" i="9"/>
  <c r="W565" i="9"/>
  <c r="S565" i="9"/>
  <c r="AC565" i="9" s="1"/>
  <c r="AE565" i="9" s="1"/>
  <c r="Q565" i="9"/>
  <c r="O565" i="9"/>
  <c r="N565" i="9"/>
  <c r="K565" i="9"/>
  <c r="J565" i="9"/>
  <c r="AB564" i="9"/>
  <c r="Y564" i="9"/>
  <c r="AA564" i="9" s="1"/>
  <c r="W564" i="9"/>
  <c r="S564" i="9"/>
  <c r="AC564" i="9" s="1"/>
  <c r="AE564" i="9" s="1"/>
  <c r="Q564" i="9"/>
  <c r="O564" i="9"/>
  <c r="N564" i="9"/>
  <c r="K564" i="9"/>
  <c r="J564" i="9"/>
  <c r="AB563" i="9"/>
  <c r="Y563" i="9"/>
  <c r="AD563" i="9" s="1"/>
  <c r="W563" i="9"/>
  <c r="S563" i="9"/>
  <c r="AC563" i="9" s="1"/>
  <c r="AE563" i="9" s="1"/>
  <c r="Q563" i="9"/>
  <c r="O563" i="9"/>
  <c r="N563" i="9"/>
  <c r="K563" i="9"/>
  <c r="J563" i="9"/>
  <c r="AB562" i="9"/>
  <c r="Y562" i="9"/>
  <c r="AA562" i="9" s="1"/>
  <c r="W562" i="9"/>
  <c r="S562" i="9"/>
  <c r="Q562" i="9"/>
  <c r="O562" i="9"/>
  <c r="N562" i="9"/>
  <c r="K562" i="9"/>
  <c r="J562" i="9"/>
  <c r="AB561" i="9"/>
  <c r="Y561" i="9"/>
  <c r="AA561" i="9" s="1"/>
  <c r="W561" i="9"/>
  <c r="S561" i="9"/>
  <c r="Q561" i="9"/>
  <c r="O561" i="9"/>
  <c r="N561" i="9"/>
  <c r="K561" i="9"/>
  <c r="J561" i="9"/>
  <c r="AB560" i="9"/>
  <c r="Y560" i="9"/>
  <c r="W560" i="9"/>
  <c r="S560" i="9"/>
  <c r="AC560" i="9" s="1"/>
  <c r="AE560" i="9" s="1"/>
  <c r="Q560" i="9"/>
  <c r="O560" i="9"/>
  <c r="N560" i="9"/>
  <c r="K560" i="9"/>
  <c r="J560" i="9"/>
  <c r="AB559" i="9"/>
  <c r="Y559" i="9"/>
  <c r="W559" i="9"/>
  <c r="S559" i="9"/>
  <c r="Q559" i="9"/>
  <c r="O559" i="9"/>
  <c r="N559" i="9"/>
  <c r="K559" i="9"/>
  <c r="J559" i="9"/>
  <c r="AB558" i="9"/>
  <c r="Y558" i="9"/>
  <c r="W558" i="9"/>
  <c r="S558" i="9"/>
  <c r="AC558" i="9" s="1"/>
  <c r="AE558" i="9" s="1"/>
  <c r="Q558" i="9"/>
  <c r="O558" i="9"/>
  <c r="N558" i="9"/>
  <c r="K558" i="9"/>
  <c r="J558" i="9"/>
  <c r="AB557" i="9"/>
  <c r="Y557" i="9"/>
  <c r="AA557" i="9" s="1"/>
  <c r="W557" i="9"/>
  <c r="S557" i="9"/>
  <c r="AC557" i="9" s="1"/>
  <c r="AE557" i="9" s="1"/>
  <c r="Q557" i="9"/>
  <c r="O557" i="9"/>
  <c r="N557" i="9"/>
  <c r="K557" i="9"/>
  <c r="J557" i="9"/>
  <c r="AB556" i="9"/>
  <c r="Y556" i="9"/>
  <c r="AA556" i="9" s="1"/>
  <c r="W556" i="9"/>
  <c r="S556" i="9"/>
  <c r="AC556" i="9" s="1"/>
  <c r="M556" i="9"/>
  <c r="K556" i="9"/>
  <c r="J556" i="9"/>
  <c r="AB555" i="9"/>
  <c r="Y555" i="9"/>
  <c r="W555" i="9"/>
  <c r="S555" i="9"/>
  <c r="P555" i="9" s="1"/>
  <c r="R555" i="9" s="1"/>
  <c r="Q555" i="9"/>
  <c r="O555" i="9"/>
  <c r="N555" i="9"/>
  <c r="K555" i="9"/>
  <c r="J555" i="9"/>
  <c r="AB554" i="9"/>
  <c r="Y554" i="9"/>
  <c r="W554" i="9"/>
  <c r="S554" i="9"/>
  <c r="Q554" i="9"/>
  <c r="O554" i="9"/>
  <c r="N554" i="9"/>
  <c r="K554" i="9"/>
  <c r="J554" i="9"/>
  <c r="AB553" i="9"/>
  <c r="Y553" i="9"/>
  <c r="AA553" i="9" s="1"/>
  <c r="W553" i="9"/>
  <c r="S553" i="9"/>
  <c r="Q553" i="9"/>
  <c r="O553" i="9"/>
  <c r="N553" i="9"/>
  <c r="K553" i="9"/>
  <c r="J553" i="9"/>
  <c r="AB552" i="9"/>
  <c r="Y552" i="9"/>
  <c r="W552" i="9"/>
  <c r="S552" i="9"/>
  <c r="Q552" i="9"/>
  <c r="O552" i="9"/>
  <c r="N552" i="9"/>
  <c r="K552" i="9"/>
  <c r="J552" i="9"/>
  <c r="AB551" i="9"/>
  <c r="Y551" i="9"/>
  <c r="AA551" i="9" s="1"/>
  <c r="W551" i="9"/>
  <c r="S551" i="9"/>
  <c r="Q551" i="9"/>
  <c r="O551" i="9"/>
  <c r="N551" i="9"/>
  <c r="K551" i="9"/>
  <c r="J551" i="9"/>
  <c r="AB550" i="9"/>
  <c r="Y550" i="9"/>
  <c r="W550" i="9"/>
  <c r="S550" i="9"/>
  <c r="AC550" i="9" s="1"/>
  <c r="AE550" i="9" s="1"/>
  <c r="Q550" i="9"/>
  <c r="O550" i="9"/>
  <c r="N550" i="9"/>
  <c r="K550" i="9"/>
  <c r="J550" i="9"/>
  <c r="AB549" i="9"/>
  <c r="Y549" i="9"/>
  <c r="AD549" i="9" s="1"/>
  <c r="W549" i="9"/>
  <c r="S549" i="9"/>
  <c r="P549" i="9" s="1"/>
  <c r="R549" i="9" s="1"/>
  <c r="Q549" i="9"/>
  <c r="O549" i="9"/>
  <c r="N549" i="9"/>
  <c r="K549" i="9"/>
  <c r="J549" i="9"/>
  <c r="AB548" i="9"/>
  <c r="Y548" i="9"/>
  <c r="W548" i="9"/>
  <c r="S548" i="9"/>
  <c r="AC548" i="9" s="1"/>
  <c r="AE548" i="9" s="1"/>
  <c r="Q548" i="9"/>
  <c r="O548" i="9"/>
  <c r="N548" i="9"/>
  <c r="K548" i="9"/>
  <c r="J548" i="9"/>
  <c r="AB547" i="9"/>
  <c r="Y547" i="9"/>
  <c r="W547" i="9"/>
  <c r="S547" i="9"/>
  <c r="Q547" i="9"/>
  <c r="O547" i="9"/>
  <c r="N547" i="9"/>
  <c r="K547" i="9"/>
  <c r="J547" i="9"/>
  <c r="AB546" i="9"/>
  <c r="Y546" i="9"/>
  <c r="W546" i="9"/>
  <c r="S546" i="9"/>
  <c r="AC546" i="9" s="1"/>
  <c r="AE546" i="9" s="1"/>
  <c r="Q546" i="9"/>
  <c r="O546" i="9"/>
  <c r="N546" i="9"/>
  <c r="K546" i="9"/>
  <c r="J546" i="9"/>
  <c r="AB545" i="9"/>
  <c r="Y545" i="9"/>
  <c r="W545" i="9"/>
  <c r="S545" i="9"/>
  <c r="P545" i="9" s="1"/>
  <c r="R545" i="9" s="1"/>
  <c r="Q545" i="9"/>
  <c r="O545" i="9"/>
  <c r="N545" i="9"/>
  <c r="K545" i="9"/>
  <c r="J545" i="9"/>
  <c r="AB544" i="9"/>
  <c r="Y544" i="9"/>
  <c r="W544" i="9"/>
  <c r="S544" i="9"/>
  <c r="AC544" i="9" s="1"/>
  <c r="AE544" i="9" s="1"/>
  <c r="M544" i="9"/>
  <c r="N544" i="9" s="1"/>
  <c r="K544" i="9"/>
  <c r="J544" i="9"/>
  <c r="AB543" i="9"/>
  <c r="Y543" i="9"/>
  <c r="AD543" i="9" s="1"/>
  <c r="W543" i="9"/>
  <c r="S543" i="9"/>
  <c r="AC543" i="9" s="1"/>
  <c r="AE543" i="9" s="1"/>
  <c r="Q543" i="9"/>
  <c r="O543" i="9"/>
  <c r="N543" i="9"/>
  <c r="K543" i="9"/>
  <c r="J543" i="9"/>
  <c r="AB542" i="9"/>
  <c r="Y542" i="9"/>
  <c r="W542" i="9"/>
  <c r="S542" i="9"/>
  <c r="Q542" i="9"/>
  <c r="O542" i="9"/>
  <c r="N542" i="9"/>
  <c r="K542" i="9"/>
  <c r="J542" i="9"/>
  <c r="AB541" i="9"/>
  <c r="Y541" i="9"/>
  <c r="AA541" i="9" s="1"/>
  <c r="W541" i="9"/>
  <c r="S541" i="9"/>
  <c r="AC541" i="9" s="1"/>
  <c r="AE541" i="9" s="1"/>
  <c r="Q541" i="9"/>
  <c r="O541" i="9"/>
  <c r="N541" i="9"/>
  <c r="K541" i="9"/>
  <c r="J541" i="9"/>
  <c r="AB540" i="9"/>
  <c r="Y540" i="9"/>
  <c r="W540" i="9"/>
  <c r="S540" i="9"/>
  <c r="Q540" i="9"/>
  <c r="O540" i="9"/>
  <c r="N540" i="9"/>
  <c r="K540" i="9"/>
  <c r="J540" i="9"/>
  <c r="AB539" i="9"/>
  <c r="Y539" i="9"/>
  <c r="AD539" i="9" s="1"/>
  <c r="W539" i="9"/>
  <c r="S539" i="9"/>
  <c r="AC539" i="9" s="1"/>
  <c r="AE539" i="9" s="1"/>
  <c r="Q539" i="9"/>
  <c r="O539" i="9"/>
  <c r="N539" i="9"/>
  <c r="K539" i="9"/>
  <c r="J539" i="9"/>
  <c r="AB538" i="9"/>
  <c r="Y538" i="9"/>
  <c r="W538" i="9"/>
  <c r="S538" i="9"/>
  <c r="Q538" i="9"/>
  <c r="O538" i="9"/>
  <c r="N538" i="9"/>
  <c r="K538" i="9"/>
  <c r="J538" i="9"/>
  <c r="AB537" i="9"/>
  <c r="Y537" i="9"/>
  <c r="AA537" i="9" s="1"/>
  <c r="W537" i="9"/>
  <c r="S537" i="9"/>
  <c r="Q537" i="9"/>
  <c r="O537" i="9"/>
  <c r="N537" i="9"/>
  <c r="K537" i="9"/>
  <c r="J537" i="9"/>
  <c r="AB536" i="9"/>
  <c r="Y536" i="9"/>
  <c r="W536" i="9"/>
  <c r="S536" i="9"/>
  <c r="Q536" i="9"/>
  <c r="O536" i="9"/>
  <c r="N536" i="9"/>
  <c r="K536" i="9"/>
  <c r="J536" i="9"/>
  <c r="AB535" i="9"/>
  <c r="Y535" i="9"/>
  <c r="AA535" i="9" s="1"/>
  <c r="W535" i="9"/>
  <c r="S535" i="9"/>
  <c r="P535" i="9" s="1"/>
  <c r="R535" i="9" s="1"/>
  <c r="Q535" i="9"/>
  <c r="O535" i="9"/>
  <c r="N535" i="9"/>
  <c r="K535" i="9"/>
  <c r="J535" i="9"/>
  <c r="AB534" i="9"/>
  <c r="Y534" i="9"/>
  <c r="AA534" i="9" s="1"/>
  <c r="W534" i="9"/>
  <c r="S534" i="9"/>
  <c r="Q534" i="9"/>
  <c r="O534" i="9"/>
  <c r="N534" i="9"/>
  <c r="K534" i="9"/>
  <c r="J534" i="9"/>
  <c r="AB533" i="9"/>
  <c r="Y533" i="9"/>
  <c r="AD533" i="9" s="1"/>
  <c r="W533" i="9"/>
  <c r="S533" i="9"/>
  <c r="Q533" i="9"/>
  <c r="O533" i="9"/>
  <c r="N533" i="9"/>
  <c r="K533" i="9"/>
  <c r="J533" i="9"/>
  <c r="M105" i="11"/>
  <c r="L105" i="11"/>
  <c r="K105" i="11"/>
  <c r="J105" i="11"/>
  <c r="I105" i="11"/>
  <c r="H105" i="11"/>
  <c r="G105" i="11"/>
  <c r="F105" i="11"/>
  <c r="E105" i="11"/>
  <c r="M104" i="11"/>
  <c r="L104" i="11"/>
  <c r="K104" i="11"/>
  <c r="J104" i="11"/>
  <c r="I104" i="11"/>
  <c r="H104" i="11"/>
  <c r="G104" i="11"/>
  <c r="F104" i="11"/>
  <c r="E104" i="11"/>
  <c r="M103" i="11"/>
  <c r="L103" i="11"/>
  <c r="K103" i="11"/>
  <c r="J103" i="11"/>
  <c r="I103" i="11"/>
  <c r="H103" i="11"/>
  <c r="G103" i="11"/>
  <c r="F103" i="11"/>
  <c r="E103" i="11"/>
  <c r="M102" i="11"/>
  <c r="L102" i="11"/>
  <c r="K102" i="11"/>
  <c r="J102" i="11"/>
  <c r="I102" i="11"/>
  <c r="H102" i="11"/>
  <c r="G102" i="11"/>
  <c r="F102" i="11"/>
  <c r="E102" i="11"/>
  <c r="M101" i="11"/>
  <c r="L101" i="11"/>
  <c r="K101" i="11"/>
  <c r="J101" i="11"/>
  <c r="I101" i="11"/>
  <c r="H101" i="11"/>
  <c r="G101" i="11"/>
  <c r="F101" i="11"/>
  <c r="E101" i="11"/>
  <c r="M100" i="11"/>
  <c r="L100" i="11"/>
  <c r="K100" i="11"/>
  <c r="J100" i="11"/>
  <c r="I100" i="11"/>
  <c r="H100" i="11"/>
  <c r="G100" i="11"/>
  <c r="F100" i="11"/>
  <c r="E100" i="11"/>
  <c r="M99" i="11"/>
  <c r="L99" i="11"/>
  <c r="K99" i="11"/>
  <c r="J99" i="11"/>
  <c r="I99" i="11"/>
  <c r="H99" i="11"/>
  <c r="G99" i="11"/>
  <c r="F99" i="11"/>
  <c r="E99" i="11"/>
  <c r="M98" i="11"/>
  <c r="L98" i="11"/>
  <c r="K98" i="11"/>
  <c r="J98" i="11"/>
  <c r="I98" i="11"/>
  <c r="H98" i="11"/>
  <c r="G98" i="11"/>
  <c r="F98" i="11"/>
  <c r="E98" i="11"/>
  <c r="M97" i="11"/>
  <c r="L97" i="11"/>
  <c r="K97" i="11"/>
  <c r="J97" i="11"/>
  <c r="I97" i="11"/>
  <c r="H97" i="11"/>
  <c r="G97" i="11"/>
  <c r="F97" i="11"/>
  <c r="E97" i="11"/>
  <c r="M96" i="11"/>
  <c r="L96" i="11"/>
  <c r="K96" i="11"/>
  <c r="J96" i="11"/>
  <c r="I96" i="11"/>
  <c r="H96" i="11"/>
  <c r="G96" i="11"/>
  <c r="F96" i="11"/>
  <c r="E96" i="11"/>
  <c r="M95" i="11"/>
  <c r="L95" i="11"/>
  <c r="K95" i="11"/>
  <c r="J95" i="11"/>
  <c r="I95" i="11"/>
  <c r="H95" i="11"/>
  <c r="G95" i="11"/>
  <c r="F95" i="11"/>
  <c r="E95" i="11"/>
  <c r="M94" i="11"/>
  <c r="L94" i="11"/>
  <c r="K94" i="11"/>
  <c r="J94" i="11"/>
  <c r="I94" i="11"/>
  <c r="H94" i="11"/>
  <c r="G94" i="11"/>
  <c r="F94" i="11"/>
  <c r="E94" i="11"/>
  <c r="G144" i="11"/>
  <c r="G90" i="11"/>
  <c r="E90" i="11"/>
  <c r="F90" i="11"/>
  <c r="G108" i="11"/>
  <c r="F108" i="11"/>
  <c r="E112" i="11"/>
  <c r="F182" i="11"/>
  <c r="D163" i="11"/>
  <c r="J179" i="11"/>
  <c r="M179" i="11"/>
  <c r="I179" i="11"/>
  <c r="L179" i="11"/>
  <c r="H179" i="11"/>
  <c r="K179" i="11"/>
  <c r="J178" i="11"/>
  <c r="M178" i="11"/>
  <c r="I178" i="11"/>
  <c r="L178" i="11"/>
  <c r="H178" i="11"/>
  <c r="K178" i="11"/>
  <c r="J177" i="11"/>
  <c r="M177" i="11"/>
  <c r="I177" i="11"/>
  <c r="L177" i="11"/>
  <c r="H177" i="11"/>
  <c r="K177" i="11"/>
  <c r="J176" i="11"/>
  <c r="M176" i="11"/>
  <c r="I176" i="11"/>
  <c r="L176" i="11"/>
  <c r="H176" i="11"/>
  <c r="K176" i="11"/>
  <c r="J175" i="11"/>
  <c r="M175" i="11"/>
  <c r="I175" i="11"/>
  <c r="L175" i="11"/>
  <c r="H175" i="11"/>
  <c r="K175" i="11"/>
  <c r="J174" i="11"/>
  <c r="M174" i="11"/>
  <c r="I174" i="11"/>
  <c r="L174" i="11"/>
  <c r="H174" i="11"/>
  <c r="K174" i="11"/>
  <c r="J173" i="11"/>
  <c r="M173" i="11"/>
  <c r="I173" i="11"/>
  <c r="L173" i="11"/>
  <c r="H173" i="11"/>
  <c r="K173" i="11"/>
  <c r="J172" i="11"/>
  <c r="M172" i="11"/>
  <c r="I172" i="11"/>
  <c r="H172" i="11"/>
  <c r="K172" i="11"/>
  <c r="J171" i="11"/>
  <c r="M171" i="11"/>
  <c r="I171" i="11"/>
  <c r="L171" i="11"/>
  <c r="H171" i="11"/>
  <c r="K171" i="11"/>
  <c r="J170" i="11"/>
  <c r="M170" i="11"/>
  <c r="I170" i="11"/>
  <c r="L170" i="11"/>
  <c r="H170" i="11"/>
  <c r="J169" i="11"/>
  <c r="I169" i="11"/>
  <c r="L169" i="11"/>
  <c r="H169" i="11"/>
  <c r="K169" i="11"/>
  <c r="J140" i="11"/>
  <c r="M140" i="11"/>
  <c r="I140" i="11"/>
  <c r="L140" i="11"/>
  <c r="H140" i="11"/>
  <c r="K140" i="11"/>
  <c r="J139" i="11"/>
  <c r="M139" i="11"/>
  <c r="I139" i="11"/>
  <c r="H139" i="11"/>
  <c r="K139" i="11"/>
  <c r="J138" i="11"/>
  <c r="M138" i="11"/>
  <c r="I138" i="11"/>
  <c r="L138" i="11"/>
  <c r="H138" i="11"/>
  <c r="K138" i="11"/>
  <c r="J137" i="11"/>
  <c r="M137" i="11"/>
  <c r="I137" i="11"/>
  <c r="L137" i="11"/>
  <c r="H137" i="11"/>
  <c r="K137" i="11"/>
  <c r="J136" i="11"/>
  <c r="M136" i="11"/>
  <c r="I136" i="11"/>
  <c r="L136" i="11"/>
  <c r="H136" i="11"/>
  <c r="K136" i="11"/>
  <c r="J135" i="11"/>
  <c r="M135" i="11"/>
  <c r="I135" i="11"/>
  <c r="L135" i="11"/>
  <c r="H135" i="11"/>
  <c r="K135" i="11"/>
  <c r="J134" i="11"/>
  <c r="M134" i="11"/>
  <c r="I134" i="11"/>
  <c r="H134" i="11"/>
  <c r="J133" i="11"/>
  <c r="M133" i="11"/>
  <c r="I133" i="11"/>
  <c r="L133" i="11"/>
  <c r="H133" i="11"/>
  <c r="K133" i="11"/>
  <c r="J132" i="11"/>
  <c r="M132" i="11"/>
  <c r="I132" i="11"/>
  <c r="L132" i="11"/>
  <c r="H132" i="11"/>
  <c r="K132" i="11"/>
  <c r="J131" i="11"/>
  <c r="M131" i="11"/>
  <c r="I131" i="11"/>
  <c r="L131" i="11"/>
  <c r="H131" i="11"/>
  <c r="J130" i="11"/>
  <c r="I130" i="11"/>
  <c r="L130" i="11"/>
  <c r="H130" i="11"/>
  <c r="K130" i="11"/>
  <c r="G180" i="11"/>
  <c r="F180" i="11"/>
  <c r="E180" i="11"/>
  <c r="G141" i="11"/>
  <c r="F141" i="11"/>
  <c r="E141" i="11"/>
  <c r="G122" i="11"/>
  <c r="F122" i="11"/>
  <c r="E122" i="11"/>
  <c r="G121" i="11"/>
  <c r="F121" i="11"/>
  <c r="E121" i="11"/>
  <c r="G120" i="11"/>
  <c r="F120" i="11"/>
  <c r="E120" i="11"/>
  <c r="G119" i="11"/>
  <c r="F119" i="11"/>
  <c r="E119" i="11"/>
  <c r="G118" i="11"/>
  <c r="F118" i="11"/>
  <c r="E118" i="11"/>
  <c r="G117" i="11"/>
  <c r="F117" i="11"/>
  <c r="E117" i="11"/>
  <c r="G116" i="11"/>
  <c r="F116" i="11"/>
  <c r="E116" i="11"/>
  <c r="G115" i="11"/>
  <c r="F115" i="11"/>
  <c r="E115" i="11"/>
  <c r="G114" i="11"/>
  <c r="F114" i="11"/>
  <c r="E114" i="11"/>
  <c r="G113" i="11"/>
  <c r="F113" i="11"/>
  <c r="E113" i="11"/>
  <c r="G112" i="11"/>
  <c r="F112" i="11"/>
  <c r="F186" i="11"/>
  <c r="I186" i="11"/>
  <c r="E108" i="11"/>
  <c r="E126" i="11"/>
  <c r="E165" i="11"/>
  <c r="E182" i="11"/>
  <c r="N80" i="11"/>
  <c r="M80" i="11"/>
  <c r="F22" i="11"/>
  <c r="E22" i="11"/>
  <c r="E37" i="11"/>
  <c r="E52" i="11"/>
  <c r="F24" i="11"/>
  <c r="Q69" i="11"/>
  <c r="F25" i="11"/>
  <c r="R70" i="11"/>
  <c r="F26" i="11"/>
  <c r="R71" i="11"/>
  <c r="F27" i="11"/>
  <c r="Q72" i="11"/>
  <c r="F28" i="11"/>
  <c r="F29" i="11"/>
  <c r="Q74" i="11"/>
  <c r="F30" i="11"/>
  <c r="R75" i="11"/>
  <c r="F31" i="11"/>
  <c r="R76" i="11"/>
  <c r="F32" i="11"/>
  <c r="F33" i="11"/>
  <c r="R78" i="11"/>
  <c r="F34" i="11"/>
  <c r="F35" i="11"/>
  <c r="L80" i="11"/>
  <c r="K80" i="11"/>
  <c r="J80" i="11"/>
  <c r="I80" i="11"/>
  <c r="H80" i="11"/>
  <c r="L65" i="11"/>
  <c r="H65" i="11"/>
  <c r="G65" i="11"/>
  <c r="G50" i="11"/>
  <c r="K35" i="11"/>
  <c r="J35" i="11"/>
  <c r="I35" i="11"/>
  <c r="H35" i="11"/>
  <c r="G35" i="11"/>
  <c r="E35" i="11"/>
  <c r="K34" i="11"/>
  <c r="J34" i="11"/>
  <c r="J49" i="11"/>
  <c r="I34" i="11"/>
  <c r="M64" i="11"/>
  <c r="H34" i="11"/>
  <c r="L49" i="11"/>
  <c r="G34" i="11"/>
  <c r="E34" i="11"/>
  <c r="K33" i="11"/>
  <c r="K63" i="11"/>
  <c r="J33" i="11"/>
  <c r="J63" i="11"/>
  <c r="I33" i="11"/>
  <c r="M48" i="11"/>
  <c r="H33" i="11"/>
  <c r="G33" i="11"/>
  <c r="E33" i="11"/>
  <c r="K32" i="11"/>
  <c r="J32" i="11"/>
  <c r="N47" i="11"/>
  <c r="I32" i="11"/>
  <c r="I62" i="11"/>
  <c r="H32" i="11"/>
  <c r="H47" i="11"/>
  <c r="G32" i="11"/>
  <c r="E32" i="11"/>
  <c r="K31" i="11"/>
  <c r="K61" i="11"/>
  <c r="J31" i="11"/>
  <c r="N46" i="11"/>
  <c r="I31" i="11"/>
  <c r="M61" i="11"/>
  <c r="H31" i="11"/>
  <c r="H46" i="11"/>
  <c r="H76" i="11"/>
  <c r="G31" i="11"/>
  <c r="E31" i="11"/>
  <c r="K30" i="11"/>
  <c r="J30" i="11"/>
  <c r="J60" i="11"/>
  <c r="I30" i="11"/>
  <c r="M45" i="11"/>
  <c r="H30" i="11"/>
  <c r="L45" i="11"/>
  <c r="G30" i="11"/>
  <c r="E30" i="11"/>
  <c r="K29" i="11"/>
  <c r="K59" i="11"/>
  <c r="J29" i="11"/>
  <c r="J59" i="11"/>
  <c r="I29" i="11"/>
  <c r="M44" i="11"/>
  <c r="H29" i="11"/>
  <c r="L44" i="11"/>
  <c r="L74" i="11"/>
  <c r="G29" i="11"/>
  <c r="E29" i="11"/>
  <c r="K28" i="11"/>
  <c r="K43" i="11"/>
  <c r="J28" i="11"/>
  <c r="N58" i="11"/>
  <c r="I28" i="11"/>
  <c r="I58" i="11"/>
  <c r="H28" i="11"/>
  <c r="L43" i="11"/>
  <c r="L58" i="11"/>
  <c r="G28" i="11"/>
  <c r="E28" i="11"/>
  <c r="K27" i="11"/>
  <c r="J27" i="11"/>
  <c r="J57" i="11"/>
  <c r="I27" i="11"/>
  <c r="M42" i="11"/>
  <c r="H27" i="11"/>
  <c r="L42" i="11"/>
  <c r="G27" i="11"/>
  <c r="E27" i="11"/>
  <c r="K26" i="11"/>
  <c r="K56" i="11"/>
  <c r="J26" i="11"/>
  <c r="J56" i="11"/>
  <c r="I26" i="11"/>
  <c r="I56" i="11"/>
  <c r="H26" i="11"/>
  <c r="H41" i="11"/>
  <c r="G26" i="11"/>
  <c r="E26" i="11"/>
  <c r="K25" i="11"/>
  <c r="J25" i="11"/>
  <c r="J55" i="11"/>
  <c r="I25" i="11"/>
  <c r="M40" i="11"/>
  <c r="H25" i="11"/>
  <c r="L40" i="11"/>
  <c r="G25" i="11"/>
  <c r="E25" i="11"/>
  <c r="K24" i="11"/>
  <c r="K54" i="11"/>
  <c r="J24" i="11"/>
  <c r="J39" i="11"/>
  <c r="I24" i="11"/>
  <c r="M54" i="11"/>
  <c r="H24" i="11"/>
  <c r="H39" i="11"/>
  <c r="G24" i="11"/>
  <c r="E24" i="11"/>
  <c r="AB532" i="9"/>
  <c r="Y532" i="9"/>
  <c r="AA532" i="9" s="1"/>
  <c r="W532" i="9"/>
  <c r="S532" i="9"/>
  <c r="M532" i="9"/>
  <c r="N532" i="9" s="1"/>
  <c r="K532" i="9"/>
  <c r="J532" i="9"/>
  <c r="AB531" i="9"/>
  <c r="Y531" i="9"/>
  <c r="W531" i="9"/>
  <c r="S531" i="9"/>
  <c r="Q531" i="9"/>
  <c r="O531" i="9"/>
  <c r="N531" i="9"/>
  <c r="K531" i="9"/>
  <c r="J531" i="9"/>
  <c r="AB530" i="9"/>
  <c r="Y530" i="9"/>
  <c r="AD530" i="9" s="1"/>
  <c r="W530" i="9"/>
  <c r="S530" i="9"/>
  <c r="Q530" i="9"/>
  <c r="O530" i="9"/>
  <c r="N530" i="9"/>
  <c r="K530" i="9"/>
  <c r="J530" i="9"/>
  <c r="AB529" i="9"/>
  <c r="Y529" i="9"/>
  <c r="W529" i="9"/>
  <c r="S529" i="9"/>
  <c r="AC529" i="9" s="1"/>
  <c r="AE529" i="9" s="1"/>
  <c r="Q529" i="9"/>
  <c r="O529" i="9"/>
  <c r="N529" i="9"/>
  <c r="K529" i="9"/>
  <c r="J529" i="9"/>
  <c r="AB528" i="9"/>
  <c r="Y528" i="9"/>
  <c r="AA528" i="9" s="1"/>
  <c r="W528" i="9"/>
  <c r="S528" i="9"/>
  <c r="P528" i="9" s="1"/>
  <c r="R528" i="9" s="1"/>
  <c r="Q528" i="9"/>
  <c r="O528" i="9"/>
  <c r="N528" i="9"/>
  <c r="K528" i="9"/>
  <c r="J528" i="9"/>
  <c r="AB527" i="9"/>
  <c r="Y527" i="9"/>
  <c r="AD527" i="9" s="1"/>
  <c r="W527" i="9"/>
  <c r="S527" i="9"/>
  <c r="P527" i="9" s="1"/>
  <c r="R527" i="9" s="1"/>
  <c r="Q527" i="9"/>
  <c r="O527" i="9"/>
  <c r="N527" i="9"/>
  <c r="K527" i="9"/>
  <c r="J527" i="9"/>
  <c r="AB526" i="9"/>
  <c r="Y526" i="9"/>
  <c r="W526" i="9"/>
  <c r="S526" i="9"/>
  <c r="P526" i="9" s="1"/>
  <c r="R526" i="9" s="1"/>
  <c r="Q526" i="9"/>
  <c r="O526" i="9"/>
  <c r="N526" i="9"/>
  <c r="K526" i="9"/>
  <c r="J526" i="9"/>
  <c r="AB525" i="9"/>
  <c r="Y525" i="9"/>
  <c r="W525" i="9"/>
  <c r="S525" i="9"/>
  <c r="Q525" i="9"/>
  <c r="O525" i="9"/>
  <c r="N525" i="9"/>
  <c r="K525" i="9"/>
  <c r="J525" i="9"/>
  <c r="AB524" i="9"/>
  <c r="Y524" i="9"/>
  <c r="W524" i="9"/>
  <c r="S524" i="9"/>
  <c r="Q524" i="9"/>
  <c r="O524" i="9"/>
  <c r="N524" i="9"/>
  <c r="K524" i="9"/>
  <c r="J524" i="9"/>
  <c r="AB523" i="9"/>
  <c r="Y523" i="9"/>
  <c r="W523" i="9"/>
  <c r="S523" i="9"/>
  <c r="AC523" i="9" s="1"/>
  <c r="AE523" i="9" s="1"/>
  <c r="Q523" i="9"/>
  <c r="O523" i="9"/>
  <c r="N523" i="9"/>
  <c r="K523" i="9"/>
  <c r="J523" i="9"/>
  <c r="AB522" i="9"/>
  <c r="Y522" i="9"/>
  <c r="AD522" i="9" s="1"/>
  <c r="W522" i="9"/>
  <c r="S522" i="9"/>
  <c r="AC522" i="9" s="1"/>
  <c r="AE522" i="9" s="1"/>
  <c r="Q522" i="9"/>
  <c r="O522" i="9"/>
  <c r="N522" i="9"/>
  <c r="K522" i="9"/>
  <c r="J522" i="9"/>
  <c r="AB521" i="9"/>
  <c r="Y521" i="9"/>
  <c r="W521" i="9"/>
  <c r="S521" i="9"/>
  <c r="AC521" i="9" s="1"/>
  <c r="AE521" i="9" s="1"/>
  <c r="Q521" i="9"/>
  <c r="O521" i="9"/>
  <c r="N521" i="9"/>
  <c r="K521" i="9"/>
  <c r="J521" i="9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19" i="1"/>
  <c r="J19" i="1"/>
  <c r="P18" i="1"/>
  <c r="J18" i="1"/>
  <c r="P17" i="1"/>
  <c r="J17" i="1"/>
  <c r="AD562" i="9"/>
  <c r="P563" i="9"/>
  <c r="R563" i="9" s="1"/>
  <c r="AA578" i="9"/>
  <c r="AA549" i="9"/>
  <c r="E186" i="11"/>
  <c r="F148" i="11"/>
  <c r="I148" i="11"/>
  <c r="E144" i="11"/>
  <c r="F194" i="11"/>
  <c r="G191" i="11"/>
  <c r="E189" i="11"/>
  <c r="E187" i="11"/>
  <c r="E149" i="11"/>
  <c r="G189" i="11"/>
  <c r="F192" i="11"/>
  <c r="E195" i="11"/>
  <c r="G186" i="11"/>
  <c r="F189" i="11"/>
  <c r="E192" i="11"/>
  <c r="G194" i="11"/>
  <c r="M113" i="11"/>
  <c r="I116" i="11"/>
  <c r="K119" i="11"/>
  <c r="M121" i="11"/>
  <c r="F188" i="11"/>
  <c r="E191" i="11"/>
  <c r="E196" i="11"/>
  <c r="F187" i="11"/>
  <c r="E190" i="11"/>
  <c r="G192" i="11"/>
  <c r="F195" i="11"/>
  <c r="G187" i="11"/>
  <c r="F190" i="11"/>
  <c r="E193" i="11"/>
  <c r="G195" i="11"/>
  <c r="G190" i="11"/>
  <c r="F196" i="11"/>
  <c r="E188" i="11"/>
  <c r="F193" i="11"/>
  <c r="G188" i="11"/>
  <c r="F191" i="11"/>
  <c r="E194" i="11"/>
  <c r="G196" i="11"/>
  <c r="G193" i="11"/>
  <c r="H120" i="11"/>
  <c r="L186" i="11"/>
  <c r="L148" i="11"/>
  <c r="I114" i="11"/>
  <c r="J122" i="11"/>
  <c r="J116" i="11"/>
  <c r="H112" i="11"/>
  <c r="J119" i="11"/>
  <c r="H117" i="11"/>
  <c r="H122" i="11"/>
  <c r="I119" i="11"/>
  <c r="M120" i="11"/>
  <c r="J121" i="11"/>
  <c r="G123" i="11"/>
  <c r="L113" i="11"/>
  <c r="H116" i="11"/>
  <c r="M118" i="11"/>
  <c r="I121" i="11"/>
  <c r="H114" i="11"/>
  <c r="K114" i="11"/>
  <c r="L119" i="11"/>
  <c r="K122" i="11"/>
  <c r="J114" i="11"/>
  <c r="I122" i="11"/>
  <c r="L117" i="11"/>
  <c r="I115" i="11"/>
  <c r="H119" i="11"/>
  <c r="E123" i="11"/>
  <c r="J141" i="11"/>
  <c r="L112" i="11"/>
  <c r="F123" i="11"/>
  <c r="L120" i="11"/>
  <c r="K120" i="11"/>
  <c r="H141" i="11"/>
  <c r="J112" i="11"/>
  <c r="I180" i="11"/>
  <c r="M130" i="11"/>
  <c r="K121" i="11"/>
  <c r="L134" i="11"/>
  <c r="L116" i="11"/>
  <c r="L114" i="11"/>
  <c r="M116" i="11"/>
  <c r="K118" i="11"/>
  <c r="M122" i="11"/>
  <c r="M115" i="11"/>
  <c r="L118" i="11"/>
  <c r="M114" i="11"/>
  <c r="K112" i="11"/>
  <c r="K117" i="11"/>
  <c r="L122" i="11"/>
  <c r="M117" i="11"/>
  <c r="H118" i="11"/>
  <c r="J120" i="11"/>
  <c r="M169" i="11"/>
  <c r="I113" i="11"/>
  <c r="J118" i="11"/>
  <c r="K134" i="11"/>
  <c r="K116" i="11"/>
  <c r="J113" i="11"/>
  <c r="L139" i="11"/>
  <c r="L121" i="11"/>
  <c r="H113" i="11"/>
  <c r="H180" i="11"/>
  <c r="L172" i="11"/>
  <c r="K170" i="11"/>
  <c r="I117" i="11"/>
  <c r="M119" i="11"/>
  <c r="I141" i="11"/>
  <c r="J180" i="11"/>
  <c r="K131" i="11"/>
  <c r="K115" i="11"/>
  <c r="J115" i="11"/>
  <c r="I118" i="11"/>
  <c r="H121" i="11"/>
  <c r="J117" i="11"/>
  <c r="I120" i="11"/>
  <c r="I112" i="11"/>
  <c r="H115" i="11"/>
  <c r="O75" i="11"/>
  <c r="M46" i="11"/>
  <c r="M76" i="11"/>
  <c r="N57" i="11"/>
  <c r="Q73" i="11"/>
  <c r="P78" i="11"/>
  <c r="M43" i="11"/>
  <c r="N61" i="11"/>
  <c r="N76" i="11"/>
  <c r="Q79" i="11"/>
  <c r="N40" i="11"/>
  <c r="P71" i="11"/>
  <c r="N41" i="11"/>
  <c r="Q77" i="11"/>
  <c r="P69" i="11"/>
  <c r="P75" i="11"/>
  <c r="N48" i="11"/>
  <c r="R69" i="11"/>
  <c r="Q78" i="11"/>
  <c r="N49" i="11"/>
  <c r="R77" i="11"/>
  <c r="P79" i="11"/>
  <c r="M57" i="11"/>
  <c r="M72" i="11"/>
  <c r="N54" i="11"/>
  <c r="R72" i="11"/>
  <c r="Q70" i="11"/>
  <c r="Q75" i="11"/>
  <c r="M69" i="11"/>
  <c r="M47" i="11"/>
  <c r="N44" i="11"/>
  <c r="M55" i="11"/>
  <c r="M70" i="11"/>
  <c r="M59" i="11"/>
  <c r="M74" i="11"/>
  <c r="M63" i="11"/>
  <c r="M78" i="11"/>
  <c r="R73" i="11"/>
  <c r="N62" i="11"/>
  <c r="N77" i="11"/>
  <c r="Q76" i="11"/>
  <c r="N45" i="11"/>
  <c r="N55" i="11"/>
  <c r="N59" i="11"/>
  <c r="N63" i="11"/>
  <c r="R74" i="11"/>
  <c r="N43" i="11"/>
  <c r="N73" i="11"/>
  <c r="Q71" i="11"/>
  <c r="P77" i="11"/>
  <c r="M41" i="11"/>
  <c r="M49" i="11"/>
  <c r="M79" i="11"/>
  <c r="M56" i="11"/>
  <c r="M60" i="11"/>
  <c r="M75" i="11"/>
  <c r="O74" i="11"/>
  <c r="N56" i="11"/>
  <c r="N60" i="11"/>
  <c r="N64" i="11"/>
  <c r="P73" i="11"/>
  <c r="N42" i="11"/>
  <c r="M58" i="11"/>
  <c r="M62" i="11"/>
  <c r="R79" i="11"/>
  <c r="P72" i="11"/>
  <c r="P76" i="11"/>
  <c r="P70" i="11"/>
  <c r="P74" i="11"/>
  <c r="O77" i="11"/>
  <c r="O76" i="11"/>
  <c r="O70" i="11"/>
  <c r="O78" i="11"/>
  <c r="O69" i="11"/>
  <c r="O71" i="11"/>
  <c r="O79" i="11"/>
  <c r="O72" i="11"/>
  <c r="O73" i="11"/>
  <c r="L46" i="11"/>
  <c r="L76" i="11"/>
  <c r="K41" i="11"/>
  <c r="K71" i="11"/>
  <c r="J62" i="11"/>
  <c r="I45" i="11"/>
  <c r="J47" i="11"/>
  <c r="I54" i="11"/>
  <c r="H43" i="11"/>
  <c r="H58" i="11"/>
  <c r="J45" i="11"/>
  <c r="J75" i="11"/>
  <c r="K47" i="11"/>
  <c r="I55" i="11"/>
  <c r="I39" i="11"/>
  <c r="L47" i="11"/>
  <c r="L62" i="11"/>
  <c r="I41" i="11"/>
  <c r="I71" i="11"/>
  <c r="K39" i="11"/>
  <c r="K69" i="11"/>
  <c r="K48" i="11"/>
  <c r="K78" i="11"/>
  <c r="J58" i="11"/>
  <c r="G80" i="11"/>
  <c r="H44" i="11"/>
  <c r="H74" i="11"/>
  <c r="I60" i="11"/>
  <c r="J40" i="11"/>
  <c r="J70" i="11"/>
  <c r="I44" i="11"/>
  <c r="K46" i="11"/>
  <c r="K76" i="11"/>
  <c r="L64" i="11"/>
  <c r="L79" i="11"/>
  <c r="L70" i="11"/>
  <c r="L55" i="11"/>
  <c r="H62" i="11"/>
  <c r="H77" i="11"/>
  <c r="L60" i="11"/>
  <c r="L75" i="11"/>
  <c r="L72" i="11"/>
  <c r="L57" i="11"/>
  <c r="H56" i="11"/>
  <c r="G56" i="11"/>
  <c r="H71" i="11"/>
  <c r="H54" i="11"/>
  <c r="H69" i="11"/>
  <c r="H42" i="11"/>
  <c r="L39" i="11"/>
  <c r="K40" i="11"/>
  <c r="J41" i="11"/>
  <c r="J71" i="11"/>
  <c r="I42" i="11"/>
  <c r="H45" i="11"/>
  <c r="I46" i="11"/>
  <c r="K58" i="11"/>
  <c r="K73" i="11"/>
  <c r="K45" i="11"/>
  <c r="I43" i="11"/>
  <c r="L41" i="11"/>
  <c r="K42" i="11"/>
  <c r="J43" i="11"/>
  <c r="K55" i="11"/>
  <c r="I57" i="11"/>
  <c r="K62" i="11"/>
  <c r="J64" i="11"/>
  <c r="J79" i="11"/>
  <c r="I47" i="11"/>
  <c r="K49" i="11"/>
  <c r="J44" i="11"/>
  <c r="H49" i="11"/>
  <c r="K57" i="11"/>
  <c r="I59" i="11"/>
  <c r="H61" i="11"/>
  <c r="K64" i="11"/>
  <c r="H48" i="11"/>
  <c r="L48" i="11"/>
  <c r="J42" i="11"/>
  <c r="J72" i="11"/>
  <c r="K44" i="11"/>
  <c r="K74" i="11"/>
  <c r="I49" i="11"/>
  <c r="I61" i="11"/>
  <c r="K60" i="11"/>
  <c r="J61" i="11"/>
  <c r="J46" i="11"/>
  <c r="H40" i="11"/>
  <c r="I48" i="11"/>
  <c r="J54" i="11"/>
  <c r="J69" i="11"/>
  <c r="L59" i="11"/>
  <c r="I63" i="11"/>
  <c r="I64" i="11"/>
  <c r="I40" i="11"/>
  <c r="J48" i="11"/>
  <c r="J78" i="11"/>
  <c r="L73" i="11"/>
  <c r="P16" i="1"/>
  <c r="J16" i="1"/>
  <c r="AE15" i="1"/>
  <c r="P15" i="1"/>
  <c r="J15" i="1"/>
  <c r="AD15" i="1" s="1"/>
  <c r="AE13" i="1"/>
  <c r="P13" i="1"/>
  <c r="J13" i="1"/>
  <c r="AD13" i="1" s="1"/>
  <c r="AE14" i="1"/>
  <c r="P14" i="1"/>
  <c r="J14" i="1"/>
  <c r="AD14" i="1" s="1"/>
  <c r="J12" i="1"/>
  <c r="AD12" i="1" s="1"/>
  <c r="J11" i="1"/>
  <c r="AD11" i="1" s="1"/>
  <c r="J10" i="1"/>
  <c r="AD10" i="1" s="1"/>
  <c r="J9" i="1"/>
  <c r="AD9" i="1" s="1"/>
  <c r="J8" i="1"/>
  <c r="J7" i="1"/>
  <c r="J6" i="1"/>
  <c r="AD6" i="1" s="1"/>
  <c r="AE12" i="1"/>
  <c r="P12" i="1"/>
  <c r="AE11" i="1"/>
  <c r="P11" i="1"/>
  <c r="P10" i="1"/>
  <c r="P9" i="1"/>
  <c r="P8" i="1"/>
  <c r="P7" i="1"/>
  <c r="P6" i="1"/>
  <c r="AE10" i="1"/>
  <c r="AE9" i="1"/>
  <c r="I193" i="11"/>
  <c r="F155" i="11"/>
  <c r="I195" i="11"/>
  <c r="F157" i="11"/>
  <c r="H188" i="11"/>
  <c r="E150" i="11"/>
  <c r="J192" i="11"/>
  <c r="G154" i="11"/>
  <c r="J189" i="11"/>
  <c r="G151" i="11"/>
  <c r="J193" i="11"/>
  <c r="G155" i="11"/>
  <c r="I196" i="11"/>
  <c r="F158" i="11"/>
  <c r="H190" i="11"/>
  <c r="E152" i="11"/>
  <c r="J196" i="11"/>
  <c r="G158" i="11"/>
  <c r="J190" i="11"/>
  <c r="G152" i="11"/>
  <c r="I187" i="11"/>
  <c r="F149" i="11"/>
  <c r="J194" i="11"/>
  <c r="G156" i="11"/>
  <c r="H189" i="11"/>
  <c r="E151" i="11"/>
  <c r="I192" i="11"/>
  <c r="F154" i="11"/>
  <c r="H194" i="11"/>
  <c r="E156" i="11"/>
  <c r="J195" i="11"/>
  <c r="G157" i="11"/>
  <c r="H196" i="11"/>
  <c r="E158" i="11"/>
  <c r="H192" i="11"/>
  <c r="E154" i="11"/>
  <c r="J191" i="11"/>
  <c r="G153" i="11"/>
  <c r="L115" i="11"/>
  <c r="M180" i="11"/>
  <c r="I191" i="11"/>
  <c r="F153" i="11"/>
  <c r="H193" i="11"/>
  <c r="E155" i="11"/>
  <c r="H191" i="11"/>
  <c r="E153" i="11"/>
  <c r="I189" i="11"/>
  <c r="F151" i="11"/>
  <c r="I194" i="11"/>
  <c r="F156" i="11"/>
  <c r="J188" i="11"/>
  <c r="G150" i="11"/>
  <c r="I190" i="11"/>
  <c r="F152" i="11"/>
  <c r="I188" i="11"/>
  <c r="F150" i="11"/>
  <c r="J186" i="11"/>
  <c r="G148" i="11"/>
  <c r="H187" i="11"/>
  <c r="J187" i="11"/>
  <c r="G149" i="11"/>
  <c r="H195" i="11"/>
  <c r="E157" i="11"/>
  <c r="F197" i="11"/>
  <c r="F159" i="11"/>
  <c r="G197" i="11"/>
  <c r="G159" i="11"/>
  <c r="J123" i="11"/>
  <c r="I123" i="11"/>
  <c r="L180" i="11"/>
  <c r="H123" i="11"/>
  <c r="M112" i="11"/>
  <c r="K141" i="11"/>
  <c r="M141" i="11"/>
  <c r="K113" i="11"/>
  <c r="L141" i="11"/>
  <c r="K180" i="11"/>
  <c r="N79" i="11"/>
  <c r="N74" i="11"/>
  <c r="N72" i="11"/>
  <c r="N75" i="11"/>
  <c r="J73" i="11"/>
  <c r="N71" i="11"/>
  <c r="M71" i="11"/>
  <c r="L77" i="11"/>
  <c r="L61" i="11"/>
  <c r="M77" i="11"/>
  <c r="J77" i="11"/>
  <c r="M73" i="11"/>
  <c r="N78" i="11"/>
  <c r="N70" i="11"/>
  <c r="N69" i="11"/>
  <c r="K75" i="11"/>
  <c r="I75" i="11"/>
  <c r="G46" i="11"/>
  <c r="G39" i="11"/>
  <c r="G47" i="11"/>
  <c r="I76" i="11"/>
  <c r="K77" i="11"/>
  <c r="I72" i="11"/>
  <c r="I74" i="11"/>
  <c r="H59" i="11"/>
  <c r="G59" i="11"/>
  <c r="I70" i="11"/>
  <c r="G44" i="11"/>
  <c r="E80" i="11"/>
  <c r="I69" i="11"/>
  <c r="G69" i="11"/>
  <c r="H73" i="11"/>
  <c r="K70" i="11"/>
  <c r="I79" i="11"/>
  <c r="J74" i="11"/>
  <c r="I78" i="11"/>
  <c r="K72" i="11"/>
  <c r="G43" i="11"/>
  <c r="L56" i="11"/>
  <c r="L71" i="11"/>
  <c r="G71" i="11"/>
  <c r="J76" i="11"/>
  <c r="H78" i="11"/>
  <c r="H63" i="11"/>
  <c r="G63" i="11"/>
  <c r="G48" i="11"/>
  <c r="G41" i="11"/>
  <c r="G58" i="11"/>
  <c r="I77" i="11"/>
  <c r="H64" i="11"/>
  <c r="G64" i="11"/>
  <c r="G49" i="11"/>
  <c r="H79" i="11"/>
  <c r="I73" i="11"/>
  <c r="H72" i="11"/>
  <c r="G42" i="11"/>
  <c r="H57" i="11"/>
  <c r="G57" i="11"/>
  <c r="H60" i="11"/>
  <c r="G60" i="11"/>
  <c r="G45" i="11"/>
  <c r="H75" i="11"/>
  <c r="G62" i="11"/>
  <c r="K79" i="11"/>
  <c r="L78" i="11"/>
  <c r="L63" i="11"/>
  <c r="L54" i="11"/>
  <c r="L69" i="11"/>
  <c r="H70" i="11"/>
  <c r="G40" i="11"/>
  <c r="H55" i="11"/>
  <c r="G55" i="11"/>
  <c r="G61" i="11"/>
  <c r="G54" i="11"/>
  <c r="AE8" i="1"/>
  <c r="AD8" i="1"/>
  <c r="I197" i="11"/>
  <c r="I159" i="11"/>
  <c r="M123" i="11"/>
  <c r="M186" i="11"/>
  <c r="J148" i="11"/>
  <c r="K193" i="11"/>
  <c r="K155" i="11"/>
  <c r="H155" i="11"/>
  <c r="M191" i="11"/>
  <c r="M153" i="11"/>
  <c r="J153" i="11"/>
  <c r="K194" i="11"/>
  <c r="K156" i="11"/>
  <c r="H156" i="11"/>
  <c r="K195" i="11"/>
  <c r="K157" i="11"/>
  <c r="H157" i="11"/>
  <c r="L187" i="11"/>
  <c r="I149" i="11"/>
  <c r="L196" i="11"/>
  <c r="L158" i="11"/>
  <c r="I158" i="11"/>
  <c r="K188" i="11"/>
  <c r="K150" i="11"/>
  <c r="H150" i="11"/>
  <c r="L188" i="11"/>
  <c r="L150" i="11"/>
  <c r="I150" i="11"/>
  <c r="L194" i="11"/>
  <c r="L156" i="11"/>
  <c r="I156" i="11"/>
  <c r="L191" i="11"/>
  <c r="L153" i="11"/>
  <c r="I153" i="11"/>
  <c r="K192" i="11"/>
  <c r="K154" i="11"/>
  <c r="H154" i="11"/>
  <c r="M192" i="11"/>
  <c r="M154" i="11"/>
  <c r="J154" i="11"/>
  <c r="M187" i="11"/>
  <c r="M149" i="11"/>
  <c r="J149" i="11"/>
  <c r="L192" i="11"/>
  <c r="L154" i="11"/>
  <c r="I154" i="11"/>
  <c r="M190" i="11"/>
  <c r="M152" i="11"/>
  <c r="J152" i="11"/>
  <c r="M193" i="11"/>
  <c r="M155" i="11"/>
  <c r="J155" i="11"/>
  <c r="L195" i="11"/>
  <c r="L157" i="11"/>
  <c r="I157" i="11"/>
  <c r="L190" i="11"/>
  <c r="L152" i="11"/>
  <c r="I152" i="11"/>
  <c r="L189" i="11"/>
  <c r="L151" i="11"/>
  <c r="I151" i="11"/>
  <c r="K196" i="11"/>
  <c r="K158" i="11"/>
  <c r="H158" i="11"/>
  <c r="K190" i="11"/>
  <c r="K152" i="11"/>
  <c r="H152" i="11"/>
  <c r="J197" i="11"/>
  <c r="J159" i="11"/>
  <c r="K189" i="11"/>
  <c r="K151" i="11"/>
  <c r="H151" i="11"/>
  <c r="M196" i="11"/>
  <c r="M158" i="11"/>
  <c r="J158" i="11"/>
  <c r="M189" i="11"/>
  <c r="M151" i="11"/>
  <c r="J151" i="11"/>
  <c r="L193" i="11"/>
  <c r="L155" i="11"/>
  <c r="I155" i="11"/>
  <c r="M194" i="11"/>
  <c r="M156" i="11"/>
  <c r="J156" i="11"/>
  <c r="K187" i="11"/>
  <c r="K149" i="11"/>
  <c r="H149" i="11"/>
  <c r="M188" i="11"/>
  <c r="M150" i="11"/>
  <c r="J150" i="11"/>
  <c r="K191" i="11"/>
  <c r="K153" i="11"/>
  <c r="H153" i="11"/>
  <c r="M195" i="11"/>
  <c r="M157" i="11"/>
  <c r="J157" i="11"/>
  <c r="L123" i="11"/>
  <c r="K123" i="11"/>
  <c r="G75" i="11"/>
  <c r="G77" i="11"/>
  <c r="G76" i="11"/>
  <c r="G74" i="11"/>
  <c r="G73" i="11"/>
  <c r="G72" i="11"/>
  <c r="G79" i="11"/>
  <c r="G70" i="11"/>
  <c r="G78" i="11"/>
  <c r="X97" i="10"/>
  <c r="X84" i="10"/>
  <c r="L149" i="11"/>
  <c r="L197" i="11"/>
  <c r="L159" i="11"/>
  <c r="M197" i="11"/>
  <c r="M159" i="11"/>
  <c r="M148" i="11"/>
  <c r="M388" i="9"/>
  <c r="Z520" i="9"/>
  <c r="AB520" i="9" s="1"/>
  <c r="Y520" i="9"/>
  <c r="W520" i="9"/>
  <c r="S520" i="9"/>
  <c r="M520" i="9"/>
  <c r="O520" i="9" s="1"/>
  <c r="K520" i="9"/>
  <c r="J520" i="9"/>
  <c r="AB519" i="9"/>
  <c r="Y519" i="9"/>
  <c r="AD519" i="9" s="1"/>
  <c r="W519" i="9"/>
  <c r="S519" i="9"/>
  <c r="AC519" i="9" s="1"/>
  <c r="AE519" i="9" s="1"/>
  <c r="Q519" i="9"/>
  <c r="O519" i="9"/>
  <c r="N519" i="9"/>
  <c r="K519" i="9"/>
  <c r="J519" i="9"/>
  <c r="AB518" i="9"/>
  <c r="Y518" i="9"/>
  <c r="AA518" i="9" s="1"/>
  <c r="W518" i="9"/>
  <c r="S518" i="9"/>
  <c r="Q518" i="9"/>
  <c r="O518" i="9"/>
  <c r="N518" i="9"/>
  <c r="K518" i="9"/>
  <c r="J518" i="9"/>
  <c r="AB517" i="9"/>
  <c r="Y517" i="9"/>
  <c r="AA517" i="9" s="1"/>
  <c r="W517" i="9"/>
  <c r="S517" i="9"/>
  <c r="Q517" i="9"/>
  <c r="O517" i="9"/>
  <c r="N517" i="9"/>
  <c r="K517" i="9"/>
  <c r="J517" i="9"/>
  <c r="AB516" i="9"/>
  <c r="Y516" i="9"/>
  <c r="AA516" i="9" s="1"/>
  <c r="W516" i="9"/>
  <c r="S516" i="9"/>
  <c r="Q516" i="9"/>
  <c r="O516" i="9"/>
  <c r="N516" i="9"/>
  <c r="K516" i="9"/>
  <c r="J516" i="9"/>
  <c r="AB515" i="9"/>
  <c r="Y515" i="9"/>
  <c r="AD515" i="9" s="1"/>
  <c r="W515" i="9"/>
  <c r="S515" i="9"/>
  <c r="Q515" i="9"/>
  <c r="O515" i="9"/>
  <c r="N515" i="9"/>
  <c r="K515" i="9"/>
  <c r="J515" i="9"/>
  <c r="AB514" i="9"/>
  <c r="Y514" i="9"/>
  <c r="W514" i="9"/>
  <c r="S514" i="9"/>
  <c r="P514" i="9" s="1"/>
  <c r="R514" i="9" s="1"/>
  <c r="Q514" i="9"/>
  <c r="O514" i="9"/>
  <c r="N514" i="9"/>
  <c r="K514" i="9"/>
  <c r="J514" i="9"/>
  <c r="AB513" i="9"/>
  <c r="Y513" i="9"/>
  <c r="AD513" i="9" s="1"/>
  <c r="W513" i="9"/>
  <c r="S513" i="9"/>
  <c r="P513" i="9" s="1"/>
  <c r="R513" i="9" s="1"/>
  <c r="Q513" i="9"/>
  <c r="O513" i="9"/>
  <c r="N513" i="9"/>
  <c r="K513" i="9"/>
  <c r="J513" i="9"/>
  <c r="AB512" i="9"/>
  <c r="Y512" i="9"/>
  <c r="AD512" i="9" s="1"/>
  <c r="W512" i="9"/>
  <c r="S512" i="9"/>
  <c r="Q512" i="9"/>
  <c r="O512" i="9"/>
  <c r="N512" i="9"/>
  <c r="K512" i="9"/>
  <c r="J512" i="9"/>
  <c r="AB511" i="9"/>
  <c r="Y511" i="9"/>
  <c r="AD511" i="9" s="1"/>
  <c r="W511" i="9"/>
  <c r="S511" i="9"/>
  <c r="Q511" i="9"/>
  <c r="O511" i="9"/>
  <c r="N511" i="9"/>
  <c r="K511" i="9"/>
  <c r="J511" i="9"/>
  <c r="AB510" i="9"/>
  <c r="Y510" i="9"/>
  <c r="AA510" i="9" s="1"/>
  <c r="W510" i="9"/>
  <c r="S510" i="9"/>
  <c r="Q510" i="9"/>
  <c r="O510" i="9"/>
  <c r="N510" i="9"/>
  <c r="K510" i="9"/>
  <c r="J510" i="9"/>
  <c r="AB509" i="9"/>
  <c r="Y509" i="9"/>
  <c r="W509" i="9"/>
  <c r="S509" i="9"/>
  <c r="AC509" i="9" s="1"/>
  <c r="AE509" i="9" s="1"/>
  <c r="Q509" i="9"/>
  <c r="O509" i="9"/>
  <c r="N509" i="9"/>
  <c r="K509" i="9"/>
  <c r="J509" i="9"/>
  <c r="Y84" i="10"/>
  <c r="Z84" i="10"/>
  <c r="AA84" i="10"/>
  <c r="AB84" i="10"/>
  <c r="AC84" i="10"/>
  <c r="AD84" i="10"/>
  <c r="X85" i="10"/>
  <c r="Y85" i="10"/>
  <c r="Z85" i="10"/>
  <c r="AA85" i="10"/>
  <c r="AB85" i="10"/>
  <c r="AC85" i="10"/>
  <c r="AD85" i="10"/>
  <c r="X86" i="10"/>
  <c r="Y86" i="10"/>
  <c r="Z86" i="10"/>
  <c r="AA86" i="10"/>
  <c r="AB86" i="10"/>
  <c r="AC86" i="10"/>
  <c r="AD86" i="10"/>
  <c r="X87" i="10"/>
  <c r="Y87" i="10"/>
  <c r="Z87" i="10"/>
  <c r="AA87" i="10"/>
  <c r="AB87" i="10"/>
  <c r="AC87" i="10"/>
  <c r="AD87" i="10"/>
  <c r="X88" i="10"/>
  <c r="Y88" i="10"/>
  <c r="Z88" i="10"/>
  <c r="AA88" i="10"/>
  <c r="AB88" i="10"/>
  <c r="AC88" i="10"/>
  <c r="AD88" i="10"/>
  <c r="X89" i="10"/>
  <c r="Y89" i="10"/>
  <c r="Z89" i="10"/>
  <c r="AA89" i="10"/>
  <c r="AB89" i="10"/>
  <c r="AC89" i="10"/>
  <c r="AD89" i="10"/>
  <c r="X90" i="10"/>
  <c r="Y90" i="10"/>
  <c r="Z90" i="10"/>
  <c r="AA90" i="10"/>
  <c r="AB90" i="10"/>
  <c r="AC90" i="10"/>
  <c r="AD90" i="10"/>
  <c r="X91" i="10"/>
  <c r="Y91" i="10"/>
  <c r="Z91" i="10"/>
  <c r="AA91" i="10"/>
  <c r="AB91" i="10"/>
  <c r="AC91" i="10"/>
  <c r="AD91" i="10"/>
  <c r="X92" i="10"/>
  <c r="Y92" i="10"/>
  <c r="Z92" i="10"/>
  <c r="AA92" i="10"/>
  <c r="AB92" i="10"/>
  <c r="AC92" i="10"/>
  <c r="AD92" i="10"/>
  <c r="X93" i="10"/>
  <c r="Y93" i="10"/>
  <c r="Z93" i="10"/>
  <c r="AA93" i="10"/>
  <c r="AB93" i="10"/>
  <c r="AC93" i="10"/>
  <c r="AD93" i="10"/>
  <c r="Z508" i="9"/>
  <c r="Y508" i="9"/>
  <c r="W508" i="9"/>
  <c r="S508" i="9"/>
  <c r="M508" i="9"/>
  <c r="K508" i="9"/>
  <c r="J508" i="9"/>
  <c r="AB507" i="9"/>
  <c r="Y507" i="9"/>
  <c r="AD507" i="9" s="1"/>
  <c r="W507" i="9"/>
  <c r="S507" i="9"/>
  <c r="AC507" i="9" s="1"/>
  <c r="AE507" i="9" s="1"/>
  <c r="Q507" i="9"/>
  <c r="O507" i="9"/>
  <c r="N507" i="9"/>
  <c r="K507" i="9"/>
  <c r="J507" i="9"/>
  <c r="AB506" i="9"/>
  <c r="Y506" i="9"/>
  <c r="W506" i="9"/>
  <c r="S506" i="9"/>
  <c r="Q506" i="9"/>
  <c r="O506" i="9"/>
  <c r="N506" i="9"/>
  <c r="K506" i="9"/>
  <c r="J506" i="9"/>
  <c r="AB505" i="9"/>
  <c r="Y505" i="9"/>
  <c r="AA505" i="9" s="1"/>
  <c r="W505" i="9"/>
  <c r="S505" i="9"/>
  <c r="AC505" i="9" s="1"/>
  <c r="AE505" i="9" s="1"/>
  <c r="Q505" i="9"/>
  <c r="O505" i="9"/>
  <c r="N505" i="9"/>
  <c r="K505" i="9"/>
  <c r="J505" i="9"/>
  <c r="AB504" i="9"/>
  <c r="Y504" i="9"/>
  <c r="AA504" i="9" s="1"/>
  <c r="W504" i="9"/>
  <c r="S504" i="9"/>
  <c r="AC504" i="9" s="1"/>
  <c r="AE504" i="9" s="1"/>
  <c r="Q504" i="9"/>
  <c r="O504" i="9"/>
  <c r="N504" i="9"/>
  <c r="K504" i="9"/>
  <c r="J504" i="9"/>
  <c r="AB503" i="9"/>
  <c r="Y503" i="9"/>
  <c r="W503" i="9"/>
  <c r="S503" i="9"/>
  <c r="Q503" i="9"/>
  <c r="O503" i="9"/>
  <c r="N503" i="9"/>
  <c r="K503" i="9"/>
  <c r="J503" i="9"/>
  <c r="AB502" i="9"/>
  <c r="Y502" i="9"/>
  <c r="AA502" i="9" s="1"/>
  <c r="W502" i="9"/>
  <c r="S502" i="9"/>
  <c r="AC502" i="9" s="1"/>
  <c r="AE502" i="9" s="1"/>
  <c r="Q502" i="9"/>
  <c r="O502" i="9"/>
  <c r="N502" i="9"/>
  <c r="K502" i="9"/>
  <c r="J502" i="9"/>
  <c r="AB501" i="9"/>
  <c r="Y501" i="9"/>
  <c r="W501" i="9"/>
  <c r="S501" i="9"/>
  <c r="P501" i="9" s="1"/>
  <c r="R501" i="9" s="1"/>
  <c r="Q501" i="9"/>
  <c r="O501" i="9"/>
  <c r="N501" i="9"/>
  <c r="K501" i="9"/>
  <c r="J501" i="9"/>
  <c r="AB500" i="9"/>
  <c r="Y500" i="9"/>
  <c r="AD500" i="9" s="1"/>
  <c r="W500" i="9"/>
  <c r="S500" i="9"/>
  <c r="AC500" i="9" s="1"/>
  <c r="AE500" i="9" s="1"/>
  <c r="Q500" i="9"/>
  <c r="O500" i="9"/>
  <c r="N500" i="9"/>
  <c r="K500" i="9"/>
  <c r="J500" i="9"/>
  <c r="AB499" i="9"/>
  <c r="Y499" i="9"/>
  <c r="AD499" i="9" s="1"/>
  <c r="W499" i="9"/>
  <c r="S499" i="9"/>
  <c r="AC499" i="9" s="1"/>
  <c r="AE499" i="9" s="1"/>
  <c r="Q499" i="9"/>
  <c r="O499" i="9"/>
  <c r="N499" i="9"/>
  <c r="K499" i="9"/>
  <c r="J499" i="9"/>
  <c r="AB498" i="9"/>
  <c r="Y498" i="9"/>
  <c r="AD498" i="9" s="1"/>
  <c r="W498" i="9"/>
  <c r="S498" i="9"/>
  <c r="AC498" i="9" s="1"/>
  <c r="AE498" i="9" s="1"/>
  <c r="Q498" i="9"/>
  <c r="O498" i="9"/>
  <c r="N498" i="9"/>
  <c r="K498" i="9"/>
  <c r="J498" i="9"/>
  <c r="AB497" i="9"/>
  <c r="Y497" i="9"/>
  <c r="AA497" i="9" s="1"/>
  <c r="W497" i="9"/>
  <c r="S497" i="9"/>
  <c r="Q497" i="9"/>
  <c r="O497" i="9"/>
  <c r="N497" i="9"/>
  <c r="K497" i="9"/>
  <c r="J497" i="9"/>
  <c r="Z496" i="9"/>
  <c r="AB496" i="9" s="1"/>
  <c r="Y496" i="9"/>
  <c r="W496" i="9"/>
  <c r="S496" i="9"/>
  <c r="M496" i="9"/>
  <c r="K496" i="9"/>
  <c r="J496" i="9"/>
  <c r="AB495" i="9"/>
  <c r="Y495" i="9"/>
  <c r="AD495" i="9" s="1"/>
  <c r="W495" i="9"/>
  <c r="S495" i="9"/>
  <c r="Q495" i="9"/>
  <c r="O495" i="9"/>
  <c r="N495" i="9"/>
  <c r="K495" i="9"/>
  <c r="J495" i="9"/>
  <c r="AB494" i="9"/>
  <c r="Y494" i="9"/>
  <c r="W494" i="9"/>
  <c r="S494" i="9"/>
  <c r="AC494" i="9" s="1"/>
  <c r="AE494" i="9" s="1"/>
  <c r="Q494" i="9"/>
  <c r="O494" i="9"/>
  <c r="N494" i="9"/>
  <c r="K494" i="9"/>
  <c r="J494" i="9"/>
  <c r="AB493" i="9"/>
  <c r="Y493" i="9"/>
  <c r="AA493" i="9" s="1"/>
  <c r="W493" i="9"/>
  <c r="S493" i="9"/>
  <c r="Q493" i="9"/>
  <c r="O493" i="9"/>
  <c r="N493" i="9"/>
  <c r="K493" i="9"/>
  <c r="J493" i="9"/>
  <c r="AB492" i="9"/>
  <c r="Y492" i="9"/>
  <c r="W492" i="9"/>
  <c r="S492" i="9"/>
  <c r="AC492" i="9" s="1"/>
  <c r="AE492" i="9" s="1"/>
  <c r="Q492" i="9"/>
  <c r="O492" i="9"/>
  <c r="N492" i="9"/>
  <c r="K492" i="9"/>
  <c r="J492" i="9"/>
  <c r="AB491" i="9"/>
  <c r="Y491" i="9"/>
  <c r="AA491" i="9" s="1"/>
  <c r="W491" i="9"/>
  <c r="S491" i="9"/>
  <c r="AC491" i="9" s="1"/>
  <c r="AE491" i="9" s="1"/>
  <c r="Q491" i="9"/>
  <c r="O491" i="9"/>
  <c r="N491" i="9"/>
  <c r="K491" i="9"/>
  <c r="J491" i="9"/>
  <c r="AB490" i="9"/>
  <c r="Y490" i="9"/>
  <c r="AD490" i="9" s="1"/>
  <c r="W490" i="9"/>
  <c r="S490" i="9"/>
  <c r="P490" i="9" s="1"/>
  <c r="R490" i="9" s="1"/>
  <c r="Q490" i="9"/>
  <c r="O490" i="9"/>
  <c r="N490" i="9"/>
  <c r="K490" i="9"/>
  <c r="J490" i="9"/>
  <c r="AB489" i="9"/>
  <c r="Y489" i="9"/>
  <c r="AD489" i="9" s="1"/>
  <c r="W489" i="9"/>
  <c r="S489" i="9"/>
  <c r="AC489" i="9" s="1"/>
  <c r="AE489" i="9" s="1"/>
  <c r="Q489" i="9"/>
  <c r="O489" i="9"/>
  <c r="N489" i="9"/>
  <c r="K489" i="9"/>
  <c r="J489" i="9"/>
  <c r="AB488" i="9"/>
  <c r="Y488" i="9"/>
  <c r="W488" i="9"/>
  <c r="S488" i="9"/>
  <c r="Q488" i="9"/>
  <c r="O488" i="9"/>
  <c r="N488" i="9"/>
  <c r="K488" i="9"/>
  <c r="J488" i="9"/>
  <c r="AB487" i="9"/>
  <c r="Y487" i="9"/>
  <c r="AD487" i="9" s="1"/>
  <c r="W487" i="9"/>
  <c r="S487" i="9"/>
  <c r="Q487" i="9"/>
  <c r="O487" i="9"/>
  <c r="N487" i="9"/>
  <c r="K487" i="9"/>
  <c r="J487" i="9"/>
  <c r="AB486" i="9"/>
  <c r="Y486" i="9"/>
  <c r="W486" i="9"/>
  <c r="S486" i="9"/>
  <c r="Q486" i="9"/>
  <c r="O486" i="9"/>
  <c r="N486" i="9"/>
  <c r="K486" i="9"/>
  <c r="J486" i="9"/>
  <c r="AB485" i="9"/>
  <c r="Y485" i="9"/>
  <c r="W485" i="9"/>
  <c r="S485" i="9"/>
  <c r="Q485" i="9"/>
  <c r="O485" i="9"/>
  <c r="N485" i="9"/>
  <c r="K485" i="9"/>
  <c r="J485" i="9"/>
  <c r="Z484" i="9"/>
  <c r="AB484" i="9" s="1"/>
  <c r="Y484" i="9"/>
  <c r="W484" i="9"/>
  <c r="S484" i="9"/>
  <c r="M484" i="9"/>
  <c r="N484" i="9" s="1"/>
  <c r="K484" i="9"/>
  <c r="J484" i="9"/>
  <c r="AB483" i="9"/>
  <c r="Y483" i="9"/>
  <c r="AA483" i="9" s="1"/>
  <c r="W483" i="9"/>
  <c r="S483" i="9"/>
  <c r="AC483" i="9" s="1"/>
  <c r="AE483" i="9" s="1"/>
  <c r="Q483" i="9"/>
  <c r="O483" i="9"/>
  <c r="N483" i="9"/>
  <c r="K483" i="9"/>
  <c r="J483" i="9"/>
  <c r="AB482" i="9"/>
  <c r="Y482" i="9"/>
  <c r="AD482" i="9" s="1"/>
  <c r="W482" i="9"/>
  <c r="S482" i="9"/>
  <c r="AC482" i="9" s="1"/>
  <c r="AE482" i="9" s="1"/>
  <c r="Q482" i="9"/>
  <c r="O482" i="9"/>
  <c r="N482" i="9"/>
  <c r="K482" i="9"/>
  <c r="J482" i="9"/>
  <c r="AB481" i="9"/>
  <c r="Y481" i="9"/>
  <c r="W481" i="9"/>
  <c r="S481" i="9"/>
  <c r="AC481" i="9" s="1"/>
  <c r="AE481" i="9" s="1"/>
  <c r="Q481" i="9"/>
  <c r="O481" i="9"/>
  <c r="N481" i="9"/>
  <c r="K481" i="9"/>
  <c r="J481" i="9"/>
  <c r="AB480" i="9"/>
  <c r="Y480" i="9"/>
  <c r="AA480" i="9" s="1"/>
  <c r="W480" i="9"/>
  <c r="S480" i="9"/>
  <c r="Q480" i="9"/>
  <c r="O480" i="9"/>
  <c r="N480" i="9"/>
  <c r="K480" i="9"/>
  <c r="J480" i="9"/>
  <c r="AB479" i="9"/>
  <c r="Y479" i="9"/>
  <c r="W479" i="9"/>
  <c r="S479" i="9"/>
  <c r="Q479" i="9"/>
  <c r="O479" i="9"/>
  <c r="N479" i="9"/>
  <c r="K479" i="9"/>
  <c r="J479" i="9"/>
  <c r="AB478" i="9"/>
  <c r="Y478" i="9"/>
  <c r="W478" i="9"/>
  <c r="S478" i="9"/>
  <c r="P478" i="9" s="1"/>
  <c r="R478" i="9" s="1"/>
  <c r="Q478" i="9"/>
  <c r="O478" i="9"/>
  <c r="N478" i="9"/>
  <c r="K478" i="9"/>
  <c r="J478" i="9"/>
  <c r="AB477" i="9"/>
  <c r="Y477" i="9"/>
  <c r="AD477" i="9" s="1"/>
  <c r="W477" i="9"/>
  <c r="S477" i="9"/>
  <c r="Q477" i="9"/>
  <c r="O477" i="9"/>
  <c r="N477" i="9"/>
  <c r="K477" i="9"/>
  <c r="J477" i="9"/>
  <c r="AB476" i="9"/>
  <c r="Y476" i="9"/>
  <c r="W476" i="9"/>
  <c r="S476" i="9"/>
  <c r="AC476" i="9" s="1"/>
  <c r="AE476" i="9" s="1"/>
  <c r="Q476" i="9"/>
  <c r="O476" i="9"/>
  <c r="N476" i="9"/>
  <c r="K476" i="9"/>
  <c r="J476" i="9"/>
  <c r="AB475" i="9"/>
  <c r="Y475" i="9"/>
  <c r="AD475" i="9" s="1"/>
  <c r="W475" i="9"/>
  <c r="S475" i="9"/>
  <c r="Q475" i="9"/>
  <c r="O475" i="9"/>
  <c r="N475" i="9"/>
  <c r="K475" i="9"/>
  <c r="J475" i="9"/>
  <c r="AB474" i="9"/>
  <c r="Y474" i="9"/>
  <c r="W474" i="9"/>
  <c r="S474" i="9"/>
  <c r="AC474" i="9" s="1"/>
  <c r="AE474" i="9" s="1"/>
  <c r="Q474" i="9"/>
  <c r="O474" i="9"/>
  <c r="N474" i="9"/>
  <c r="K474" i="9"/>
  <c r="J474" i="9"/>
  <c r="AB473" i="9"/>
  <c r="Y473" i="9"/>
  <c r="W473" i="9"/>
  <c r="S473" i="9"/>
  <c r="Q473" i="9"/>
  <c r="O473" i="9"/>
  <c r="N473" i="9"/>
  <c r="K473" i="9"/>
  <c r="J473" i="9"/>
  <c r="Z472" i="9"/>
  <c r="Y472" i="9"/>
  <c r="W472" i="9"/>
  <c r="S472" i="9"/>
  <c r="M472" i="9"/>
  <c r="O472" i="9" s="1"/>
  <c r="K472" i="9"/>
  <c r="J472" i="9"/>
  <c r="AB471" i="9"/>
  <c r="Y471" i="9"/>
  <c r="W471" i="9"/>
  <c r="S471" i="9"/>
  <c r="AC471" i="9" s="1"/>
  <c r="AE471" i="9" s="1"/>
  <c r="Q471" i="9"/>
  <c r="O471" i="9"/>
  <c r="N471" i="9"/>
  <c r="K471" i="9"/>
  <c r="J471" i="9"/>
  <c r="AB470" i="9"/>
  <c r="Y470" i="9"/>
  <c r="AD470" i="9" s="1"/>
  <c r="W470" i="9"/>
  <c r="S470" i="9"/>
  <c r="Q470" i="9"/>
  <c r="O470" i="9"/>
  <c r="N470" i="9"/>
  <c r="K470" i="9"/>
  <c r="J470" i="9"/>
  <c r="AB469" i="9"/>
  <c r="Y469" i="9"/>
  <c r="W469" i="9"/>
  <c r="S469" i="9"/>
  <c r="Q469" i="9"/>
  <c r="O469" i="9"/>
  <c r="N469" i="9"/>
  <c r="K469" i="9"/>
  <c r="J469" i="9"/>
  <c r="AB468" i="9"/>
  <c r="Y468" i="9"/>
  <c r="W468" i="9"/>
  <c r="S468" i="9"/>
  <c r="P468" i="9" s="1"/>
  <c r="R468" i="9" s="1"/>
  <c r="Q468" i="9"/>
  <c r="O468" i="9"/>
  <c r="N468" i="9"/>
  <c r="K468" i="9"/>
  <c r="J468" i="9"/>
  <c r="AB467" i="9"/>
  <c r="Y467" i="9"/>
  <c r="AD467" i="9" s="1"/>
  <c r="W467" i="9"/>
  <c r="S467" i="9"/>
  <c r="AC467" i="9" s="1"/>
  <c r="AE467" i="9" s="1"/>
  <c r="Q467" i="9"/>
  <c r="O467" i="9"/>
  <c r="N467" i="9"/>
  <c r="K467" i="9"/>
  <c r="J467" i="9"/>
  <c r="AB466" i="9"/>
  <c r="Y466" i="9"/>
  <c r="AA466" i="9" s="1"/>
  <c r="W466" i="9"/>
  <c r="S466" i="9"/>
  <c r="P466" i="9" s="1"/>
  <c r="R466" i="9" s="1"/>
  <c r="Q466" i="9"/>
  <c r="O466" i="9"/>
  <c r="N466" i="9"/>
  <c r="K466" i="9"/>
  <c r="J466" i="9"/>
  <c r="AB465" i="9"/>
  <c r="Y465" i="9"/>
  <c r="AA465" i="9" s="1"/>
  <c r="W465" i="9"/>
  <c r="S465" i="9"/>
  <c r="Q465" i="9"/>
  <c r="O465" i="9"/>
  <c r="N465" i="9"/>
  <c r="K465" i="9"/>
  <c r="J465" i="9"/>
  <c r="AB464" i="9"/>
  <c r="Y464" i="9"/>
  <c r="AA464" i="9" s="1"/>
  <c r="W464" i="9"/>
  <c r="S464" i="9"/>
  <c r="AC464" i="9" s="1"/>
  <c r="AE464" i="9" s="1"/>
  <c r="Q464" i="9"/>
  <c r="O464" i="9"/>
  <c r="N464" i="9"/>
  <c r="K464" i="9"/>
  <c r="J464" i="9"/>
  <c r="AB463" i="9"/>
  <c r="Y463" i="9"/>
  <c r="AD463" i="9" s="1"/>
  <c r="W463" i="9"/>
  <c r="S463" i="9"/>
  <c r="Q463" i="9"/>
  <c r="O463" i="9"/>
  <c r="N463" i="9"/>
  <c r="K463" i="9"/>
  <c r="J463" i="9"/>
  <c r="AB462" i="9"/>
  <c r="Y462" i="9"/>
  <c r="W462" i="9"/>
  <c r="S462" i="9"/>
  <c r="AC462" i="9" s="1"/>
  <c r="AE462" i="9" s="1"/>
  <c r="Q462" i="9"/>
  <c r="O462" i="9"/>
  <c r="N462" i="9"/>
  <c r="K462" i="9"/>
  <c r="J462" i="9"/>
  <c r="AB461" i="9"/>
  <c r="Y461" i="9"/>
  <c r="AA461" i="9" s="1"/>
  <c r="W461" i="9"/>
  <c r="S461" i="9"/>
  <c r="AC461" i="9" s="1"/>
  <c r="AE461" i="9" s="1"/>
  <c r="Q461" i="9"/>
  <c r="O461" i="9"/>
  <c r="N461" i="9"/>
  <c r="K461" i="9"/>
  <c r="J461" i="9"/>
  <c r="Z13" i="5"/>
  <c r="Z460" i="9"/>
  <c r="AB460" i="9" s="1"/>
  <c r="Z448" i="9"/>
  <c r="Y460" i="9"/>
  <c r="W460" i="9"/>
  <c r="S460" i="9"/>
  <c r="M460" i="9"/>
  <c r="O460" i="9" s="1"/>
  <c r="K460" i="9"/>
  <c r="J460" i="9"/>
  <c r="AB459" i="9"/>
  <c r="Y459" i="9"/>
  <c r="W459" i="9"/>
  <c r="S459" i="9"/>
  <c r="AC459" i="9" s="1"/>
  <c r="AE459" i="9" s="1"/>
  <c r="Q459" i="9"/>
  <c r="O459" i="9"/>
  <c r="N459" i="9"/>
  <c r="K459" i="9"/>
  <c r="J459" i="9"/>
  <c r="AB458" i="9"/>
  <c r="Y458" i="9"/>
  <c r="AD458" i="9" s="1"/>
  <c r="W458" i="9"/>
  <c r="S458" i="9"/>
  <c r="AC458" i="9" s="1"/>
  <c r="AE458" i="9" s="1"/>
  <c r="Q458" i="9"/>
  <c r="O458" i="9"/>
  <c r="N458" i="9"/>
  <c r="K458" i="9"/>
  <c r="J458" i="9"/>
  <c r="AB457" i="9"/>
  <c r="Y457" i="9"/>
  <c r="AA457" i="9" s="1"/>
  <c r="W457" i="9"/>
  <c r="S457" i="9"/>
  <c r="AC457" i="9" s="1"/>
  <c r="AE457" i="9" s="1"/>
  <c r="Q457" i="9"/>
  <c r="O457" i="9"/>
  <c r="N457" i="9"/>
  <c r="K457" i="9"/>
  <c r="J457" i="9"/>
  <c r="AB456" i="9"/>
  <c r="Y456" i="9"/>
  <c r="AA456" i="9" s="1"/>
  <c r="W456" i="9"/>
  <c r="S456" i="9"/>
  <c r="Q456" i="9"/>
  <c r="O456" i="9"/>
  <c r="N456" i="9"/>
  <c r="K456" i="9"/>
  <c r="J456" i="9"/>
  <c r="AB455" i="9"/>
  <c r="Y455" i="9"/>
  <c r="AA455" i="9" s="1"/>
  <c r="W455" i="9"/>
  <c r="S455" i="9"/>
  <c r="Q455" i="9"/>
  <c r="O455" i="9"/>
  <c r="N455" i="9"/>
  <c r="K455" i="9"/>
  <c r="J455" i="9"/>
  <c r="AB454" i="9"/>
  <c r="Y454" i="9"/>
  <c r="W454" i="9"/>
  <c r="S454" i="9"/>
  <c r="Q454" i="9"/>
  <c r="O454" i="9"/>
  <c r="N454" i="9"/>
  <c r="K454" i="9"/>
  <c r="J454" i="9"/>
  <c r="AB453" i="9"/>
  <c r="Y453" i="9"/>
  <c r="AD453" i="9" s="1"/>
  <c r="W453" i="9"/>
  <c r="S453" i="9"/>
  <c r="P453" i="9" s="1"/>
  <c r="R453" i="9" s="1"/>
  <c r="Q453" i="9"/>
  <c r="O453" i="9"/>
  <c r="N453" i="9"/>
  <c r="K453" i="9"/>
  <c r="J453" i="9"/>
  <c r="AB452" i="9"/>
  <c r="Y452" i="9"/>
  <c r="W452" i="9"/>
  <c r="S452" i="9"/>
  <c r="P452" i="9" s="1"/>
  <c r="R452" i="9" s="1"/>
  <c r="Q452" i="9"/>
  <c r="O452" i="9"/>
  <c r="N452" i="9"/>
  <c r="K452" i="9"/>
  <c r="J452" i="9"/>
  <c r="AB451" i="9"/>
  <c r="Y451" i="9"/>
  <c r="W451" i="9"/>
  <c r="S451" i="9"/>
  <c r="AC451" i="9" s="1"/>
  <c r="AE451" i="9" s="1"/>
  <c r="Q451" i="9"/>
  <c r="O451" i="9"/>
  <c r="N451" i="9"/>
  <c r="K451" i="9"/>
  <c r="J451" i="9"/>
  <c r="AB450" i="9"/>
  <c r="Y450" i="9"/>
  <c r="AD450" i="9" s="1"/>
  <c r="W450" i="9"/>
  <c r="S450" i="9"/>
  <c r="Q450" i="9"/>
  <c r="O450" i="9"/>
  <c r="N450" i="9"/>
  <c r="K450" i="9"/>
  <c r="J450" i="9"/>
  <c r="AB449" i="9"/>
  <c r="Y449" i="9"/>
  <c r="AA449" i="9" s="1"/>
  <c r="W449" i="9"/>
  <c r="S449" i="9"/>
  <c r="AC449" i="9" s="1"/>
  <c r="AE449" i="9" s="1"/>
  <c r="Q449" i="9"/>
  <c r="O449" i="9"/>
  <c r="N449" i="9"/>
  <c r="K449" i="9"/>
  <c r="J449" i="9"/>
  <c r="Z436" i="9"/>
  <c r="AB436" i="9" s="1"/>
  <c r="Z424" i="9"/>
  <c r="Y448" i="9"/>
  <c r="W448" i="9"/>
  <c r="S448" i="9"/>
  <c r="M448" i="9"/>
  <c r="N448" i="9" s="1"/>
  <c r="K448" i="9"/>
  <c r="J448" i="9"/>
  <c r="AB447" i="9"/>
  <c r="Y447" i="9"/>
  <c r="W447" i="9"/>
  <c r="S447" i="9"/>
  <c r="AC447" i="9" s="1"/>
  <c r="AE447" i="9" s="1"/>
  <c r="Q447" i="9"/>
  <c r="O447" i="9"/>
  <c r="N447" i="9"/>
  <c r="K447" i="9"/>
  <c r="J447" i="9"/>
  <c r="AB446" i="9"/>
  <c r="Y446" i="9"/>
  <c r="AD446" i="9" s="1"/>
  <c r="W446" i="9"/>
  <c r="S446" i="9"/>
  <c r="AC446" i="9" s="1"/>
  <c r="AE446" i="9" s="1"/>
  <c r="Q446" i="9"/>
  <c r="O446" i="9"/>
  <c r="N446" i="9"/>
  <c r="K446" i="9"/>
  <c r="J446" i="9"/>
  <c r="AB445" i="9"/>
  <c r="Y445" i="9"/>
  <c r="W445" i="9"/>
  <c r="S445" i="9"/>
  <c r="Q445" i="9"/>
  <c r="O445" i="9"/>
  <c r="N445" i="9"/>
  <c r="K445" i="9"/>
  <c r="J445" i="9"/>
  <c r="AB444" i="9"/>
  <c r="Y444" i="9"/>
  <c r="AA444" i="9" s="1"/>
  <c r="W444" i="9"/>
  <c r="S444" i="9"/>
  <c r="Q444" i="9"/>
  <c r="O444" i="9"/>
  <c r="N444" i="9"/>
  <c r="K444" i="9"/>
  <c r="J444" i="9"/>
  <c r="AB443" i="9"/>
  <c r="Y443" i="9"/>
  <c r="AA443" i="9" s="1"/>
  <c r="W443" i="9"/>
  <c r="S443" i="9"/>
  <c r="Q443" i="9"/>
  <c r="O443" i="9"/>
  <c r="N443" i="9"/>
  <c r="K443" i="9"/>
  <c r="J443" i="9"/>
  <c r="AB442" i="9"/>
  <c r="Y442" i="9"/>
  <c r="AA442" i="9" s="1"/>
  <c r="W442" i="9"/>
  <c r="S442" i="9"/>
  <c r="Q442" i="9"/>
  <c r="O442" i="9"/>
  <c r="N442" i="9"/>
  <c r="K442" i="9"/>
  <c r="J442" i="9"/>
  <c r="AB441" i="9"/>
  <c r="Y441" i="9"/>
  <c r="W441" i="9"/>
  <c r="S441" i="9"/>
  <c r="Q441" i="9"/>
  <c r="O441" i="9"/>
  <c r="N441" i="9"/>
  <c r="K441" i="9"/>
  <c r="J441" i="9"/>
  <c r="AB440" i="9"/>
  <c r="Y440" i="9"/>
  <c r="W440" i="9"/>
  <c r="S440" i="9"/>
  <c r="Q440" i="9"/>
  <c r="O440" i="9"/>
  <c r="N440" i="9"/>
  <c r="K440" i="9"/>
  <c r="J440" i="9"/>
  <c r="AB439" i="9"/>
  <c r="Y439" i="9"/>
  <c r="W439" i="9"/>
  <c r="S439" i="9"/>
  <c r="Q439" i="9"/>
  <c r="O439" i="9"/>
  <c r="N439" i="9"/>
  <c r="K439" i="9"/>
  <c r="J439" i="9"/>
  <c r="AB438" i="9"/>
  <c r="Y438" i="9"/>
  <c r="AA438" i="9" s="1"/>
  <c r="W438" i="9"/>
  <c r="S438" i="9"/>
  <c r="AC438" i="9" s="1"/>
  <c r="AE438" i="9" s="1"/>
  <c r="Q438" i="9"/>
  <c r="O438" i="9"/>
  <c r="N438" i="9"/>
  <c r="K438" i="9"/>
  <c r="J438" i="9"/>
  <c r="AB437" i="9"/>
  <c r="Y437" i="9"/>
  <c r="AA437" i="9" s="1"/>
  <c r="W437" i="9"/>
  <c r="S437" i="9"/>
  <c r="Q437" i="9"/>
  <c r="O437" i="9"/>
  <c r="N437" i="9"/>
  <c r="K437" i="9"/>
  <c r="J437" i="9"/>
  <c r="Y436" i="9"/>
  <c r="W436" i="9"/>
  <c r="S436" i="9"/>
  <c r="M436" i="9"/>
  <c r="O436" i="9" s="1"/>
  <c r="K436" i="9"/>
  <c r="J436" i="9"/>
  <c r="AB435" i="9"/>
  <c r="Y435" i="9"/>
  <c r="AD435" i="9" s="1"/>
  <c r="W435" i="9"/>
  <c r="S435" i="9"/>
  <c r="Q435" i="9"/>
  <c r="O435" i="9"/>
  <c r="N435" i="9"/>
  <c r="K435" i="9"/>
  <c r="J435" i="9"/>
  <c r="AB434" i="9"/>
  <c r="Y434" i="9"/>
  <c r="AD434" i="9" s="1"/>
  <c r="W434" i="9"/>
  <c r="S434" i="9"/>
  <c r="P434" i="9" s="1"/>
  <c r="R434" i="9" s="1"/>
  <c r="Q434" i="9"/>
  <c r="O434" i="9"/>
  <c r="N434" i="9"/>
  <c r="K434" i="9"/>
  <c r="J434" i="9"/>
  <c r="AB433" i="9"/>
  <c r="Y433" i="9"/>
  <c r="W433" i="9"/>
  <c r="S433" i="9"/>
  <c r="Q433" i="9"/>
  <c r="O433" i="9"/>
  <c r="N433" i="9"/>
  <c r="K433" i="9"/>
  <c r="J433" i="9"/>
  <c r="AB432" i="9"/>
  <c r="Y432" i="9"/>
  <c r="AA432" i="9" s="1"/>
  <c r="W432" i="9"/>
  <c r="S432" i="9"/>
  <c r="Q432" i="9"/>
  <c r="O432" i="9"/>
  <c r="N432" i="9"/>
  <c r="K432" i="9"/>
  <c r="J432" i="9"/>
  <c r="AB431" i="9"/>
  <c r="Y431" i="9"/>
  <c r="W431" i="9"/>
  <c r="S431" i="9"/>
  <c r="AC431" i="9" s="1"/>
  <c r="AE431" i="9" s="1"/>
  <c r="Q431" i="9"/>
  <c r="O431" i="9"/>
  <c r="N431" i="9"/>
  <c r="K431" i="9"/>
  <c r="J431" i="9"/>
  <c r="AB430" i="9"/>
  <c r="Y430" i="9"/>
  <c r="AA430" i="9" s="1"/>
  <c r="W430" i="9"/>
  <c r="S430" i="9"/>
  <c r="AC430" i="9" s="1"/>
  <c r="AE430" i="9" s="1"/>
  <c r="Q430" i="9"/>
  <c r="O430" i="9"/>
  <c r="N430" i="9"/>
  <c r="K430" i="9"/>
  <c r="J430" i="9"/>
  <c r="AB429" i="9"/>
  <c r="Y429" i="9"/>
  <c r="W429" i="9"/>
  <c r="S429" i="9"/>
  <c r="Q429" i="9"/>
  <c r="O429" i="9"/>
  <c r="N429" i="9"/>
  <c r="K429" i="9"/>
  <c r="J429" i="9"/>
  <c r="AB428" i="9"/>
  <c r="Y428" i="9"/>
  <c r="W428" i="9"/>
  <c r="S428" i="9"/>
  <c r="AC428" i="9" s="1"/>
  <c r="AE428" i="9" s="1"/>
  <c r="Q428" i="9"/>
  <c r="O428" i="9"/>
  <c r="N428" i="9"/>
  <c r="K428" i="9"/>
  <c r="J428" i="9"/>
  <c r="AB427" i="9"/>
  <c r="Y427" i="9"/>
  <c r="AD427" i="9" s="1"/>
  <c r="W427" i="9"/>
  <c r="S427" i="9"/>
  <c r="Q427" i="9"/>
  <c r="O427" i="9"/>
  <c r="N427" i="9"/>
  <c r="K427" i="9"/>
  <c r="J427" i="9"/>
  <c r="AB426" i="9"/>
  <c r="Y426" i="9"/>
  <c r="W426" i="9"/>
  <c r="S426" i="9"/>
  <c r="Q426" i="9"/>
  <c r="O426" i="9"/>
  <c r="N426" i="9"/>
  <c r="K426" i="9"/>
  <c r="J426" i="9"/>
  <c r="AB425" i="9"/>
  <c r="Y425" i="9"/>
  <c r="W425" i="9"/>
  <c r="S425" i="9"/>
  <c r="P425" i="9" s="1"/>
  <c r="R425" i="9" s="1"/>
  <c r="Q425" i="9"/>
  <c r="O425" i="9"/>
  <c r="N425" i="9"/>
  <c r="K425" i="9"/>
  <c r="J425" i="9"/>
  <c r="Y424" i="9"/>
  <c r="W424" i="9"/>
  <c r="S424" i="9"/>
  <c r="M424" i="9"/>
  <c r="K424" i="9"/>
  <c r="J424" i="9"/>
  <c r="AB423" i="9"/>
  <c r="Y423" i="9"/>
  <c r="W423" i="9"/>
  <c r="S423" i="9"/>
  <c r="AC423" i="9" s="1"/>
  <c r="AE423" i="9" s="1"/>
  <c r="Q423" i="9"/>
  <c r="O423" i="9"/>
  <c r="N423" i="9"/>
  <c r="K423" i="9"/>
  <c r="J423" i="9"/>
  <c r="AB422" i="9"/>
  <c r="Y422" i="9"/>
  <c r="W422" i="9"/>
  <c r="S422" i="9"/>
  <c r="Q422" i="9"/>
  <c r="O422" i="9"/>
  <c r="N422" i="9"/>
  <c r="K422" i="9"/>
  <c r="J422" i="9"/>
  <c r="AB421" i="9"/>
  <c r="Y421" i="9"/>
  <c r="AD421" i="9" s="1"/>
  <c r="W421" i="9"/>
  <c r="S421" i="9"/>
  <c r="AC421" i="9" s="1"/>
  <c r="AE421" i="9" s="1"/>
  <c r="Q421" i="9"/>
  <c r="O421" i="9"/>
  <c r="N421" i="9"/>
  <c r="K421" i="9"/>
  <c r="J421" i="9"/>
  <c r="AB420" i="9"/>
  <c r="Y420" i="9"/>
  <c r="AA420" i="9" s="1"/>
  <c r="W420" i="9"/>
  <c r="S420" i="9"/>
  <c r="Q420" i="9"/>
  <c r="O420" i="9"/>
  <c r="N420" i="9"/>
  <c r="K420" i="9"/>
  <c r="J420" i="9"/>
  <c r="AB419" i="9"/>
  <c r="Y419" i="9"/>
  <c r="AD419" i="9" s="1"/>
  <c r="W419" i="9"/>
  <c r="S419" i="9"/>
  <c r="Q419" i="9"/>
  <c r="O419" i="9"/>
  <c r="N419" i="9"/>
  <c r="K419" i="9"/>
  <c r="J419" i="9"/>
  <c r="AB418" i="9"/>
  <c r="Y418" i="9"/>
  <c r="AD418" i="9" s="1"/>
  <c r="W418" i="9"/>
  <c r="S418" i="9"/>
  <c r="Q418" i="9"/>
  <c r="O418" i="9"/>
  <c r="N418" i="9"/>
  <c r="K418" i="9"/>
  <c r="J418" i="9"/>
  <c r="AB417" i="9"/>
  <c r="Y417" i="9"/>
  <c r="AA417" i="9" s="1"/>
  <c r="W417" i="9"/>
  <c r="S417" i="9"/>
  <c r="AC417" i="9" s="1"/>
  <c r="AE417" i="9" s="1"/>
  <c r="Q417" i="9"/>
  <c r="O417" i="9"/>
  <c r="N417" i="9"/>
  <c r="K417" i="9"/>
  <c r="J417" i="9"/>
  <c r="AB416" i="9"/>
  <c r="Y416" i="9"/>
  <c r="AD416" i="9" s="1"/>
  <c r="W416" i="9"/>
  <c r="S416" i="9"/>
  <c r="Q416" i="9"/>
  <c r="O416" i="9"/>
  <c r="N416" i="9"/>
  <c r="K416" i="9"/>
  <c r="J416" i="9"/>
  <c r="AB415" i="9"/>
  <c r="Y415" i="9"/>
  <c r="AA415" i="9" s="1"/>
  <c r="W415" i="9"/>
  <c r="S415" i="9"/>
  <c r="Q415" i="9"/>
  <c r="O415" i="9"/>
  <c r="N415" i="9"/>
  <c r="K415" i="9"/>
  <c r="J415" i="9"/>
  <c r="AB414" i="9"/>
  <c r="Y414" i="9"/>
  <c r="AD414" i="9" s="1"/>
  <c r="W414" i="9"/>
  <c r="S414" i="9"/>
  <c r="P414" i="9" s="1"/>
  <c r="R414" i="9" s="1"/>
  <c r="Q414" i="9"/>
  <c r="O414" i="9"/>
  <c r="N414" i="9"/>
  <c r="K414" i="9"/>
  <c r="J414" i="9"/>
  <c r="AB413" i="9"/>
  <c r="Y413" i="9"/>
  <c r="AA413" i="9" s="1"/>
  <c r="W413" i="9"/>
  <c r="S413" i="9"/>
  <c r="P413" i="9" s="1"/>
  <c r="R413" i="9" s="1"/>
  <c r="Q413" i="9"/>
  <c r="O413" i="9"/>
  <c r="N413" i="9"/>
  <c r="K413" i="9"/>
  <c r="J413" i="9"/>
  <c r="AD497" i="9"/>
  <c r="AC425" i="9"/>
  <c r="AE425" i="9" s="1"/>
  <c r="AA498" i="9"/>
  <c r="AC490" i="9"/>
  <c r="AE490" i="9" s="1"/>
  <c r="J401" i="9"/>
  <c r="K401" i="9"/>
  <c r="N401" i="9"/>
  <c r="J402" i="9"/>
  <c r="K402" i="9"/>
  <c r="N402" i="9"/>
  <c r="J403" i="9"/>
  <c r="K403" i="9"/>
  <c r="N403" i="9"/>
  <c r="J404" i="9"/>
  <c r="K404" i="9"/>
  <c r="N404" i="9"/>
  <c r="J405" i="9"/>
  <c r="K405" i="9"/>
  <c r="N405" i="9"/>
  <c r="J406" i="9"/>
  <c r="K406" i="9"/>
  <c r="N406" i="9"/>
  <c r="J407" i="9"/>
  <c r="K407" i="9"/>
  <c r="N407" i="9"/>
  <c r="J408" i="9"/>
  <c r="K408" i="9"/>
  <c r="N408" i="9"/>
  <c r="J409" i="9"/>
  <c r="K409" i="9"/>
  <c r="N409" i="9"/>
  <c r="J410" i="9"/>
  <c r="K410" i="9"/>
  <c r="N410" i="9"/>
  <c r="J411" i="9"/>
  <c r="K411" i="9"/>
  <c r="N411" i="9"/>
  <c r="J412" i="9"/>
  <c r="K412" i="9"/>
  <c r="M412" i="9"/>
  <c r="N412" i="9" s="1"/>
  <c r="W143" i="10"/>
  <c r="V143" i="10"/>
  <c r="X134" i="10"/>
  <c r="N143" i="10"/>
  <c r="M143" i="10"/>
  <c r="O140" i="10"/>
  <c r="E143" i="10"/>
  <c r="D143" i="10"/>
  <c r="F138" i="10"/>
  <c r="Y141" i="10"/>
  <c r="AB141" i="10"/>
  <c r="AC141" i="10"/>
  <c r="F95" i="10"/>
  <c r="P141" i="10"/>
  <c r="Q141" i="10"/>
  <c r="R141" i="10"/>
  <c r="E95" i="10"/>
  <c r="G141" i="10"/>
  <c r="H141" i="10"/>
  <c r="I141" i="10"/>
  <c r="D95" i="10"/>
  <c r="Y140" i="10"/>
  <c r="AB140" i="10"/>
  <c r="AC140" i="10"/>
  <c r="F94" i="10"/>
  <c r="P140" i="10"/>
  <c r="Q140" i="10"/>
  <c r="R140" i="10"/>
  <c r="E94" i="10"/>
  <c r="G140" i="10"/>
  <c r="H140" i="10"/>
  <c r="I140" i="10"/>
  <c r="D94" i="10"/>
  <c r="Y139" i="10"/>
  <c r="AB139" i="10"/>
  <c r="AC139" i="10"/>
  <c r="F93" i="10"/>
  <c r="P139" i="10"/>
  <c r="Q139" i="10"/>
  <c r="R139" i="10"/>
  <c r="E93" i="10"/>
  <c r="G139" i="10"/>
  <c r="H139" i="10"/>
  <c r="I139" i="10"/>
  <c r="D93" i="10"/>
  <c r="Y138" i="10"/>
  <c r="AB138" i="10"/>
  <c r="AC138" i="10"/>
  <c r="F92" i="10"/>
  <c r="P138" i="10"/>
  <c r="Q138" i="10"/>
  <c r="R138" i="10"/>
  <c r="E92" i="10"/>
  <c r="G138" i="10"/>
  <c r="H138" i="10"/>
  <c r="I138" i="10"/>
  <c r="D92" i="10"/>
  <c r="Y137" i="10"/>
  <c r="AB137" i="10"/>
  <c r="AC137" i="10"/>
  <c r="F91" i="10"/>
  <c r="P137" i="10"/>
  <c r="Q137" i="10"/>
  <c r="R137" i="10"/>
  <c r="E91" i="10"/>
  <c r="G137" i="10"/>
  <c r="H137" i="10"/>
  <c r="I137" i="10"/>
  <c r="D91" i="10"/>
  <c r="Y136" i="10"/>
  <c r="AB136" i="10"/>
  <c r="AC136" i="10"/>
  <c r="F90" i="10"/>
  <c r="P136" i="10"/>
  <c r="Q136" i="10"/>
  <c r="R136" i="10"/>
  <c r="E90" i="10"/>
  <c r="G136" i="10"/>
  <c r="H136" i="10"/>
  <c r="I136" i="10"/>
  <c r="D90" i="10"/>
  <c r="Y135" i="10"/>
  <c r="AB135" i="10"/>
  <c r="AC135" i="10"/>
  <c r="F89" i="10"/>
  <c r="P135" i="10"/>
  <c r="Q135" i="10"/>
  <c r="R135" i="10"/>
  <c r="E89" i="10"/>
  <c r="G135" i="10"/>
  <c r="H135" i="10"/>
  <c r="I135" i="10"/>
  <c r="D89" i="10"/>
  <c r="Y134" i="10"/>
  <c r="AB134" i="10"/>
  <c r="AC134" i="10"/>
  <c r="F88" i="10"/>
  <c r="P134" i="10"/>
  <c r="Q134" i="10"/>
  <c r="R134" i="10"/>
  <c r="E88" i="10"/>
  <c r="G134" i="10"/>
  <c r="H134" i="10"/>
  <c r="I134" i="10"/>
  <c r="D88" i="10"/>
  <c r="Y133" i="10"/>
  <c r="AB133" i="10"/>
  <c r="AC133" i="10"/>
  <c r="F87" i="10"/>
  <c r="P133" i="10"/>
  <c r="Q133" i="10"/>
  <c r="R133" i="10"/>
  <c r="E87" i="10"/>
  <c r="G133" i="10"/>
  <c r="H133" i="10"/>
  <c r="I133" i="10"/>
  <c r="D87" i="10"/>
  <c r="Y132" i="10"/>
  <c r="AB132" i="10"/>
  <c r="AC132" i="10"/>
  <c r="P132" i="10"/>
  <c r="G132" i="10"/>
  <c r="F129" i="10"/>
  <c r="W121" i="10"/>
  <c r="V121" i="10"/>
  <c r="V122" i="10"/>
  <c r="V124" i="10"/>
  <c r="F101" i="10"/>
  <c r="N121" i="10"/>
  <c r="M121" i="10"/>
  <c r="M122" i="10"/>
  <c r="M123" i="10"/>
  <c r="E121" i="10"/>
  <c r="D121" i="10"/>
  <c r="D122" i="10"/>
  <c r="F96" i="10"/>
  <c r="E96" i="10"/>
  <c r="D96" i="10"/>
  <c r="V79" i="10"/>
  <c r="R79" i="10"/>
  <c r="O79" i="10"/>
  <c r="N79" i="10"/>
  <c r="M79" i="10"/>
  <c r="L79" i="10"/>
  <c r="J79" i="10"/>
  <c r="I79" i="10"/>
  <c r="H79" i="10"/>
  <c r="G79" i="10"/>
  <c r="L64" i="10"/>
  <c r="G64" i="10"/>
  <c r="F64" i="10"/>
  <c r="D64" i="10"/>
  <c r="F49" i="10"/>
  <c r="D49" i="10"/>
  <c r="J34" i="10"/>
  <c r="I34" i="10"/>
  <c r="H34" i="10"/>
  <c r="G34" i="10"/>
  <c r="F34" i="10"/>
  <c r="E34" i="10"/>
  <c r="D34" i="10"/>
  <c r="J33" i="10"/>
  <c r="J63" i="10"/>
  <c r="I33" i="10"/>
  <c r="I48" i="10"/>
  <c r="H33" i="10"/>
  <c r="H63" i="10"/>
  <c r="G33" i="10"/>
  <c r="G48" i="10"/>
  <c r="G78" i="10"/>
  <c r="F33" i="10"/>
  <c r="E33" i="10"/>
  <c r="D33" i="10"/>
  <c r="J32" i="10"/>
  <c r="J47" i="10"/>
  <c r="I32" i="10"/>
  <c r="I47" i="10"/>
  <c r="H32" i="10"/>
  <c r="P77" i="10"/>
  <c r="G32" i="10"/>
  <c r="G47" i="10"/>
  <c r="F32" i="10"/>
  <c r="E32" i="10"/>
  <c r="D32" i="10"/>
  <c r="J31" i="10"/>
  <c r="O46" i="10"/>
  <c r="O76" i="10"/>
  <c r="I31" i="10"/>
  <c r="I46" i="10"/>
  <c r="H31" i="10"/>
  <c r="Q76" i="10"/>
  <c r="G31" i="10"/>
  <c r="L46" i="10"/>
  <c r="L61" i="10"/>
  <c r="F31" i="10"/>
  <c r="E31" i="10"/>
  <c r="D31" i="10"/>
  <c r="J30" i="10"/>
  <c r="J60" i="10"/>
  <c r="I30" i="10"/>
  <c r="I60" i="10"/>
  <c r="H30" i="10"/>
  <c r="M45" i="10"/>
  <c r="M75" i="10"/>
  <c r="G30" i="10"/>
  <c r="G45" i="10"/>
  <c r="F30" i="10"/>
  <c r="E30" i="10"/>
  <c r="D30" i="10"/>
  <c r="J29" i="10"/>
  <c r="J59" i="10"/>
  <c r="I29" i="10"/>
  <c r="N44" i="10"/>
  <c r="N74" i="10"/>
  <c r="H29" i="10"/>
  <c r="H59" i="10"/>
  <c r="G29" i="10"/>
  <c r="G44" i="10"/>
  <c r="F29" i="10"/>
  <c r="E29" i="10"/>
  <c r="D29" i="10"/>
  <c r="J28" i="10"/>
  <c r="J58" i="10"/>
  <c r="I28" i="10"/>
  <c r="I43" i="10"/>
  <c r="H28" i="10"/>
  <c r="G28" i="10"/>
  <c r="G43" i="10"/>
  <c r="F28" i="10"/>
  <c r="E28" i="10"/>
  <c r="D28" i="10"/>
  <c r="J27" i="10"/>
  <c r="J42" i="10"/>
  <c r="I27" i="10"/>
  <c r="I42" i="10"/>
  <c r="H27" i="10"/>
  <c r="Q72" i="10"/>
  <c r="G27" i="10"/>
  <c r="G42" i="10"/>
  <c r="F27" i="10"/>
  <c r="E27" i="10"/>
  <c r="D27" i="10"/>
  <c r="J26" i="10"/>
  <c r="J56" i="10"/>
  <c r="I26" i="10"/>
  <c r="I41" i="10"/>
  <c r="H26" i="10"/>
  <c r="H41" i="10"/>
  <c r="G26" i="10"/>
  <c r="L41" i="10"/>
  <c r="F26" i="10"/>
  <c r="E26" i="10"/>
  <c r="D26" i="10"/>
  <c r="J25" i="10"/>
  <c r="J55" i="10"/>
  <c r="I25" i="10"/>
  <c r="I55" i="10"/>
  <c r="H25" i="10"/>
  <c r="H55" i="10"/>
  <c r="G25" i="10"/>
  <c r="L40" i="10"/>
  <c r="F25" i="10"/>
  <c r="E25" i="10"/>
  <c r="D25" i="10"/>
  <c r="J24" i="10"/>
  <c r="J39" i="10"/>
  <c r="I24" i="10"/>
  <c r="N39" i="10"/>
  <c r="N69" i="10"/>
  <c r="H24" i="10"/>
  <c r="P69" i="10"/>
  <c r="G24" i="10"/>
  <c r="L39" i="10"/>
  <c r="F24" i="10"/>
  <c r="E24" i="10"/>
  <c r="D24" i="10"/>
  <c r="J23" i="10"/>
  <c r="J53" i="10"/>
  <c r="I23" i="10"/>
  <c r="I53" i="10"/>
  <c r="H23" i="10"/>
  <c r="Q68" i="10"/>
  <c r="G23" i="10"/>
  <c r="L38" i="10"/>
  <c r="F23" i="10"/>
  <c r="E23" i="10"/>
  <c r="D23" i="10"/>
  <c r="U90" i="10"/>
  <c r="V90" i="10"/>
  <c r="U89" i="10"/>
  <c r="V89" i="10"/>
  <c r="H39" i="10"/>
  <c r="U88" i="10"/>
  <c r="V88" i="10"/>
  <c r="N42" i="10"/>
  <c r="N72" i="10"/>
  <c r="U91" i="10"/>
  <c r="V91" i="10"/>
  <c r="U87" i="10"/>
  <c r="V87" i="10"/>
  <c r="U86" i="10"/>
  <c r="V86" i="10"/>
  <c r="I63" i="10"/>
  <c r="I78" i="10"/>
  <c r="U85" i="10"/>
  <c r="V85" i="10"/>
  <c r="U93" i="10"/>
  <c r="V93" i="10"/>
  <c r="U84" i="10"/>
  <c r="V84" i="10"/>
  <c r="U92" i="10"/>
  <c r="V92" i="10"/>
  <c r="Y143" i="10"/>
  <c r="X136" i="10"/>
  <c r="X132" i="10"/>
  <c r="X138" i="10"/>
  <c r="X140" i="10"/>
  <c r="P143" i="10"/>
  <c r="O139" i="10"/>
  <c r="O133" i="10"/>
  <c r="M144" i="10"/>
  <c r="Q132" i="10"/>
  <c r="O137" i="10"/>
  <c r="O141" i="10"/>
  <c r="O135" i="10"/>
  <c r="G143" i="10"/>
  <c r="F134" i="10"/>
  <c r="H132" i="10"/>
  <c r="F136" i="10"/>
  <c r="L47" i="10"/>
  <c r="L77" i="10"/>
  <c r="I39" i="10"/>
  <c r="O42" i="10"/>
  <c r="O72" i="10"/>
  <c r="N47" i="10"/>
  <c r="N77" i="10"/>
  <c r="G40" i="10"/>
  <c r="G55" i="10"/>
  <c r="F55" i="10"/>
  <c r="J43" i="10"/>
  <c r="J73" i="10"/>
  <c r="M48" i="10"/>
  <c r="M78" i="10"/>
  <c r="H40" i="10"/>
  <c r="H70" i="10"/>
  <c r="I44" i="10"/>
  <c r="O48" i="10"/>
  <c r="O78" i="10"/>
  <c r="U68" i="10"/>
  <c r="N40" i="10"/>
  <c r="N70" i="10"/>
  <c r="M44" i="10"/>
  <c r="M74" i="10"/>
  <c r="M41" i="10"/>
  <c r="M71" i="10"/>
  <c r="L45" i="10"/>
  <c r="L60" i="10"/>
  <c r="H56" i="10"/>
  <c r="H71" i="10"/>
  <c r="P70" i="10"/>
  <c r="G38" i="10"/>
  <c r="G53" i="10"/>
  <c r="O41" i="10"/>
  <c r="O71" i="10"/>
  <c r="H46" i="10"/>
  <c r="I57" i="10"/>
  <c r="I72" i="10"/>
  <c r="P71" i="10"/>
  <c r="J38" i="10"/>
  <c r="J68" i="10"/>
  <c r="L42" i="10"/>
  <c r="L72" i="10"/>
  <c r="M46" i="10"/>
  <c r="M76" i="10"/>
  <c r="J61" i="10"/>
  <c r="F79" i="10"/>
  <c r="X79" i="10"/>
  <c r="G63" i="10"/>
  <c r="L76" i="10"/>
  <c r="G77" i="10"/>
  <c r="G62" i="10"/>
  <c r="G75" i="10"/>
  <c r="G60" i="10"/>
  <c r="L53" i="10"/>
  <c r="L68" i="10"/>
  <c r="L69" i="10"/>
  <c r="L54" i="10"/>
  <c r="G57" i="10"/>
  <c r="G72" i="10"/>
  <c r="D123" i="10"/>
  <c r="D124" i="10"/>
  <c r="D101" i="10"/>
  <c r="D98" i="10"/>
  <c r="G74" i="10"/>
  <c r="G59" i="10"/>
  <c r="L71" i="10"/>
  <c r="L56" i="10"/>
  <c r="G58" i="10"/>
  <c r="G73" i="10"/>
  <c r="L70" i="10"/>
  <c r="L55" i="10"/>
  <c r="O39" i="10"/>
  <c r="O69" i="10"/>
  <c r="U71" i="10"/>
  <c r="H38" i="10"/>
  <c r="G39" i="10"/>
  <c r="O40" i="10"/>
  <c r="O70" i="10"/>
  <c r="N41" i="10"/>
  <c r="N71" i="10"/>
  <c r="M42" i="10"/>
  <c r="M72" i="10"/>
  <c r="L43" i="10"/>
  <c r="J44" i="10"/>
  <c r="J74" i="10"/>
  <c r="I45" i="10"/>
  <c r="I75" i="10"/>
  <c r="J46" i="10"/>
  <c r="J76" i="10"/>
  <c r="M47" i="10"/>
  <c r="M77" i="10"/>
  <c r="N48" i="10"/>
  <c r="N78" i="10"/>
  <c r="J57" i="10"/>
  <c r="J72" i="10"/>
  <c r="I59" i="10"/>
  <c r="I74" i="10"/>
  <c r="H61" i="10"/>
  <c r="S68" i="10"/>
  <c r="Q70" i="10"/>
  <c r="R70" i="10"/>
  <c r="Q71" i="10"/>
  <c r="P72" i="10"/>
  <c r="R72" i="10"/>
  <c r="F98" i="10"/>
  <c r="D144" i="10"/>
  <c r="F141" i="10"/>
  <c r="F139" i="10"/>
  <c r="F137" i="10"/>
  <c r="F135" i="10"/>
  <c r="F133" i="10"/>
  <c r="H45" i="10"/>
  <c r="AC143" i="10"/>
  <c r="U70" i="10"/>
  <c r="S70" i="10"/>
  <c r="H58" i="10"/>
  <c r="Q73" i="10"/>
  <c r="U78" i="10"/>
  <c r="S78" i="10"/>
  <c r="I38" i="10"/>
  <c r="I68" i="10"/>
  <c r="M43" i="10"/>
  <c r="M73" i="10"/>
  <c r="L44" i="10"/>
  <c r="J45" i="10"/>
  <c r="J75" i="10"/>
  <c r="I54" i="10"/>
  <c r="I69" i="10"/>
  <c r="I61" i="10"/>
  <c r="I76" i="10"/>
  <c r="T68" i="10"/>
  <c r="T69" i="10"/>
  <c r="P73" i="10"/>
  <c r="P74" i="10"/>
  <c r="P75" i="10"/>
  <c r="U69" i="10"/>
  <c r="T70" i="10"/>
  <c r="S71" i="10"/>
  <c r="S72" i="10"/>
  <c r="Q74" i="10"/>
  <c r="Q75" i="10"/>
  <c r="P76" i="10"/>
  <c r="R76" i="10"/>
  <c r="G41" i="10"/>
  <c r="N43" i="10"/>
  <c r="N73" i="10"/>
  <c r="N46" i="10"/>
  <c r="N76" i="10"/>
  <c r="J54" i="10"/>
  <c r="J69" i="10"/>
  <c r="I40" i="10"/>
  <c r="I70" i="10"/>
  <c r="O43" i="10"/>
  <c r="O73" i="10"/>
  <c r="N45" i="10"/>
  <c r="N75" i="10"/>
  <c r="I56" i="10"/>
  <c r="I71" i="10"/>
  <c r="I58" i="10"/>
  <c r="I73" i="10"/>
  <c r="T71" i="10"/>
  <c r="T72" i="10"/>
  <c r="T73" i="10"/>
  <c r="P78" i="10"/>
  <c r="V123" i="10"/>
  <c r="Q143" i="10"/>
  <c r="R132" i="10"/>
  <c r="U75" i="10"/>
  <c r="M38" i="10"/>
  <c r="M68" i="10"/>
  <c r="J40" i="10"/>
  <c r="J70" i="10"/>
  <c r="H42" i="10"/>
  <c r="F42" i="10"/>
  <c r="O44" i="10"/>
  <c r="O74" i="10"/>
  <c r="O45" i="10"/>
  <c r="O75" i="10"/>
  <c r="H48" i="10"/>
  <c r="H78" i="10"/>
  <c r="H53" i="10"/>
  <c r="H60" i="10"/>
  <c r="U72" i="10"/>
  <c r="U73" i="10"/>
  <c r="T74" i="10"/>
  <c r="S75" i="10"/>
  <c r="S76" i="10"/>
  <c r="Q78" i="10"/>
  <c r="E98" i="10"/>
  <c r="M124" i="10"/>
  <c r="E101" i="10"/>
  <c r="H54" i="10"/>
  <c r="H69" i="10"/>
  <c r="Q69" i="10"/>
  <c r="R69" i="10"/>
  <c r="U74" i="10"/>
  <c r="S74" i="10"/>
  <c r="H62" i="10"/>
  <c r="Q77" i="10"/>
  <c r="R77" i="10"/>
  <c r="H47" i="10"/>
  <c r="F47" i="10"/>
  <c r="N38" i="10"/>
  <c r="N68" i="10"/>
  <c r="M39" i="10"/>
  <c r="M69" i="10"/>
  <c r="J41" i="10"/>
  <c r="J71" i="10"/>
  <c r="H43" i="10"/>
  <c r="F43" i="10"/>
  <c r="J48" i="10"/>
  <c r="J78" i="10"/>
  <c r="I62" i="10"/>
  <c r="I77" i="10"/>
  <c r="T75" i="10"/>
  <c r="T76" i="10"/>
  <c r="T77" i="10"/>
  <c r="F86" i="10"/>
  <c r="F97" i="10"/>
  <c r="S69" i="10"/>
  <c r="S77" i="10"/>
  <c r="O47" i="10"/>
  <c r="O77" i="10"/>
  <c r="S73" i="10"/>
  <c r="O38" i="10"/>
  <c r="O68" i="10"/>
  <c r="M40" i="10"/>
  <c r="M70" i="10"/>
  <c r="H44" i="10"/>
  <c r="G46" i="10"/>
  <c r="L48" i="10"/>
  <c r="H57" i="10"/>
  <c r="J62" i="10"/>
  <c r="J77" i="10"/>
  <c r="P68" i="10"/>
  <c r="R68" i="10"/>
  <c r="U76" i="10"/>
  <c r="U77" i="10"/>
  <c r="T78" i="10"/>
  <c r="F132" i="10"/>
  <c r="AB143" i="10"/>
  <c r="F140" i="10"/>
  <c r="V144" i="10"/>
  <c r="X141" i="10"/>
  <c r="X139" i="10"/>
  <c r="X137" i="10"/>
  <c r="X135" i="10"/>
  <c r="X133" i="10"/>
  <c r="O132" i="10"/>
  <c r="O134" i="10"/>
  <c r="O136" i="10"/>
  <c r="O138" i="10"/>
  <c r="F63" i="10"/>
  <c r="H76" i="10"/>
  <c r="R71" i="10"/>
  <c r="M146" i="10"/>
  <c r="M145" i="10"/>
  <c r="M147" i="10"/>
  <c r="H143" i="10"/>
  <c r="I132" i="10"/>
  <c r="H72" i="10"/>
  <c r="F72" i="10"/>
  <c r="X72" i="10"/>
  <c r="L57" i="10"/>
  <c r="L75" i="10"/>
  <c r="L62" i="10"/>
  <c r="G70" i="10"/>
  <c r="F38" i="10"/>
  <c r="G68" i="10"/>
  <c r="H75" i="10"/>
  <c r="F75" i="10"/>
  <c r="H68" i="10"/>
  <c r="F68" i="10"/>
  <c r="X68" i="10"/>
  <c r="R73" i="10"/>
  <c r="F59" i="10"/>
  <c r="F58" i="10"/>
  <c r="F44" i="10"/>
  <c r="F78" i="10"/>
  <c r="F45" i="10"/>
  <c r="D79" i="10"/>
  <c r="H77" i="10"/>
  <c r="F77" i="10"/>
  <c r="X77" i="10"/>
  <c r="V73" i="10"/>
  <c r="V69" i="10"/>
  <c r="V74" i="10"/>
  <c r="R75" i="10"/>
  <c r="R74" i="10"/>
  <c r="V146" i="10"/>
  <c r="V145" i="10"/>
  <c r="V147" i="10"/>
  <c r="G71" i="10"/>
  <c r="F71" i="10"/>
  <c r="X71" i="10"/>
  <c r="G56" i="10"/>
  <c r="F56" i="10"/>
  <c r="F41" i="10"/>
  <c r="H74" i="10"/>
  <c r="F74" i="10"/>
  <c r="V70" i="10"/>
  <c r="V78" i="10"/>
  <c r="F40" i="10"/>
  <c r="F60" i="10"/>
  <c r="F53" i="10"/>
  <c r="F39" i="10"/>
  <c r="G69" i="10"/>
  <c r="F69" i="10"/>
  <c r="X69" i="10"/>
  <c r="G54" i="10"/>
  <c r="F54" i="10"/>
  <c r="F57" i="10"/>
  <c r="V76" i="10"/>
  <c r="F48" i="10"/>
  <c r="D146" i="10"/>
  <c r="D145" i="10"/>
  <c r="D147" i="10"/>
  <c r="V68" i="10"/>
  <c r="R143" i="10"/>
  <c r="E86" i="10"/>
  <c r="E97" i="10"/>
  <c r="V77" i="10"/>
  <c r="V75" i="10"/>
  <c r="R78" i="10"/>
  <c r="L74" i="10"/>
  <c r="L59" i="10"/>
  <c r="L63" i="10"/>
  <c r="L78" i="10"/>
  <c r="V72" i="10"/>
  <c r="F70" i="10"/>
  <c r="X70" i="10"/>
  <c r="L73" i="10"/>
  <c r="L58" i="10"/>
  <c r="Y79" i="10"/>
  <c r="Z79" i="10"/>
  <c r="F62" i="10"/>
  <c r="F46" i="10"/>
  <c r="G76" i="10"/>
  <c r="F76" i="10"/>
  <c r="X76" i="10"/>
  <c r="G61" i="10"/>
  <c r="F61" i="10"/>
  <c r="V71" i="10"/>
  <c r="H73" i="10"/>
  <c r="F73" i="10"/>
  <c r="X78" i="10"/>
  <c r="X75" i="10"/>
  <c r="M148" i="10"/>
  <c r="M150" i="10"/>
  <c r="E102" i="10"/>
  <c r="E103" i="10"/>
  <c r="M149" i="10"/>
  <c r="E99" i="10"/>
  <c r="E100" i="10"/>
  <c r="D86" i="10"/>
  <c r="D97" i="10"/>
  <c r="I143" i="10"/>
  <c r="X74" i="10"/>
  <c r="Y74" i="10"/>
  <c r="X73" i="10"/>
  <c r="Z73" i="10"/>
  <c r="Z78" i="10"/>
  <c r="Y78" i="10"/>
  <c r="AA79" i="10"/>
  <c r="AB79" i="10"/>
  <c r="AC79" i="10"/>
  <c r="V149" i="10"/>
  <c r="F99" i="10"/>
  <c r="F100" i="10"/>
  <c r="V148" i="10"/>
  <c r="V150" i="10"/>
  <c r="F102" i="10"/>
  <c r="F103" i="10"/>
  <c r="Y75" i="10"/>
  <c r="Z75" i="10"/>
  <c r="Z71" i="10"/>
  <c r="Y71" i="10"/>
  <c r="Z72" i="10"/>
  <c r="Y72" i="10"/>
  <c r="Z68" i="10"/>
  <c r="Y68" i="10"/>
  <c r="Z69" i="10"/>
  <c r="Y69" i="10"/>
  <c r="D149" i="10"/>
  <c r="D99" i="10"/>
  <c r="D100" i="10"/>
  <c r="D148" i="10"/>
  <c r="D150" i="10"/>
  <c r="D102" i="10"/>
  <c r="D103" i="10"/>
  <c r="Z76" i="10"/>
  <c r="Y76" i="10"/>
  <c r="Z70" i="10"/>
  <c r="Y70" i="10"/>
  <c r="Z77" i="10"/>
  <c r="Y77" i="10"/>
  <c r="AB412" i="9"/>
  <c r="Y412" i="9"/>
  <c r="AA412" i="9" s="1"/>
  <c r="W412" i="9"/>
  <c r="S412" i="9"/>
  <c r="AC412" i="9" s="1"/>
  <c r="AB411" i="9"/>
  <c r="Y411" i="9"/>
  <c r="AD411" i="9" s="1"/>
  <c r="W411" i="9"/>
  <c r="S411" i="9"/>
  <c r="AC411" i="9" s="1"/>
  <c r="AE411" i="9" s="1"/>
  <c r="Q411" i="9"/>
  <c r="O411" i="9"/>
  <c r="AB410" i="9"/>
  <c r="Y410" i="9"/>
  <c r="W410" i="9"/>
  <c r="S410" i="9"/>
  <c r="AC410" i="9" s="1"/>
  <c r="AE410" i="9" s="1"/>
  <c r="Q410" i="9"/>
  <c r="O410" i="9"/>
  <c r="AB409" i="9"/>
  <c r="Y409" i="9"/>
  <c r="AA409" i="9" s="1"/>
  <c r="W409" i="9"/>
  <c r="S409" i="9"/>
  <c r="AC409" i="9" s="1"/>
  <c r="AE409" i="9" s="1"/>
  <c r="Q409" i="9"/>
  <c r="O409" i="9"/>
  <c r="AB408" i="9"/>
  <c r="Y408" i="9"/>
  <c r="AA408" i="9" s="1"/>
  <c r="W408" i="9"/>
  <c r="S408" i="9"/>
  <c r="P408" i="9" s="1"/>
  <c r="R408" i="9" s="1"/>
  <c r="Q408" i="9"/>
  <c r="O408" i="9"/>
  <c r="AB407" i="9"/>
  <c r="Y407" i="9"/>
  <c r="AA407" i="9" s="1"/>
  <c r="W407" i="9"/>
  <c r="S407" i="9"/>
  <c r="P407" i="9" s="1"/>
  <c r="R407" i="9" s="1"/>
  <c r="Q407" i="9"/>
  <c r="O407" i="9"/>
  <c r="AB406" i="9"/>
  <c r="Y406" i="9"/>
  <c r="AD406" i="9" s="1"/>
  <c r="W406" i="9"/>
  <c r="S406" i="9"/>
  <c r="P406" i="9" s="1"/>
  <c r="R406" i="9" s="1"/>
  <c r="Q406" i="9"/>
  <c r="O406" i="9"/>
  <c r="AB405" i="9"/>
  <c r="Y405" i="9"/>
  <c r="AD405" i="9" s="1"/>
  <c r="W405" i="9"/>
  <c r="S405" i="9"/>
  <c r="P405" i="9" s="1"/>
  <c r="R405" i="9" s="1"/>
  <c r="Q405" i="9"/>
  <c r="O405" i="9"/>
  <c r="AB404" i="9"/>
  <c r="Y404" i="9"/>
  <c r="AD404" i="9" s="1"/>
  <c r="W404" i="9"/>
  <c r="S404" i="9"/>
  <c r="P404" i="9" s="1"/>
  <c r="R404" i="9" s="1"/>
  <c r="Q404" i="9"/>
  <c r="O404" i="9"/>
  <c r="AB403" i="9"/>
  <c r="Y403" i="9"/>
  <c r="AD403" i="9" s="1"/>
  <c r="W403" i="9"/>
  <c r="S403" i="9"/>
  <c r="AC403" i="9" s="1"/>
  <c r="AE403" i="9" s="1"/>
  <c r="Q403" i="9"/>
  <c r="O403" i="9"/>
  <c r="AB402" i="9"/>
  <c r="Y402" i="9"/>
  <c r="W402" i="9"/>
  <c r="S402" i="9"/>
  <c r="Q402" i="9"/>
  <c r="O402" i="9"/>
  <c r="AB401" i="9"/>
  <c r="Y401" i="9"/>
  <c r="W401" i="9"/>
  <c r="S401" i="9"/>
  <c r="AC401" i="9" s="1"/>
  <c r="AE401" i="9" s="1"/>
  <c r="Q401" i="9"/>
  <c r="O401" i="9"/>
  <c r="AB400" i="9"/>
  <c r="Y400" i="9"/>
  <c r="W400" i="9"/>
  <c r="S400" i="9"/>
  <c r="AC400" i="9" s="1"/>
  <c r="AE400" i="9" s="1"/>
  <c r="M400" i="9"/>
  <c r="K400" i="9"/>
  <c r="J400" i="9"/>
  <c r="AB399" i="9"/>
  <c r="Y399" i="9"/>
  <c r="AD399" i="9" s="1"/>
  <c r="W399" i="9"/>
  <c r="S399" i="9"/>
  <c r="AC399" i="9" s="1"/>
  <c r="AE399" i="9" s="1"/>
  <c r="Q399" i="9"/>
  <c r="O399" i="9"/>
  <c r="N399" i="9"/>
  <c r="K399" i="9"/>
  <c r="J399" i="9"/>
  <c r="AB398" i="9"/>
  <c r="Y398" i="9"/>
  <c r="AD398" i="9" s="1"/>
  <c r="W398" i="9"/>
  <c r="S398" i="9"/>
  <c r="AC398" i="9" s="1"/>
  <c r="AE398" i="9" s="1"/>
  <c r="Q398" i="9"/>
  <c r="O398" i="9"/>
  <c r="N398" i="9"/>
  <c r="K398" i="9"/>
  <c r="J398" i="9"/>
  <c r="AB397" i="9"/>
  <c r="Y397" i="9"/>
  <c r="AA397" i="9" s="1"/>
  <c r="W397" i="9"/>
  <c r="S397" i="9"/>
  <c r="AC397" i="9" s="1"/>
  <c r="AE397" i="9" s="1"/>
  <c r="Q397" i="9"/>
  <c r="O397" i="9"/>
  <c r="N397" i="9"/>
  <c r="K397" i="9"/>
  <c r="J397" i="9"/>
  <c r="AB396" i="9"/>
  <c r="Y396" i="9"/>
  <c r="AA396" i="9" s="1"/>
  <c r="W396" i="9"/>
  <c r="S396" i="9"/>
  <c r="P396" i="9" s="1"/>
  <c r="R396" i="9" s="1"/>
  <c r="Q396" i="9"/>
  <c r="O396" i="9"/>
  <c r="N396" i="9"/>
  <c r="K396" i="9"/>
  <c r="J396" i="9"/>
  <c r="AB395" i="9"/>
  <c r="Y395" i="9"/>
  <c r="AA395" i="9" s="1"/>
  <c r="W395" i="9"/>
  <c r="S395" i="9"/>
  <c r="P395" i="9" s="1"/>
  <c r="R395" i="9" s="1"/>
  <c r="Q395" i="9"/>
  <c r="O395" i="9"/>
  <c r="N395" i="9"/>
  <c r="K395" i="9"/>
  <c r="J395" i="9"/>
  <c r="AB394" i="9"/>
  <c r="Y394" i="9"/>
  <c r="AD394" i="9" s="1"/>
  <c r="W394" i="9"/>
  <c r="S394" i="9"/>
  <c r="P394" i="9" s="1"/>
  <c r="R394" i="9" s="1"/>
  <c r="Q394" i="9"/>
  <c r="O394" i="9"/>
  <c r="N394" i="9"/>
  <c r="K394" i="9"/>
  <c r="J394" i="9"/>
  <c r="AB393" i="9"/>
  <c r="Y393" i="9"/>
  <c r="AD393" i="9" s="1"/>
  <c r="W393" i="9"/>
  <c r="S393" i="9"/>
  <c r="AC393" i="9" s="1"/>
  <c r="AE393" i="9" s="1"/>
  <c r="Q393" i="9"/>
  <c r="O393" i="9"/>
  <c r="N393" i="9"/>
  <c r="K393" i="9"/>
  <c r="J393" i="9"/>
  <c r="AB392" i="9"/>
  <c r="Y392" i="9"/>
  <c r="AD392" i="9" s="1"/>
  <c r="W392" i="9"/>
  <c r="S392" i="9"/>
  <c r="P392" i="9" s="1"/>
  <c r="R392" i="9" s="1"/>
  <c r="Q392" i="9"/>
  <c r="O392" i="9"/>
  <c r="N392" i="9"/>
  <c r="K392" i="9"/>
  <c r="J392" i="9"/>
  <c r="AB391" i="9"/>
  <c r="Y391" i="9"/>
  <c r="AD391" i="9" s="1"/>
  <c r="W391" i="9"/>
  <c r="S391" i="9"/>
  <c r="AC391" i="9" s="1"/>
  <c r="AE391" i="9" s="1"/>
  <c r="Q391" i="9"/>
  <c r="O391" i="9"/>
  <c r="N391" i="9"/>
  <c r="K391" i="9"/>
  <c r="J391" i="9"/>
  <c r="AB390" i="9"/>
  <c r="Y390" i="9"/>
  <c r="W390" i="9"/>
  <c r="S390" i="9"/>
  <c r="AC390" i="9" s="1"/>
  <c r="AE390" i="9" s="1"/>
  <c r="Q390" i="9"/>
  <c r="O390" i="9"/>
  <c r="N390" i="9"/>
  <c r="K390" i="9"/>
  <c r="J390" i="9"/>
  <c r="AB389" i="9"/>
  <c r="Y389" i="9"/>
  <c r="W389" i="9"/>
  <c r="S389" i="9"/>
  <c r="AC389" i="9" s="1"/>
  <c r="AE389" i="9" s="1"/>
  <c r="Q389" i="9"/>
  <c r="O389" i="9"/>
  <c r="N389" i="9"/>
  <c r="K389" i="9"/>
  <c r="J389" i="9"/>
  <c r="M376" i="9"/>
  <c r="AB364" i="9"/>
  <c r="Y364" i="9"/>
  <c r="AA364" i="9" s="1"/>
  <c r="W364" i="9"/>
  <c r="S364" i="9"/>
  <c r="AC364" i="9" s="1"/>
  <c r="AE364" i="9" s="1"/>
  <c r="M364" i="9"/>
  <c r="O364" i="9" s="1"/>
  <c r="K364" i="9"/>
  <c r="J364" i="9"/>
  <c r="AB363" i="9"/>
  <c r="Y363" i="9"/>
  <c r="AD363" i="9" s="1"/>
  <c r="W363" i="9"/>
  <c r="S363" i="9"/>
  <c r="AC363" i="9" s="1"/>
  <c r="AE363" i="9" s="1"/>
  <c r="Q363" i="9"/>
  <c r="O363" i="9"/>
  <c r="N363" i="9"/>
  <c r="K363" i="9"/>
  <c r="J363" i="9"/>
  <c r="AB362" i="9"/>
  <c r="Y362" i="9"/>
  <c r="W362" i="9"/>
  <c r="S362" i="9"/>
  <c r="AC362" i="9" s="1"/>
  <c r="AE362" i="9" s="1"/>
  <c r="Q362" i="9"/>
  <c r="O362" i="9"/>
  <c r="N362" i="9"/>
  <c r="K362" i="9"/>
  <c r="J362" i="9"/>
  <c r="AB361" i="9"/>
  <c r="Y361" i="9"/>
  <c r="AA361" i="9" s="1"/>
  <c r="W361" i="9"/>
  <c r="S361" i="9"/>
  <c r="AC361" i="9" s="1"/>
  <c r="AE361" i="9" s="1"/>
  <c r="Q361" i="9"/>
  <c r="O361" i="9"/>
  <c r="N361" i="9"/>
  <c r="K361" i="9"/>
  <c r="J361" i="9"/>
  <c r="AB360" i="9"/>
  <c r="Y360" i="9"/>
  <c r="AA360" i="9" s="1"/>
  <c r="W360" i="9"/>
  <c r="S360" i="9"/>
  <c r="Q360" i="9"/>
  <c r="O360" i="9"/>
  <c r="N360" i="9"/>
  <c r="K360" i="9"/>
  <c r="J360" i="9"/>
  <c r="AB359" i="9"/>
  <c r="Y359" i="9"/>
  <c r="AA359" i="9" s="1"/>
  <c r="W359" i="9"/>
  <c r="S359" i="9"/>
  <c r="P359" i="9" s="1"/>
  <c r="R359" i="9" s="1"/>
  <c r="Q359" i="9"/>
  <c r="O359" i="9"/>
  <c r="N359" i="9"/>
  <c r="K359" i="9"/>
  <c r="J359" i="9"/>
  <c r="AB358" i="9"/>
  <c r="Y358" i="9"/>
  <c r="AA358" i="9" s="1"/>
  <c r="W358" i="9"/>
  <c r="S358" i="9"/>
  <c r="P358" i="9" s="1"/>
  <c r="R358" i="9" s="1"/>
  <c r="Q358" i="9"/>
  <c r="O358" i="9"/>
  <c r="N358" i="9"/>
  <c r="K358" i="9"/>
  <c r="J358" i="9"/>
  <c r="AB357" i="9"/>
  <c r="Y357" i="9"/>
  <c r="W357" i="9"/>
  <c r="S357" i="9"/>
  <c r="Q357" i="9"/>
  <c r="O357" i="9"/>
  <c r="N357" i="9"/>
  <c r="K357" i="9"/>
  <c r="J357" i="9"/>
  <c r="AB356" i="9"/>
  <c r="Y356" i="9"/>
  <c r="AD356" i="9" s="1"/>
  <c r="W356" i="9"/>
  <c r="S356" i="9"/>
  <c r="Q356" i="9"/>
  <c r="O356" i="9"/>
  <c r="N356" i="9"/>
  <c r="K356" i="9"/>
  <c r="J356" i="9"/>
  <c r="AB355" i="9"/>
  <c r="Y355" i="9"/>
  <c r="AD355" i="9" s="1"/>
  <c r="W355" i="9"/>
  <c r="S355" i="9"/>
  <c r="AC355" i="9" s="1"/>
  <c r="AE355" i="9" s="1"/>
  <c r="Q355" i="9"/>
  <c r="O355" i="9"/>
  <c r="N355" i="9"/>
  <c r="K355" i="9"/>
  <c r="J355" i="9"/>
  <c r="AB354" i="9"/>
  <c r="Y354" i="9"/>
  <c r="AD354" i="9" s="1"/>
  <c r="W354" i="9"/>
  <c r="S354" i="9"/>
  <c r="AC354" i="9" s="1"/>
  <c r="AE354" i="9" s="1"/>
  <c r="Q354" i="9"/>
  <c r="O354" i="9"/>
  <c r="N354" i="9"/>
  <c r="K354" i="9"/>
  <c r="J354" i="9"/>
  <c r="AB353" i="9"/>
  <c r="Y353" i="9"/>
  <c r="AA353" i="9" s="1"/>
  <c r="W353" i="9"/>
  <c r="S353" i="9"/>
  <c r="Q353" i="9"/>
  <c r="O353" i="9"/>
  <c r="N353" i="9"/>
  <c r="K353" i="9"/>
  <c r="J353" i="9"/>
  <c r="AB352" i="9"/>
  <c r="Y352" i="9"/>
  <c r="AA352" i="9" s="1"/>
  <c r="W352" i="9"/>
  <c r="S352" i="9"/>
  <c r="M352" i="9"/>
  <c r="N352" i="9" s="1"/>
  <c r="K352" i="9"/>
  <c r="J352" i="9"/>
  <c r="AB351" i="9"/>
  <c r="Y351" i="9"/>
  <c r="AA351" i="9" s="1"/>
  <c r="W351" i="9"/>
  <c r="S351" i="9"/>
  <c r="Q351" i="9"/>
  <c r="O351" i="9"/>
  <c r="N351" i="9"/>
  <c r="K351" i="9"/>
  <c r="J351" i="9"/>
  <c r="AB350" i="9"/>
  <c r="Y350" i="9"/>
  <c r="AA350" i="9" s="1"/>
  <c r="W350" i="9"/>
  <c r="S350" i="9"/>
  <c r="P350" i="9" s="1"/>
  <c r="R350" i="9" s="1"/>
  <c r="Q350" i="9"/>
  <c r="O350" i="9"/>
  <c r="N350" i="9"/>
  <c r="K350" i="9"/>
  <c r="J350" i="9"/>
  <c r="AB349" i="9"/>
  <c r="Y349" i="9"/>
  <c r="AA349" i="9" s="1"/>
  <c r="W349" i="9"/>
  <c r="S349" i="9"/>
  <c r="P349" i="9" s="1"/>
  <c r="R349" i="9" s="1"/>
  <c r="Q349" i="9"/>
  <c r="O349" i="9"/>
  <c r="N349" i="9"/>
  <c r="K349" i="9"/>
  <c r="J349" i="9"/>
  <c r="AB348" i="9"/>
  <c r="Y348" i="9"/>
  <c r="W348" i="9"/>
  <c r="S348" i="9"/>
  <c r="P348" i="9" s="1"/>
  <c r="R348" i="9" s="1"/>
  <c r="Q348" i="9"/>
  <c r="O348" i="9"/>
  <c r="N348" i="9"/>
  <c r="K348" i="9"/>
  <c r="J348" i="9"/>
  <c r="AB347" i="9"/>
  <c r="Y347" i="9"/>
  <c r="AA347" i="9" s="1"/>
  <c r="W347" i="9"/>
  <c r="S347" i="9"/>
  <c r="AC347" i="9" s="1"/>
  <c r="AE347" i="9" s="1"/>
  <c r="Q347" i="9"/>
  <c r="O347" i="9"/>
  <c r="N347" i="9"/>
  <c r="K347" i="9"/>
  <c r="J347" i="9"/>
  <c r="AB346" i="9"/>
  <c r="Y346" i="9"/>
  <c r="AD346" i="9" s="1"/>
  <c r="W346" i="9"/>
  <c r="S346" i="9"/>
  <c r="AC346" i="9" s="1"/>
  <c r="AE346" i="9" s="1"/>
  <c r="Q346" i="9"/>
  <c r="O346" i="9"/>
  <c r="N346" i="9"/>
  <c r="K346" i="9"/>
  <c r="J346" i="9"/>
  <c r="AB345" i="9"/>
  <c r="Y345" i="9"/>
  <c r="AD345" i="9" s="1"/>
  <c r="W345" i="9"/>
  <c r="S345" i="9"/>
  <c r="Q345" i="9"/>
  <c r="O345" i="9"/>
  <c r="N345" i="9"/>
  <c r="K345" i="9"/>
  <c r="J345" i="9"/>
  <c r="AB344" i="9"/>
  <c r="Y344" i="9"/>
  <c r="AA344" i="9" s="1"/>
  <c r="W344" i="9"/>
  <c r="S344" i="9"/>
  <c r="Q344" i="9"/>
  <c r="O344" i="9"/>
  <c r="N344" i="9"/>
  <c r="K344" i="9"/>
  <c r="J344" i="9"/>
  <c r="AB343" i="9"/>
  <c r="Y343" i="9"/>
  <c r="AA343" i="9" s="1"/>
  <c r="W343" i="9"/>
  <c r="S343" i="9"/>
  <c r="AC343" i="9" s="1"/>
  <c r="AE343" i="9" s="1"/>
  <c r="Q343" i="9"/>
  <c r="O343" i="9"/>
  <c r="N343" i="9"/>
  <c r="K343" i="9"/>
  <c r="J343" i="9"/>
  <c r="AB342" i="9"/>
  <c r="Y342" i="9"/>
  <c r="AA342" i="9" s="1"/>
  <c r="W342" i="9"/>
  <c r="S342" i="9"/>
  <c r="AC342" i="9" s="1"/>
  <c r="AE342" i="9" s="1"/>
  <c r="Q342" i="9"/>
  <c r="O342" i="9"/>
  <c r="N342" i="9"/>
  <c r="K342" i="9"/>
  <c r="J342" i="9"/>
  <c r="AB341" i="9"/>
  <c r="Y341" i="9"/>
  <c r="AA341" i="9" s="1"/>
  <c r="W341" i="9"/>
  <c r="S341" i="9"/>
  <c r="Q341" i="9"/>
  <c r="O341" i="9"/>
  <c r="N341" i="9"/>
  <c r="K341" i="9"/>
  <c r="J341" i="9"/>
  <c r="AB340" i="9"/>
  <c r="Y340" i="9"/>
  <c r="W340" i="9"/>
  <c r="S340" i="9"/>
  <c r="AC340" i="9" s="1"/>
  <c r="AE340" i="9" s="1"/>
  <c r="M340" i="9"/>
  <c r="O340" i="9" s="1"/>
  <c r="K340" i="9"/>
  <c r="J340" i="9"/>
  <c r="AB339" i="9"/>
  <c r="Y339" i="9"/>
  <c r="AA339" i="9" s="1"/>
  <c r="W339" i="9"/>
  <c r="S339" i="9"/>
  <c r="AC339" i="9" s="1"/>
  <c r="AE339" i="9" s="1"/>
  <c r="Q339" i="9"/>
  <c r="O339" i="9"/>
  <c r="N339" i="9"/>
  <c r="K339" i="9"/>
  <c r="J339" i="9"/>
  <c r="AB338" i="9"/>
  <c r="Y338" i="9"/>
  <c r="AA338" i="9" s="1"/>
  <c r="W338" i="9"/>
  <c r="S338" i="9"/>
  <c r="P338" i="9" s="1"/>
  <c r="R338" i="9" s="1"/>
  <c r="Q338" i="9"/>
  <c r="O338" i="9"/>
  <c r="N338" i="9"/>
  <c r="K338" i="9"/>
  <c r="J338" i="9"/>
  <c r="AB337" i="9"/>
  <c r="Y337" i="9"/>
  <c r="AD337" i="9" s="1"/>
  <c r="W337" i="9"/>
  <c r="S337" i="9"/>
  <c r="Q337" i="9"/>
  <c r="O337" i="9"/>
  <c r="N337" i="9"/>
  <c r="K337" i="9"/>
  <c r="J337" i="9"/>
  <c r="AB336" i="9"/>
  <c r="Y336" i="9"/>
  <c r="AA336" i="9" s="1"/>
  <c r="W336" i="9"/>
  <c r="S336" i="9"/>
  <c r="Q336" i="9"/>
  <c r="O336" i="9"/>
  <c r="N336" i="9"/>
  <c r="K336" i="9"/>
  <c r="J336" i="9"/>
  <c r="AB335" i="9"/>
  <c r="Y335" i="9"/>
  <c r="AA335" i="9" s="1"/>
  <c r="W335" i="9"/>
  <c r="S335" i="9"/>
  <c r="P335" i="9" s="1"/>
  <c r="R335" i="9" s="1"/>
  <c r="Q335" i="9"/>
  <c r="O335" i="9"/>
  <c r="N335" i="9"/>
  <c r="K335" i="9"/>
  <c r="J335" i="9"/>
  <c r="AB334" i="9"/>
  <c r="Y334" i="9"/>
  <c r="W334" i="9"/>
  <c r="S334" i="9"/>
  <c r="AC334" i="9" s="1"/>
  <c r="AE334" i="9" s="1"/>
  <c r="Q334" i="9"/>
  <c r="O334" i="9"/>
  <c r="N334" i="9"/>
  <c r="K334" i="9"/>
  <c r="J334" i="9"/>
  <c r="AB333" i="9"/>
  <c r="Y333" i="9"/>
  <c r="AD333" i="9" s="1"/>
  <c r="W333" i="9"/>
  <c r="S333" i="9"/>
  <c r="AC333" i="9" s="1"/>
  <c r="AE333" i="9" s="1"/>
  <c r="Q333" i="9"/>
  <c r="O333" i="9"/>
  <c r="N333" i="9"/>
  <c r="K333" i="9"/>
  <c r="J333" i="9"/>
  <c r="AB332" i="9"/>
  <c r="Y332" i="9"/>
  <c r="AD332" i="9" s="1"/>
  <c r="W332" i="9"/>
  <c r="S332" i="9"/>
  <c r="Q332" i="9"/>
  <c r="O332" i="9"/>
  <c r="N332" i="9"/>
  <c r="K332" i="9"/>
  <c r="J332" i="9"/>
  <c r="AB331" i="9"/>
  <c r="Y331" i="9"/>
  <c r="AA331" i="9" s="1"/>
  <c r="W331" i="9"/>
  <c r="S331" i="9"/>
  <c r="Q331" i="9"/>
  <c r="O331" i="9"/>
  <c r="N331" i="9"/>
  <c r="K331" i="9"/>
  <c r="J331" i="9"/>
  <c r="AB330" i="9"/>
  <c r="Y330" i="9"/>
  <c r="W330" i="9"/>
  <c r="S330" i="9"/>
  <c r="P330" i="9" s="1"/>
  <c r="R330" i="9" s="1"/>
  <c r="Q330" i="9"/>
  <c r="O330" i="9"/>
  <c r="N330" i="9"/>
  <c r="K330" i="9"/>
  <c r="J330" i="9"/>
  <c r="AB329" i="9"/>
  <c r="Y329" i="9"/>
  <c r="W329" i="9"/>
  <c r="S329" i="9"/>
  <c r="AC329" i="9" s="1"/>
  <c r="AE329" i="9" s="1"/>
  <c r="Q329" i="9"/>
  <c r="O329" i="9"/>
  <c r="N329" i="9"/>
  <c r="K329" i="9"/>
  <c r="J329" i="9"/>
  <c r="Z328" i="9"/>
  <c r="Y328" i="9"/>
  <c r="W328" i="9"/>
  <c r="S328" i="9"/>
  <c r="M328" i="9"/>
  <c r="K328" i="9"/>
  <c r="J328" i="9"/>
  <c r="AB327" i="9"/>
  <c r="Y327" i="9"/>
  <c r="AD327" i="9" s="1"/>
  <c r="W327" i="9"/>
  <c r="S327" i="9"/>
  <c r="AC327" i="9" s="1"/>
  <c r="AE327" i="9" s="1"/>
  <c r="Q327" i="9"/>
  <c r="O327" i="9"/>
  <c r="N327" i="9"/>
  <c r="K327" i="9"/>
  <c r="J327" i="9"/>
  <c r="AB326" i="9"/>
  <c r="Y326" i="9"/>
  <c r="AD326" i="9" s="1"/>
  <c r="W326" i="9"/>
  <c r="S326" i="9"/>
  <c r="AC326" i="9" s="1"/>
  <c r="AE326" i="9" s="1"/>
  <c r="Q326" i="9"/>
  <c r="O326" i="9"/>
  <c r="N326" i="9"/>
  <c r="K326" i="9"/>
  <c r="J326" i="9"/>
  <c r="AB325" i="9"/>
  <c r="Y325" i="9"/>
  <c r="AA325" i="9" s="1"/>
  <c r="W325" i="9"/>
  <c r="S325" i="9"/>
  <c r="AC325" i="9" s="1"/>
  <c r="AE325" i="9" s="1"/>
  <c r="Q325" i="9"/>
  <c r="O325" i="9"/>
  <c r="N325" i="9"/>
  <c r="K325" i="9"/>
  <c r="J325" i="9"/>
  <c r="AB324" i="9"/>
  <c r="Y324" i="9"/>
  <c r="AA324" i="9" s="1"/>
  <c r="W324" i="9"/>
  <c r="S324" i="9"/>
  <c r="Q324" i="9"/>
  <c r="O324" i="9"/>
  <c r="N324" i="9"/>
  <c r="K324" i="9"/>
  <c r="J324" i="9"/>
  <c r="AB323" i="9"/>
  <c r="Y323" i="9"/>
  <c r="AA323" i="9" s="1"/>
  <c r="W323" i="9"/>
  <c r="S323" i="9"/>
  <c r="P323" i="9" s="1"/>
  <c r="R323" i="9" s="1"/>
  <c r="Q323" i="9"/>
  <c r="O323" i="9"/>
  <c r="N323" i="9"/>
  <c r="K323" i="9"/>
  <c r="J323" i="9"/>
  <c r="AB322" i="9"/>
  <c r="Y322" i="9"/>
  <c r="W322" i="9"/>
  <c r="S322" i="9"/>
  <c r="P322" i="9" s="1"/>
  <c r="R322" i="9" s="1"/>
  <c r="Q322" i="9"/>
  <c r="O322" i="9"/>
  <c r="N322" i="9"/>
  <c r="K322" i="9"/>
  <c r="J322" i="9"/>
  <c r="AB321" i="9"/>
  <c r="Y321" i="9"/>
  <c r="AD321" i="9" s="1"/>
  <c r="W321" i="9"/>
  <c r="S321" i="9"/>
  <c r="P321" i="9" s="1"/>
  <c r="R321" i="9" s="1"/>
  <c r="Q321" i="9"/>
  <c r="O321" i="9"/>
  <c r="N321" i="9"/>
  <c r="K321" i="9"/>
  <c r="J321" i="9"/>
  <c r="AB320" i="9"/>
  <c r="Y320" i="9"/>
  <c r="AD320" i="9" s="1"/>
  <c r="W320" i="9"/>
  <c r="S320" i="9"/>
  <c r="AC320" i="9" s="1"/>
  <c r="AE320" i="9" s="1"/>
  <c r="Q320" i="9"/>
  <c r="O320" i="9"/>
  <c r="N320" i="9"/>
  <c r="K320" i="9"/>
  <c r="J320" i="9"/>
  <c r="AB319" i="9"/>
  <c r="Y319" i="9"/>
  <c r="AD319" i="9" s="1"/>
  <c r="W319" i="9"/>
  <c r="S319" i="9"/>
  <c r="AC319" i="9" s="1"/>
  <c r="AE319" i="9" s="1"/>
  <c r="Q319" i="9"/>
  <c r="O319" i="9"/>
  <c r="N319" i="9"/>
  <c r="K319" i="9"/>
  <c r="J319" i="9"/>
  <c r="AB318" i="9"/>
  <c r="Y318" i="9"/>
  <c r="AD318" i="9" s="1"/>
  <c r="W318" i="9"/>
  <c r="S318" i="9"/>
  <c r="AC318" i="9" s="1"/>
  <c r="AE318" i="9" s="1"/>
  <c r="Q318" i="9"/>
  <c r="O318" i="9"/>
  <c r="N318" i="9"/>
  <c r="K318" i="9"/>
  <c r="J318" i="9"/>
  <c r="AB317" i="9"/>
  <c r="Y317" i="9"/>
  <c r="AA317" i="9" s="1"/>
  <c r="W317" i="9"/>
  <c r="S317" i="9"/>
  <c r="AC317" i="9" s="1"/>
  <c r="AE317" i="9" s="1"/>
  <c r="Q317" i="9"/>
  <c r="O317" i="9"/>
  <c r="N317" i="9"/>
  <c r="K317" i="9"/>
  <c r="J317" i="9"/>
  <c r="AB316" i="9"/>
  <c r="Y316" i="9"/>
  <c r="AA316" i="9" s="1"/>
  <c r="W316" i="9"/>
  <c r="S316" i="9"/>
  <c r="M316" i="9"/>
  <c r="N316" i="9" s="1"/>
  <c r="K316" i="9"/>
  <c r="J316" i="9"/>
  <c r="AB315" i="9"/>
  <c r="Y315" i="9"/>
  <c r="AD315" i="9" s="1"/>
  <c r="W315" i="9"/>
  <c r="S315" i="9"/>
  <c r="AC315" i="9" s="1"/>
  <c r="AE315" i="9" s="1"/>
  <c r="Q315" i="9"/>
  <c r="O315" i="9"/>
  <c r="N315" i="9"/>
  <c r="K315" i="9"/>
  <c r="J315" i="9"/>
  <c r="AB314" i="9"/>
  <c r="Y314" i="9"/>
  <c r="W314" i="9"/>
  <c r="S314" i="9"/>
  <c r="Q314" i="9"/>
  <c r="O314" i="9"/>
  <c r="N314" i="9"/>
  <c r="K314" i="9"/>
  <c r="J314" i="9"/>
  <c r="AB313" i="9"/>
  <c r="Y313" i="9"/>
  <c r="AA313" i="9" s="1"/>
  <c r="W313" i="9"/>
  <c r="S313" i="9"/>
  <c r="Q313" i="9"/>
  <c r="O313" i="9"/>
  <c r="N313" i="9"/>
  <c r="K313" i="9"/>
  <c r="J313" i="9"/>
  <c r="AB312" i="9"/>
  <c r="Y312" i="9"/>
  <c r="AA312" i="9" s="1"/>
  <c r="W312" i="9"/>
  <c r="S312" i="9"/>
  <c r="Q312" i="9"/>
  <c r="O312" i="9"/>
  <c r="N312" i="9"/>
  <c r="K312" i="9"/>
  <c r="J312" i="9"/>
  <c r="AB311" i="9"/>
  <c r="Y311" i="9"/>
  <c r="AA311" i="9" s="1"/>
  <c r="W311" i="9"/>
  <c r="S311" i="9"/>
  <c r="Q311" i="9"/>
  <c r="O311" i="9"/>
  <c r="N311" i="9"/>
  <c r="K311" i="9"/>
  <c r="J311" i="9"/>
  <c r="AB310" i="9"/>
  <c r="Y310" i="9"/>
  <c r="AD310" i="9" s="1"/>
  <c r="W310" i="9"/>
  <c r="S310" i="9"/>
  <c r="P310" i="9" s="1"/>
  <c r="R310" i="9" s="1"/>
  <c r="Q310" i="9"/>
  <c r="O310" i="9"/>
  <c r="N310" i="9"/>
  <c r="K310" i="9"/>
  <c r="J310" i="9"/>
  <c r="AB309" i="9"/>
  <c r="Y309" i="9"/>
  <c r="AD309" i="9" s="1"/>
  <c r="W309" i="9"/>
  <c r="S309" i="9"/>
  <c r="Q309" i="9"/>
  <c r="O309" i="9"/>
  <c r="N309" i="9"/>
  <c r="K309" i="9"/>
  <c r="J309" i="9"/>
  <c r="AB308" i="9"/>
  <c r="Y308" i="9"/>
  <c r="AD308" i="9" s="1"/>
  <c r="W308" i="9"/>
  <c r="S308" i="9"/>
  <c r="P308" i="9" s="1"/>
  <c r="R308" i="9" s="1"/>
  <c r="Q308" i="9"/>
  <c r="O308" i="9"/>
  <c r="N308" i="9"/>
  <c r="K308" i="9"/>
  <c r="J308" i="9"/>
  <c r="AB307" i="9"/>
  <c r="Y307" i="9"/>
  <c r="W307" i="9"/>
  <c r="S307" i="9"/>
  <c r="AC307" i="9" s="1"/>
  <c r="AE307" i="9" s="1"/>
  <c r="Q307" i="9"/>
  <c r="O307" i="9"/>
  <c r="N307" i="9"/>
  <c r="K307" i="9"/>
  <c r="J307" i="9"/>
  <c r="AB306" i="9"/>
  <c r="Y306" i="9"/>
  <c r="AD306" i="9" s="1"/>
  <c r="W306" i="9"/>
  <c r="S306" i="9"/>
  <c r="AC306" i="9" s="1"/>
  <c r="AE306" i="9" s="1"/>
  <c r="Q306" i="9"/>
  <c r="O306" i="9"/>
  <c r="N306" i="9"/>
  <c r="K306" i="9"/>
  <c r="J306" i="9"/>
  <c r="AB305" i="9"/>
  <c r="Y305" i="9"/>
  <c r="AA305" i="9" s="1"/>
  <c r="W305" i="9"/>
  <c r="S305" i="9"/>
  <c r="AC305" i="9" s="1"/>
  <c r="AE305" i="9" s="1"/>
  <c r="Q305" i="9"/>
  <c r="O305" i="9"/>
  <c r="N305" i="9"/>
  <c r="K305" i="9"/>
  <c r="J305" i="9"/>
  <c r="AB304" i="9"/>
  <c r="Y304" i="9"/>
  <c r="AA304" i="9" s="1"/>
  <c r="W304" i="9"/>
  <c r="S304" i="9"/>
  <c r="AC304" i="9" s="1"/>
  <c r="AE304" i="9" s="1"/>
  <c r="M304" i="9"/>
  <c r="K304" i="9"/>
  <c r="J304" i="9"/>
  <c r="AB303" i="9"/>
  <c r="Y303" i="9"/>
  <c r="AA303" i="9" s="1"/>
  <c r="W303" i="9"/>
  <c r="S303" i="9"/>
  <c r="Q303" i="9"/>
  <c r="O303" i="9"/>
  <c r="N303" i="9"/>
  <c r="K303" i="9"/>
  <c r="J303" i="9"/>
  <c r="AB302" i="9"/>
  <c r="Y302" i="9"/>
  <c r="AA302" i="9" s="1"/>
  <c r="W302" i="9"/>
  <c r="S302" i="9"/>
  <c r="P302" i="9" s="1"/>
  <c r="R302" i="9" s="1"/>
  <c r="Q302" i="9"/>
  <c r="O302" i="9"/>
  <c r="N302" i="9"/>
  <c r="K302" i="9"/>
  <c r="J302" i="9"/>
  <c r="AB301" i="9"/>
  <c r="Y301" i="9"/>
  <c r="AA301" i="9" s="1"/>
  <c r="W301" i="9"/>
  <c r="S301" i="9"/>
  <c r="Q301" i="9"/>
  <c r="O301" i="9"/>
  <c r="N301" i="9"/>
  <c r="K301" i="9"/>
  <c r="J301" i="9"/>
  <c r="AB300" i="9"/>
  <c r="Y300" i="9"/>
  <c r="AD300" i="9" s="1"/>
  <c r="W300" i="9"/>
  <c r="S300" i="9"/>
  <c r="P300" i="9" s="1"/>
  <c r="R300" i="9" s="1"/>
  <c r="Q300" i="9"/>
  <c r="O300" i="9"/>
  <c r="N300" i="9"/>
  <c r="K300" i="9"/>
  <c r="J300" i="9"/>
  <c r="AB299" i="9"/>
  <c r="Y299" i="9"/>
  <c r="W299" i="9"/>
  <c r="S299" i="9"/>
  <c r="P299" i="9" s="1"/>
  <c r="R299" i="9" s="1"/>
  <c r="Q299" i="9"/>
  <c r="O299" i="9"/>
  <c r="N299" i="9"/>
  <c r="K299" i="9"/>
  <c r="J299" i="9"/>
  <c r="AB298" i="9"/>
  <c r="Y298" i="9"/>
  <c r="AD298" i="9" s="1"/>
  <c r="W298" i="9"/>
  <c r="S298" i="9"/>
  <c r="AC298" i="9" s="1"/>
  <c r="AE298" i="9" s="1"/>
  <c r="Q298" i="9"/>
  <c r="O298" i="9"/>
  <c r="N298" i="9"/>
  <c r="K298" i="9"/>
  <c r="J298" i="9"/>
  <c r="AB297" i="9"/>
  <c r="Y297" i="9"/>
  <c r="AD297" i="9" s="1"/>
  <c r="W297" i="9"/>
  <c r="S297" i="9"/>
  <c r="AC297" i="9" s="1"/>
  <c r="AE297" i="9" s="1"/>
  <c r="Q297" i="9"/>
  <c r="O297" i="9"/>
  <c r="N297" i="9"/>
  <c r="K297" i="9"/>
  <c r="J297" i="9"/>
  <c r="AB296" i="9"/>
  <c r="Y296" i="9"/>
  <c r="AA296" i="9" s="1"/>
  <c r="W296" i="9"/>
  <c r="S296" i="9"/>
  <c r="AC296" i="9" s="1"/>
  <c r="AE296" i="9" s="1"/>
  <c r="Q296" i="9"/>
  <c r="O296" i="9"/>
  <c r="N296" i="9"/>
  <c r="K296" i="9"/>
  <c r="J296" i="9"/>
  <c r="AB295" i="9"/>
  <c r="Y295" i="9"/>
  <c r="AA295" i="9" s="1"/>
  <c r="W295" i="9"/>
  <c r="S295" i="9"/>
  <c r="Q295" i="9"/>
  <c r="O295" i="9"/>
  <c r="N295" i="9"/>
  <c r="K295" i="9"/>
  <c r="J295" i="9"/>
  <c r="AB294" i="9"/>
  <c r="Y294" i="9"/>
  <c r="AD294" i="9" s="1"/>
  <c r="W294" i="9"/>
  <c r="S294" i="9"/>
  <c r="Q294" i="9"/>
  <c r="O294" i="9"/>
  <c r="N294" i="9"/>
  <c r="K294" i="9"/>
  <c r="J294" i="9"/>
  <c r="AB293" i="9"/>
  <c r="Y293" i="9"/>
  <c r="AD293" i="9" s="1"/>
  <c r="W293" i="9"/>
  <c r="S293" i="9"/>
  <c r="AC293" i="9" s="1"/>
  <c r="AE293" i="9" s="1"/>
  <c r="Q293" i="9"/>
  <c r="O293" i="9"/>
  <c r="N293" i="9"/>
  <c r="K293" i="9"/>
  <c r="J293" i="9"/>
  <c r="Z292" i="9"/>
  <c r="AB292" i="9" s="1"/>
  <c r="Y292" i="9"/>
  <c r="W292" i="9"/>
  <c r="S292" i="9"/>
  <c r="M292" i="9"/>
  <c r="O292" i="9" s="1"/>
  <c r="K292" i="9"/>
  <c r="J292" i="9"/>
  <c r="AB291" i="9"/>
  <c r="Y291" i="9"/>
  <c r="W291" i="9"/>
  <c r="S291" i="9"/>
  <c r="AC291" i="9" s="1"/>
  <c r="AE291" i="9" s="1"/>
  <c r="Q291" i="9"/>
  <c r="O291" i="9"/>
  <c r="N291" i="9"/>
  <c r="K291" i="9"/>
  <c r="J291" i="9"/>
  <c r="AB290" i="9"/>
  <c r="Y290" i="9"/>
  <c r="AD290" i="9" s="1"/>
  <c r="W290" i="9"/>
  <c r="S290" i="9"/>
  <c r="AC290" i="9" s="1"/>
  <c r="AE290" i="9" s="1"/>
  <c r="Q290" i="9"/>
  <c r="O290" i="9"/>
  <c r="N290" i="9"/>
  <c r="K290" i="9"/>
  <c r="J290" i="9"/>
  <c r="AB289" i="9"/>
  <c r="Y289" i="9"/>
  <c r="AA289" i="9" s="1"/>
  <c r="W289" i="9"/>
  <c r="S289" i="9"/>
  <c r="Q289" i="9"/>
  <c r="O289" i="9"/>
  <c r="N289" i="9"/>
  <c r="K289" i="9"/>
  <c r="J289" i="9"/>
  <c r="AB288" i="9"/>
  <c r="Y288" i="9"/>
  <c r="AA288" i="9" s="1"/>
  <c r="W288" i="9"/>
  <c r="S288" i="9"/>
  <c r="P288" i="9" s="1"/>
  <c r="R288" i="9" s="1"/>
  <c r="Q288" i="9"/>
  <c r="O288" i="9"/>
  <c r="N288" i="9"/>
  <c r="K288" i="9"/>
  <c r="J288" i="9"/>
  <c r="AB287" i="9"/>
  <c r="Y287" i="9"/>
  <c r="AA287" i="9" s="1"/>
  <c r="W287" i="9"/>
  <c r="S287" i="9"/>
  <c r="AC287" i="9" s="1"/>
  <c r="AE287" i="9" s="1"/>
  <c r="Q287" i="9"/>
  <c r="O287" i="9"/>
  <c r="N287" i="9"/>
  <c r="K287" i="9"/>
  <c r="J287" i="9"/>
  <c r="AB286" i="9"/>
  <c r="Y286" i="9"/>
  <c r="W286" i="9"/>
  <c r="S286" i="9"/>
  <c r="AC286" i="9" s="1"/>
  <c r="AE286" i="9" s="1"/>
  <c r="Q286" i="9"/>
  <c r="O286" i="9"/>
  <c r="N286" i="9"/>
  <c r="K286" i="9"/>
  <c r="J286" i="9"/>
  <c r="AB285" i="9"/>
  <c r="Y285" i="9"/>
  <c r="AD285" i="9" s="1"/>
  <c r="W285" i="9"/>
  <c r="S285" i="9"/>
  <c r="AC285" i="9" s="1"/>
  <c r="AE285" i="9" s="1"/>
  <c r="Q285" i="9"/>
  <c r="O285" i="9"/>
  <c r="N285" i="9"/>
  <c r="K285" i="9"/>
  <c r="J285" i="9"/>
  <c r="AB284" i="9"/>
  <c r="Y284" i="9"/>
  <c r="AD284" i="9" s="1"/>
  <c r="W284" i="9"/>
  <c r="S284" i="9"/>
  <c r="Q284" i="9"/>
  <c r="O284" i="9"/>
  <c r="N284" i="9"/>
  <c r="K284" i="9"/>
  <c r="J284" i="9"/>
  <c r="AB283" i="9"/>
  <c r="Y283" i="9"/>
  <c r="AD283" i="9" s="1"/>
  <c r="W283" i="9"/>
  <c r="S283" i="9"/>
  <c r="AC283" i="9" s="1"/>
  <c r="AE283" i="9" s="1"/>
  <c r="Q283" i="9"/>
  <c r="O283" i="9"/>
  <c r="N283" i="9"/>
  <c r="K283" i="9"/>
  <c r="J283" i="9"/>
  <c r="AB282" i="9"/>
  <c r="Y282" i="9"/>
  <c r="AD282" i="9" s="1"/>
  <c r="W282" i="9"/>
  <c r="S282" i="9"/>
  <c r="Q282" i="9"/>
  <c r="O282" i="9"/>
  <c r="N282" i="9"/>
  <c r="K282" i="9"/>
  <c r="J282" i="9"/>
  <c r="AB281" i="9"/>
  <c r="Y281" i="9"/>
  <c r="AA281" i="9" s="1"/>
  <c r="W281" i="9"/>
  <c r="S281" i="9"/>
  <c r="AC281" i="9" s="1"/>
  <c r="AE281" i="9" s="1"/>
  <c r="Q281" i="9"/>
  <c r="O281" i="9"/>
  <c r="N281" i="9"/>
  <c r="K281" i="9"/>
  <c r="J281" i="9"/>
  <c r="Z280" i="9"/>
  <c r="AB280" i="9" s="1"/>
  <c r="Y280" i="9"/>
  <c r="W280" i="9"/>
  <c r="S280" i="9"/>
  <c r="M280" i="9"/>
  <c r="K280" i="9"/>
  <c r="J280" i="9"/>
  <c r="AB279" i="9"/>
  <c r="Y279" i="9"/>
  <c r="AD279" i="9" s="1"/>
  <c r="W279" i="9"/>
  <c r="S279" i="9"/>
  <c r="AC279" i="9" s="1"/>
  <c r="AE279" i="9" s="1"/>
  <c r="Q279" i="9"/>
  <c r="O279" i="9"/>
  <c r="N279" i="9"/>
  <c r="K279" i="9"/>
  <c r="J279" i="9"/>
  <c r="AB278" i="9"/>
  <c r="Y278" i="9"/>
  <c r="AD278" i="9" s="1"/>
  <c r="W278" i="9"/>
  <c r="S278" i="9"/>
  <c r="AC278" i="9" s="1"/>
  <c r="AE278" i="9" s="1"/>
  <c r="Q278" i="9"/>
  <c r="O278" i="9"/>
  <c r="N278" i="9"/>
  <c r="K278" i="9"/>
  <c r="J278" i="9"/>
  <c r="AB277" i="9"/>
  <c r="Y277" i="9"/>
  <c r="AA277" i="9" s="1"/>
  <c r="W277" i="9"/>
  <c r="S277" i="9"/>
  <c r="AC277" i="9" s="1"/>
  <c r="AE277" i="9" s="1"/>
  <c r="Q277" i="9"/>
  <c r="O277" i="9"/>
  <c r="N277" i="9"/>
  <c r="K277" i="9"/>
  <c r="J277" i="9"/>
  <c r="AB276" i="9"/>
  <c r="Y276" i="9"/>
  <c r="AA276" i="9" s="1"/>
  <c r="W276" i="9"/>
  <c r="S276" i="9"/>
  <c r="AC276" i="9" s="1"/>
  <c r="AE276" i="9" s="1"/>
  <c r="Q276" i="9"/>
  <c r="O276" i="9"/>
  <c r="N276" i="9"/>
  <c r="K276" i="9"/>
  <c r="J276" i="9"/>
  <c r="AB275" i="9"/>
  <c r="Y275" i="9"/>
  <c r="AA275" i="9" s="1"/>
  <c r="W275" i="9"/>
  <c r="S275" i="9"/>
  <c r="Q275" i="9"/>
  <c r="O275" i="9"/>
  <c r="N275" i="9"/>
  <c r="K275" i="9"/>
  <c r="J275" i="9"/>
  <c r="AB274" i="9"/>
  <c r="Y274" i="9"/>
  <c r="AD274" i="9" s="1"/>
  <c r="W274" i="9"/>
  <c r="S274" i="9"/>
  <c r="P274" i="9" s="1"/>
  <c r="R274" i="9" s="1"/>
  <c r="Q274" i="9"/>
  <c r="O274" i="9"/>
  <c r="N274" i="9"/>
  <c r="K274" i="9"/>
  <c r="J274" i="9"/>
  <c r="AB273" i="9"/>
  <c r="Y273" i="9"/>
  <c r="AD273" i="9" s="1"/>
  <c r="W273" i="9"/>
  <c r="S273" i="9"/>
  <c r="P273" i="9" s="1"/>
  <c r="R273" i="9" s="1"/>
  <c r="Q273" i="9"/>
  <c r="O273" i="9"/>
  <c r="N273" i="9"/>
  <c r="K273" i="9"/>
  <c r="J273" i="9"/>
  <c r="AB272" i="9"/>
  <c r="Y272" i="9"/>
  <c r="AD272" i="9" s="1"/>
  <c r="W272" i="9"/>
  <c r="S272" i="9"/>
  <c r="P272" i="9" s="1"/>
  <c r="R272" i="9" s="1"/>
  <c r="Q272" i="9"/>
  <c r="O272" i="9"/>
  <c r="N272" i="9"/>
  <c r="K272" i="9"/>
  <c r="J272" i="9"/>
  <c r="AB271" i="9"/>
  <c r="Y271" i="9"/>
  <c r="W271" i="9"/>
  <c r="S271" i="9"/>
  <c r="AC271" i="9" s="1"/>
  <c r="AE271" i="9" s="1"/>
  <c r="Q271" i="9"/>
  <c r="O271" i="9"/>
  <c r="N271" i="9"/>
  <c r="K271" i="9"/>
  <c r="J271" i="9"/>
  <c r="AB270" i="9"/>
  <c r="Y270" i="9"/>
  <c r="AD270" i="9" s="1"/>
  <c r="W270" i="9"/>
  <c r="S270" i="9"/>
  <c r="Q270" i="9"/>
  <c r="O270" i="9"/>
  <c r="N270" i="9"/>
  <c r="K270" i="9"/>
  <c r="J270" i="9"/>
  <c r="AB269" i="9"/>
  <c r="Y269" i="9"/>
  <c r="AA269" i="9" s="1"/>
  <c r="W269" i="9"/>
  <c r="S269" i="9"/>
  <c r="AC269" i="9" s="1"/>
  <c r="AE269" i="9" s="1"/>
  <c r="Q269" i="9"/>
  <c r="O269" i="9"/>
  <c r="N269" i="9"/>
  <c r="K269" i="9"/>
  <c r="J269" i="9"/>
  <c r="Z268" i="9"/>
  <c r="AB268" i="9" s="1"/>
  <c r="Y268" i="9"/>
  <c r="W268" i="9"/>
  <c r="S268" i="9"/>
  <c r="M268" i="9"/>
  <c r="N268" i="9" s="1"/>
  <c r="K268" i="9"/>
  <c r="J268" i="9"/>
  <c r="AB267" i="9"/>
  <c r="Y267" i="9"/>
  <c r="AA267" i="9" s="1"/>
  <c r="W267" i="9"/>
  <c r="S267" i="9"/>
  <c r="AC267" i="9" s="1"/>
  <c r="AE267" i="9" s="1"/>
  <c r="Q267" i="9"/>
  <c r="O267" i="9"/>
  <c r="N267" i="9"/>
  <c r="K267" i="9"/>
  <c r="J267" i="9"/>
  <c r="AB266" i="9"/>
  <c r="Y266" i="9"/>
  <c r="AA266" i="9" s="1"/>
  <c r="W266" i="9"/>
  <c r="S266" i="9"/>
  <c r="Q266" i="9"/>
  <c r="O266" i="9"/>
  <c r="N266" i="9"/>
  <c r="K266" i="9"/>
  <c r="J266" i="9"/>
  <c r="AB265" i="9"/>
  <c r="Y265" i="9"/>
  <c r="AD265" i="9" s="1"/>
  <c r="W265" i="9"/>
  <c r="S265" i="9"/>
  <c r="P265" i="9" s="1"/>
  <c r="R265" i="9" s="1"/>
  <c r="Q265" i="9"/>
  <c r="O265" i="9"/>
  <c r="N265" i="9"/>
  <c r="K265" i="9"/>
  <c r="J265" i="9"/>
  <c r="AB264" i="9"/>
  <c r="Y264" i="9"/>
  <c r="AD264" i="9" s="1"/>
  <c r="W264" i="9"/>
  <c r="S264" i="9"/>
  <c r="P264" i="9" s="1"/>
  <c r="R264" i="9" s="1"/>
  <c r="Q264" i="9"/>
  <c r="O264" i="9"/>
  <c r="N264" i="9"/>
  <c r="K264" i="9"/>
  <c r="J264" i="9"/>
  <c r="AB263" i="9"/>
  <c r="Y263" i="9"/>
  <c r="AA263" i="9" s="1"/>
  <c r="W263" i="9"/>
  <c r="S263" i="9"/>
  <c r="P263" i="9" s="1"/>
  <c r="R263" i="9" s="1"/>
  <c r="Q263" i="9"/>
  <c r="O263" i="9"/>
  <c r="N263" i="9"/>
  <c r="K263" i="9"/>
  <c r="J263" i="9"/>
  <c r="AB262" i="9"/>
  <c r="Y262" i="9"/>
  <c r="AD262" i="9" s="1"/>
  <c r="W262" i="9"/>
  <c r="S262" i="9"/>
  <c r="Q262" i="9"/>
  <c r="O262" i="9"/>
  <c r="N262" i="9"/>
  <c r="K262" i="9"/>
  <c r="J262" i="9"/>
  <c r="AB261" i="9"/>
  <c r="Y261" i="9"/>
  <c r="AD261" i="9" s="1"/>
  <c r="W261" i="9"/>
  <c r="S261" i="9"/>
  <c r="AC261" i="9" s="1"/>
  <c r="AE261" i="9" s="1"/>
  <c r="Q261" i="9"/>
  <c r="O261" i="9"/>
  <c r="N261" i="9"/>
  <c r="K261" i="9"/>
  <c r="J261" i="9"/>
  <c r="AB260" i="9"/>
  <c r="Y260" i="9"/>
  <c r="AD260" i="9" s="1"/>
  <c r="W260" i="9"/>
  <c r="S260" i="9"/>
  <c r="Q260" i="9"/>
  <c r="O260" i="9"/>
  <c r="N260" i="9"/>
  <c r="K260" i="9"/>
  <c r="J260" i="9"/>
  <c r="AB259" i="9"/>
  <c r="Y259" i="9"/>
  <c r="AA259" i="9" s="1"/>
  <c r="W259" i="9"/>
  <c r="S259" i="9"/>
  <c r="AC259" i="9" s="1"/>
  <c r="AE259" i="9" s="1"/>
  <c r="Q259" i="9"/>
  <c r="O259" i="9"/>
  <c r="N259" i="9"/>
  <c r="K259" i="9"/>
  <c r="J259" i="9"/>
  <c r="AB258" i="9"/>
  <c r="Y258" i="9"/>
  <c r="AA258" i="9" s="1"/>
  <c r="W258" i="9"/>
  <c r="S258" i="9"/>
  <c r="P258" i="9" s="1"/>
  <c r="R258" i="9" s="1"/>
  <c r="Q258" i="9"/>
  <c r="O258" i="9"/>
  <c r="N258" i="9"/>
  <c r="K258" i="9"/>
  <c r="J258" i="9"/>
  <c r="AB257" i="9"/>
  <c r="Y257" i="9"/>
  <c r="AA257" i="9" s="1"/>
  <c r="W257" i="9"/>
  <c r="S257" i="9"/>
  <c r="P257" i="9" s="1"/>
  <c r="R257" i="9" s="1"/>
  <c r="Q257" i="9"/>
  <c r="O257" i="9"/>
  <c r="N257" i="9"/>
  <c r="K257" i="9"/>
  <c r="J257" i="9"/>
  <c r="AB256" i="9"/>
  <c r="Y256" i="9"/>
  <c r="AA256" i="9" s="1"/>
  <c r="W256" i="9"/>
  <c r="S256" i="9"/>
  <c r="AC256" i="9" s="1"/>
  <c r="AE256" i="9" s="1"/>
  <c r="M256" i="9"/>
  <c r="N256" i="9" s="1"/>
  <c r="K256" i="9"/>
  <c r="J256" i="9"/>
  <c r="AB255" i="9"/>
  <c r="Y255" i="9"/>
  <c r="AD255" i="9" s="1"/>
  <c r="W255" i="9"/>
  <c r="S255" i="9"/>
  <c r="AC255" i="9" s="1"/>
  <c r="AE255" i="9" s="1"/>
  <c r="Q255" i="9"/>
  <c r="O255" i="9"/>
  <c r="N255" i="9"/>
  <c r="K255" i="9"/>
  <c r="J255" i="9"/>
  <c r="AB254" i="9"/>
  <c r="Y254" i="9"/>
  <c r="AD254" i="9" s="1"/>
  <c r="W254" i="9"/>
  <c r="S254" i="9"/>
  <c r="AC254" i="9" s="1"/>
  <c r="AE254" i="9" s="1"/>
  <c r="Q254" i="9"/>
  <c r="O254" i="9"/>
  <c r="N254" i="9"/>
  <c r="K254" i="9"/>
  <c r="J254" i="9"/>
  <c r="AB253" i="9"/>
  <c r="Y253" i="9"/>
  <c r="W253" i="9"/>
  <c r="S253" i="9"/>
  <c r="AC253" i="9" s="1"/>
  <c r="AE253" i="9" s="1"/>
  <c r="Q253" i="9"/>
  <c r="O253" i="9"/>
  <c r="N253" i="9"/>
  <c r="K253" i="9"/>
  <c r="J253" i="9"/>
  <c r="AB252" i="9"/>
  <c r="Y252" i="9"/>
  <c r="AA252" i="9" s="1"/>
  <c r="W252" i="9"/>
  <c r="S252" i="9"/>
  <c r="P252" i="9" s="1"/>
  <c r="R252" i="9" s="1"/>
  <c r="Q252" i="9"/>
  <c r="O252" i="9"/>
  <c r="N252" i="9"/>
  <c r="K252" i="9"/>
  <c r="J252" i="9"/>
  <c r="AB251" i="9"/>
  <c r="Y251" i="9"/>
  <c r="W251" i="9"/>
  <c r="S251" i="9"/>
  <c r="Q251" i="9"/>
  <c r="O251" i="9"/>
  <c r="N251" i="9"/>
  <c r="K251" i="9"/>
  <c r="J251" i="9"/>
  <c r="AB250" i="9"/>
  <c r="Y250" i="9"/>
  <c r="AD250" i="9" s="1"/>
  <c r="W250" i="9"/>
  <c r="S250" i="9"/>
  <c r="P250" i="9" s="1"/>
  <c r="R250" i="9" s="1"/>
  <c r="Q250" i="9"/>
  <c r="O250" i="9"/>
  <c r="N250" i="9"/>
  <c r="K250" i="9"/>
  <c r="J250" i="9"/>
  <c r="AB249" i="9"/>
  <c r="Y249" i="9"/>
  <c r="W249" i="9"/>
  <c r="S249" i="9"/>
  <c r="P249" i="9" s="1"/>
  <c r="R249" i="9" s="1"/>
  <c r="Q249" i="9"/>
  <c r="O249" i="9"/>
  <c r="N249" i="9"/>
  <c r="K249" i="9"/>
  <c r="J249" i="9"/>
  <c r="AB248" i="9"/>
  <c r="Y248" i="9"/>
  <c r="AD248" i="9" s="1"/>
  <c r="W248" i="9"/>
  <c r="S248" i="9"/>
  <c r="P248" i="9" s="1"/>
  <c r="R248" i="9" s="1"/>
  <c r="Q248" i="9"/>
  <c r="O248" i="9"/>
  <c r="N248" i="9"/>
  <c r="K248" i="9"/>
  <c r="J248" i="9"/>
  <c r="AB247" i="9"/>
  <c r="Y247" i="9"/>
  <c r="AD247" i="9" s="1"/>
  <c r="W247" i="9"/>
  <c r="S247" i="9"/>
  <c r="AC247" i="9" s="1"/>
  <c r="AE247" i="9" s="1"/>
  <c r="Q247" i="9"/>
  <c r="O247" i="9"/>
  <c r="N247" i="9"/>
  <c r="K247" i="9"/>
  <c r="J247" i="9"/>
  <c r="AB246" i="9"/>
  <c r="Y246" i="9"/>
  <c r="AD246" i="9" s="1"/>
  <c r="W246" i="9"/>
  <c r="S246" i="9"/>
  <c r="AC246" i="9" s="1"/>
  <c r="AE246" i="9" s="1"/>
  <c r="Q246" i="9"/>
  <c r="O246" i="9"/>
  <c r="N246" i="9"/>
  <c r="K246" i="9"/>
  <c r="J246" i="9"/>
  <c r="AB245" i="9"/>
  <c r="Y245" i="9"/>
  <c r="AA245" i="9" s="1"/>
  <c r="W245" i="9"/>
  <c r="S245" i="9"/>
  <c r="AC245" i="9" s="1"/>
  <c r="AE245" i="9" s="1"/>
  <c r="Q245" i="9"/>
  <c r="O245" i="9"/>
  <c r="N245" i="9"/>
  <c r="K245" i="9"/>
  <c r="J245" i="9"/>
  <c r="AB244" i="9"/>
  <c r="Y244" i="9"/>
  <c r="AA244" i="9" s="1"/>
  <c r="W244" i="9"/>
  <c r="S244" i="9"/>
  <c r="AC244" i="9" s="1"/>
  <c r="AE244" i="9" s="1"/>
  <c r="M244" i="9"/>
  <c r="N244" i="9" s="1"/>
  <c r="K244" i="9"/>
  <c r="J244" i="9"/>
  <c r="AB243" i="9"/>
  <c r="Y243" i="9"/>
  <c r="AD243" i="9" s="1"/>
  <c r="W243" i="9"/>
  <c r="S243" i="9"/>
  <c r="AC243" i="9" s="1"/>
  <c r="AE243" i="9" s="1"/>
  <c r="Q243" i="9"/>
  <c r="O243" i="9"/>
  <c r="N243" i="9"/>
  <c r="K243" i="9"/>
  <c r="J243" i="9"/>
  <c r="AB242" i="9"/>
  <c r="Y242" i="9"/>
  <c r="AD242" i="9" s="1"/>
  <c r="W242" i="9"/>
  <c r="S242" i="9"/>
  <c r="AC242" i="9" s="1"/>
  <c r="AE242" i="9" s="1"/>
  <c r="Q242" i="9"/>
  <c r="O242" i="9"/>
  <c r="N242" i="9"/>
  <c r="K242" i="9"/>
  <c r="J242" i="9"/>
  <c r="AB241" i="9"/>
  <c r="Y241" i="9"/>
  <c r="AA241" i="9" s="1"/>
  <c r="W241" i="9"/>
  <c r="S241" i="9"/>
  <c r="AC241" i="9" s="1"/>
  <c r="AE241" i="9" s="1"/>
  <c r="Q241" i="9"/>
  <c r="O241" i="9"/>
  <c r="N241" i="9"/>
  <c r="K241" i="9"/>
  <c r="J241" i="9"/>
  <c r="AB240" i="9"/>
  <c r="Y240" i="9"/>
  <c r="AA240" i="9" s="1"/>
  <c r="W240" i="9"/>
  <c r="S240" i="9"/>
  <c r="P240" i="9" s="1"/>
  <c r="R240" i="9" s="1"/>
  <c r="Q240" i="9"/>
  <c r="O240" i="9"/>
  <c r="N240" i="9"/>
  <c r="K240" i="9"/>
  <c r="J240" i="9"/>
  <c r="AB239" i="9"/>
  <c r="Y239" i="9"/>
  <c r="AA239" i="9" s="1"/>
  <c r="W239" i="9"/>
  <c r="S239" i="9"/>
  <c r="Q239" i="9"/>
  <c r="O239" i="9"/>
  <c r="N239" i="9"/>
  <c r="K239" i="9"/>
  <c r="J239" i="9"/>
  <c r="AB238" i="9"/>
  <c r="Y238" i="9"/>
  <c r="W238" i="9"/>
  <c r="S238" i="9"/>
  <c r="Q238" i="9"/>
  <c r="O238" i="9"/>
  <c r="N238" i="9"/>
  <c r="K238" i="9"/>
  <c r="J238" i="9"/>
  <c r="AB237" i="9"/>
  <c r="Y237" i="9"/>
  <c r="W237" i="9"/>
  <c r="S237" i="9"/>
  <c r="Q237" i="9"/>
  <c r="O237" i="9"/>
  <c r="N237" i="9"/>
  <c r="K237" i="9"/>
  <c r="J237" i="9"/>
  <c r="AB236" i="9"/>
  <c r="Y236" i="9"/>
  <c r="AD236" i="9" s="1"/>
  <c r="W236" i="9"/>
  <c r="S236" i="9"/>
  <c r="AC236" i="9" s="1"/>
  <c r="AE236" i="9" s="1"/>
  <c r="Q236" i="9"/>
  <c r="O236" i="9"/>
  <c r="N236" i="9"/>
  <c r="K236" i="9"/>
  <c r="J236" i="9"/>
  <c r="AB235" i="9"/>
  <c r="Y235" i="9"/>
  <c r="W235" i="9"/>
  <c r="S235" i="9"/>
  <c r="AC235" i="9" s="1"/>
  <c r="AE235" i="9" s="1"/>
  <c r="Q235" i="9"/>
  <c r="O235" i="9"/>
  <c r="N235" i="9"/>
  <c r="K235" i="9"/>
  <c r="J235" i="9"/>
  <c r="AB234" i="9"/>
  <c r="Y234" i="9"/>
  <c r="W234" i="9"/>
  <c r="S234" i="9"/>
  <c r="AC234" i="9" s="1"/>
  <c r="AE234" i="9" s="1"/>
  <c r="Q234" i="9"/>
  <c r="O234" i="9"/>
  <c r="N234" i="9"/>
  <c r="K234" i="9"/>
  <c r="J234" i="9"/>
  <c r="AB233" i="9"/>
  <c r="Y233" i="9"/>
  <c r="AA233" i="9" s="1"/>
  <c r="W233" i="9"/>
  <c r="S233" i="9"/>
  <c r="AC233" i="9" s="1"/>
  <c r="AE233" i="9" s="1"/>
  <c r="Q233" i="9"/>
  <c r="O233" i="9"/>
  <c r="N233" i="9"/>
  <c r="K233" i="9"/>
  <c r="J233" i="9"/>
  <c r="AB232" i="9"/>
  <c r="Y232" i="9"/>
  <c r="AA232" i="9" s="1"/>
  <c r="W232" i="9"/>
  <c r="S232" i="9"/>
  <c r="AC232" i="9" s="1"/>
  <c r="AE232" i="9" s="1"/>
  <c r="M232" i="9"/>
  <c r="K232" i="9"/>
  <c r="J232" i="9"/>
  <c r="AB231" i="9"/>
  <c r="Y231" i="9"/>
  <c r="AA231" i="9" s="1"/>
  <c r="W231" i="9"/>
  <c r="S231" i="9"/>
  <c r="AC231" i="9" s="1"/>
  <c r="AE231" i="9" s="1"/>
  <c r="Q231" i="9"/>
  <c r="O231" i="9"/>
  <c r="N231" i="9"/>
  <c r="K231" i="9"/>
  <c r="J231" i="9"/>
  <c r="AB230" i="9"/>
  <c r="Y230" i="9"/>
  <c r="AA230" i="9" s="1"/>
  <c r="W230" i="9"/>
  <c r="S230" i="9"/>
  <c r="AC230" i="9" s="1"/>
  <c r="AE230" i="9" s="1"/>
  <c r="Q230" i="9"/>
  <c r="O230" i="9"/>
  <c r="N230" i="9"/>
  <c r="K230" i="9"/>
  <c r="J230" i="9"/>
  <c r="AB229" i="9"/>
  <c r="Y229" i="9"/>
  <c r="W229" i="9"/>
  <c r="S229" i="9"/>
  <c r="P229" i="9" s="1"/>
  <c r="R229" i="9" s="1"/>
  <c r="Q229" i="9"/>
  <c r="O229" i="9"/>
  <c r="N229" i="9"/>
  <c r="K229" i="9"/>
  <c r="J229" i="9"/>
  <c r="AB228" i="9"/>
  <c r="Y228" i="9"/>
  <c r="W228" i="9"/>
  <c r="S228" i="9"/>
  <c r="Q228" i="9"/>
  <c r="O228" i="9"/>
  <c r="N228" i="9"/>
  <c r="K228" i="9"/>
  <c r="J228" i="9"/>
  <c r="AB227" i="9"/>
  <c r="Y227" i="9"/>
  <c r="AD227" i="9" s="1"/>
  <c r="W227" i="9"/>
  <c r="S227" i="9"/>
  <c r="P227" i="9" s="1"/>
  <c r="R227" i="9" s="1"/>
  <c r="Q227" i="9"/>
  <c r="O227" i="9"/>
  <c r="N227" i="9"/>
  <c r="K227" i="9"/>
  <c r="J227" i="9"/>
  <c r="AB226" i="9"/>
  <c r="Y226" i="9"/>
  <c r="W226" i="9"/>
  <c r="S226" i="9"/>
  <c r="AC226" i="9" s="1"/>
  <c r="AE226" i="9" s="1"/>
  <c r="Q226" i="9"/>
  <c r="O226" i="9"/>
  <c r="N226" i="9"/>
  <c r="K226" i="9"/>
  <c r="J226" i="9"/>
  <c r="AB225" i="9"/>
  <c r="Y225" i="9"/>
  <c r="AD225" i="9" s="1"/>
  <c r="W225" i="9"/>
  <c r="S225" i="9"/>
  <c r="AC225" i="9" s="1"/>
  <c r="AE225" i="9" s="1"/>
  <c r="Q225" i="9"/>
  <c r="O225" i="9"/>
  <c r="N225" i="9"/>
  <c r="K225" i="9"/>
  <c r="J225" i="9"/>
  <c r="AB224" i="9"/>
  <c r="Y224" i="9"/>
  <c r="W224" i="9"/>
  <c r="S224" i="9"/>
  <c r="AC224" i="9" s="1"/>
  <c r="AE224" i="9" s="1"/>
  <c r="Q224" i="9"/>
  <c r="O224" i="9"/>
  <c r="N224" i="9"/>
  <c r="K224" i="9"/>
  <c r="J224" i="9"/>
  <c r="AB223" i="9"/>
  <c r="Y223" i="9"/>
  <c r="AA223" i="9" s="1"/>
  <c r="W223" i="9"/>
  <c r="S223" i="9"/>
  <c r="AC223" i="9" s="1"/>
  <c r="AE223" i="9" s="1"/>
  <c r="Q223" i="9"/>
  <c r="O223" i="9"/>
  <c r="N223" i="9"/>
  <c r="K223" i="9"/>
  <c r="J223" i="9"/>
  <c r="AB222" i="9"/>
  <c r="Y222" i="9"/>
  <c r="AA222" i="9" s="1"/>
  <c r="W222" i="9"/>
  <c r="S222" i="9"/>
  <c r="Q222" i="9"/>
  <c r="O222" i="9"/>
  <c r="N222" i="9"/>
  <c r="K222" i="9"/>
  <c r="J222" i="9"/>
  <c r="AB221" i="9"/>
  <c r="Y221" i="9"/>
  <c r="AA221" i="9" s="1"/>
  <c r="W221" i="9"/>
  <c r="S221" i="9"/>
  <c r="P221" i="9" s="1"/>
  <c r="R221" i="9" s="1"/>
  <c r="Q221" i="9"/>
  <c r="O221" i="9"/>
  <c r="N221" i="9"/>
  <c r="K221" i="9"/>
  <c r="J221" i="9"/>
  <c r="Z220" i="9"/>
  <c r="AB220" i="9" s="1"/>
  <c r="Y220" i="9"/>
  <c r="W220" i="9"/>
  <c r="S220" i="9"/>
  <c r="M220" i="9"/>
  <c r="O220" i="9" s="1"/>
  <c r="K220" i="9"/>
  <c r="J220" i="9"/>
  <c r="AB219" i="9"/>
  <c r="Y219" i="9"/>
  <c r="AD219" i="9" s="1"/>
  <c r="W219" i="9"/>
  <c r="S219" i="9"/>
  <c r="AC219" i="9" s="1"/>
  <c r="AE219" i="9" s="1"/>
  <c r="Q219" i="9"/>
  <c r="O219" i="9"/>
  <c r="N219" i="9"/>
  <c r="K219" i="9"/>
  <c r="J219" i="9"/>
  <c r="AB218" i="9"/>
  <c r="Y218" i="9"/>
  <c r="AD218" i="9" s="1"/>
  <c r="W218" i="9"/>
  <c r="S218" i="9"/>
  <c r="AC218" i="9" s="1"/>
  <c r="AE218" i="9" s="1"/>
  <c r="Q218" i="9"/>
  <c r="O218" i="9"/>
  <c r="N218" i="9"/>
  <c r="K218" i="9"/>
  <c r="J218" i="9"/>
  <c r="AB217" i="9"/>
  <c r="Y217" i="9"/>
  <c r="AA217" i="9" s="1"/>
  <c r="W217" i="9"/>
  <c r="S217" i="9"/>
  <c r="AC217" i="9" s="1"/>
  <c r="AE217" i="9" s="1"/>
  <c r="Q217" i="9"/>
  <c r="O217" i="9"/>
  <c r="N217" i="9"/>
  <c r="K217" i="9"/>
  <c r="J217" i="9"/>
  <c r="AB216" i="9"/>
  <c r="Y216" i="9"/>
  <c r="AA216" i="9" s="1"/>
  <c r="W216" i="9"/>
  <c r="S216" i="9"/>
  <c r="P216" i="9" s="1"/>
  <c r="R216" i="9" s="1"/>
  <c r="Q216" i="9"/>
  <c r="O216" i="9"/>
  <c r="N216" i="9"/>
  <c r="K216" i="9"/>
  <c r="J216" i="9"/>
  <c r="AB215" i="9"/>
  <c r="Y215" i="9"/>
  <c r="AA215" i="9" s="1"/>
  <c r="W215" i="9"/>
  <c r="S215" i="9"/>
  <c r="Q215" i="9"/>
  <c r="O215" i="9"/>
  <c r="N215" i="9"/>
  <c r="K215" i="9"/>
  <c r="J215" i="9"/>
  <c r="AB214" i="9"/>
  <c r="Y214" i="9"/>
  <c r="W214" i="9"/>
  <c r="S214" i="9"/>
  <c r="P214" i="9" s="1"/>
  <c r="R214" i="9" s="1"/>
  <c r="Q214" i="9"/>
  <c r="O214" i="9"/>
  <c r="N214" i="9"/>
  <c r="K214" i="9"/>
  <c r="J214" i="9"/>
  <c r="AB213" i="9"/>
  <c r="Y213" i="9"/>
  <c r="AD213" i="9" s="1"/>
  <c r="W213" i="9"/>
  <c r="S213" i="9"/>
  <c r="P213" i="9" s="1"/>
  <c r="R213" i="9" s="1"/>
  <c r="Q213" i="9"/>
  <c r="O213" i="9"/>
  <c r="N213" i="9"/>
  <c r="K213" i="9"/>
  <c r="J213" i="9"/>
  <c r="AB212" i="9"/>
  <c r="Y212" i="9"/>
  <c r="AD212" i="9" s="1"/>
  <c r="W212" i="9"/>
  <c r="S212" i="9"/>
  <c r="P212" i="9" s="1"/>
  <c r="R212" i="9" s="1"/>
  <c r="Q212" i="9"/>
  <c r="O212" i="9"/>
  <c r="N212" i="9"/>
  <c r="K212" i="9"/>
  <c r="J212" i="9"/>
  <c r="AB211" i="9"/>
  <c r="Y211" i="9"/>
  <c r="AD211" i="9" s="1"/>
  <c r="W211" i="9"/>
  <c r="S211" i="9"/>
  <c r="AC211" i="9" s="1"/>
  <c r="AE211" i="9" s="1"/>
  <c r="Q211" i="9"/>
  <c r="O211" i="9"/>
  <c r="N211" i="9"/>
  <c r="K211" i="9"/>
  <c r="J211" i="9"/>
  <c r="AB210" i="9"/>
  <c r="Y210" i="9"/>
  <c r="AD210" i="9" s="1"/>
  <c r="W210" i="9"/>
  <c r="S210" i="9"/>
  <c r="AC210" i="9" s="1"/>
  <c r="AE210" i="9" s="1"/>
  <c r="Q210" i="9"/>
  <c r="O210" i="9"/>
  <c r="N210" i="9"/>
  <c r="K210" i="9"/>
  <c r="J210" i="9"/>
  <c r="AB209" i="9"/>
  <c r="Y209" i="9"/>
  <c r="AA209" i="9" s="1"/>
  <c r="W209" i="9"/>
  <c r="S209" i="9"/>
  <c r="Q209" i="9"/>
  <c r="O209" i="9"/>
  <c r="N209" i="9"/>
  <c r="K209" i="9"/>
  <c r="J209" i="9"/>
  <c r="Z208" i="9"/>
  <c r="AB208" i="9" s="1"/>
  <c r="Y208" i="9"/>
  <c r="W208" i="9"/>
  <c r="S208" i="9"/>
  <c r="M208" i="9"/>
  <c r="O208" i="9" s="1"/>
  <c r="K208" i="9"/>
  <c r="J208" i="9"/>
  <c r="AB207" i="9"/>
  <c r="Y207" i="9"/>
  <c r="AD207" i="9" s="1"/>
  <c r="W207" i="9"/>
  <c r="S207" i="9"/>
  <c r="AC207" i="9" s="1"/>
  <c r="AE207" i="9" s="1"/>
  <c r="Q207" i="9"/>
  <c r="O207" i="9"/>
  <c r="N207" i="9"/>
  <c r="K207" i="9"/>
  <c r="J207" i="9"/>
  <c r="AB206" i="9"/>
  <c r="Y206" i="9"/>
  <c r="AD206" i="9" s="1"/>
  <c r="W206" i="9"/>
  <c r="S206" i="9"/>
  <c r="AC206" i="9" s="1"/>
  <c r="AE206" i="9" s="1"/>
  <c r="Q206" i="9"/>
  <c r="O206" i="9"/>
  <c r="N206" i="9"/>
  <c r="K206" i="9"/>
  <c r="J206" i="9"/>
  <c r="AB205" i="9"/>
  <c r="Y205" i="9"/>
  <c r="W205" i="9"/>
  <c r="S205" i="9"/>
  <c r="AC205" i="9" s="1"/>
  <c r="AE205" i="9" s="1"/>
  <c r="Q205" i="9"/>
  <c r="O205" i="9"/>
  <c r="N205" i="9"/>
  <c r="K205" i="9"/>
  <c r="J205" i="9"/>
  <c r="AB204" i="9"/>
  <c r="Y204" i="9"/>
  <c r="AA204" i="9" s="1"/>
  <c r="W204" i="9"/>
  <c r="S204" i="9"/>
  <c r="AC204" i="9" s="1"/>
  <c r="AE204" i="9" s="1"/>
  <c r="Q204" i="9"/>
  <c r="O204" i="9"/>
  <c r="N204" i="9"/>
  <c r="K204" i="9"/>
  <c r="J204" i="9"/>
  <c r="AB203" i="9"/>
  <c r="Y203" i="9"/>
  <c r="W203" i="9"/>
  <c r="S203" i="9"/>
  <c r="P203" i="9" s="1"/>
  <c r="R203" i="9" s="1"/>
  <c r="Q203" i="9"/>
  <c r="O203" i="9"/>
  <c r="N203" i="9"/>
  <c r="K203" i="9"/>
  <c r="J203" i="9"/>
  <c r="AB202" i="9"/>
  <c r="Y202" i="9"/>
  <c r="W202" i="9"/>
  <c r="S202" i="9"/>
  <c r="Q202" i="9"/>
  <c r="O202" i="9"/>
  <c r="N202" i="9"/>
  <c r="K202" i="9"/>
  <c r="J202" i="9"/>
  <c r="AB201" i="9"/>
  <c r="Y201" i="9"/>
  <c r="AA201" i="9" s="1"/>
  <c r="W201" i="9"/>
  <c r="S201" i="9"/>
  <c r="AC201" i="9" s="1"/>
  <c r="AE201" i="9" s="1"/>
  <c r="Q201" i="9"/>
  <c r="O201" i="9"/>
  <c r="N201" i="9"/>
  <c r="K201" i="9"/>
  <c r="J201" i="9"/>
  <c r="AB200" i="9"/>
  <c r="Y200" i="9"/>
  <c r="AD200" i="9" s="1"/>
  <c r="W200" i="9"/>
  <c r="S200" i="9"/>
  <c r="Q200" i="9"/>
  <c r="O200" i="9"/>
  <c r="N200" i="9"/>
  <c r="K200" i="9"/>
  <c r="J200" i="9"/>
  <c r="AB199" i="9"/>
  <c r="Y199" i="9"/>
  <c r="AD199" i="9" s="1"/>
  <c r="W199" i="9"/>
  <c r="S199" i="9"/>
  <c r="AC199" i="9" s="1"/>
  <c r="AE199" i="9" s="1"/>
  <c r="Q199" i="9"/>
  <c r="O199" i="9"/>
  <c r="N199" i="9"/>
  <c r="K199" i="9"/>
  <c r="J199" i="9"/>
  <c r="AB198" i="9"/>
  <c r="Y198" i="9"/>
  <c r="W198" i="9"/>
  <c r="S198" i="9"/>
  <c r="AC198" i="9" s="1"/>
  <c r="AE198" i="9" s="1"/>
  <c r="Q198" i="9"/>
  <c r="O198" i="9"/>
  <c r="N198" i="9"/>
  <c r="K198" i="9"/>
  <c r="J198" i="9"/>
  <c r="AB197" i="9"/>
  <c r="Y197" i="9"/>
  <c r="AA197" i="9" s="1"/>
  <c r="W197" i="9"/>
  <c r="S197" i="9"/>
  <c r="AC197" i="9" s="1"/>
  <c r="AE197" i="9" s="1"/>
  <c r="Q197" i="9"/>
  <c r="O197" i="9"/>
  <c r="N197" i="9"/>
  <c r="K197" i="9"/>
  <c r="J197" i="9"/>
  <c r="Z196" i="9"/>
  <c r="AB196" i="9" s="1"/>
  <c r="Y196" i="9"/>
  <c r="W196" i="9"/>
  <c r="S196" i="9"/>
  <c r="M196" i="9"/>
  <c r="N196" i="9" s="1"/>
  <c r="K196" i="9"/>
  <c r="J196" i="9"/>
  <c r="AB195" i="9"/>
  <c r="Y195" i="9"/>
  <c r="AD195" i="9" s="1"/>
  <c r="W195" i="9"/>
  <c r="S195" i="9"/>
  <c r="AC195" i="9" s="1"/>
  <c r="AE195" i="9" s="1"/>
  <c r="Q195" i="9"/>
  <c r="O195" i="9"/>
  <c r="N195" i="9"/>
  <c r="K195" i="9"/>
  <c r="J195" i="9"/>
  <c r="AB194" i="9"/>
  <c r="Y194" i="9"/>
  <c r="AD194" i="9" s="1"/>
  <c r="W194" i="9"/>
  <c r="S194" i="9"/>
  <c r="AC194" i="9" s="1"/>
  <c r="AE194" i="9" s="1"/>
  <c r="Q194" i="9"/>
  <c r="O194" i="9"/>
  <c r="N194" i="9"/>
  <c r="K194" i="9"/>
  <c r="J194" i="9"/>
  <c r="AB193" i="9"/>
  <c r="Y193" i="9"/>
  <c r="AA193" i="9" s="1"/>
  <c r="W193" i="9"/>
  <c r="S193" i="9"/>
  <c r="AC193" i="9" s="1"/>
  <c r="AE193" i="9" s="1"/>
  <c r="Q193" i="9"/>
  <c r="O193" i="9"/>
  <c r="N193" i="9"/>
  <c r="K193" i="9"/>
  <c r="J193" i="9"/>
  <c r="AB192" i="9"/>
  <c r="Y192" i="9"/>
  <c r="AA192" i="9" s="1"/>
  <c r="W192" i="9"/>
  <c r="S192" i="9"/>
  <c r="P192" i="9" s="1"/>
  <c r="R192" i="9" s="1"/>
  <c r="Q192" i="9"/>
  <c r="O192" i="9"/>
  <c r="N192" i="9"/>
  <c r="K192" i="9"/>
  <c r="J192" i="9"/>
  <c r="AB191" i="9"/>
  <c r="Y191" i="9"/>
  <c r="W191" i="9"/>
  <c r="S191" i="9"/>
  <c r="Q191" i="9"/>
  <c r="O191" i="9"/>
  <c r="N191" i="9"/>
  <c r="K191" i="9"/>
  <c r="J191" i="9"/>
  <c r="AB190" i="9"/>
  <c r="Y190" i="9"/>
  <c r="AD190" i="9" s="1"/>
  <c r="W190" i="9"/>
  <c r="S190" i="9"/>
  <c r="AC190" i="9" s="1"/>
  <c r="AE190" i="9" s="1"/>
  <c r="Q190" i="9"/>
  <c r="O190" i="9"/>
  <c r="N190" i="9"/>
  <c r="K190" i="9"/>
  <c r="J190" i="9"/>
  <c r="AB189" i="9"/>
  <c r="Y189" i="9"/>
  <c r="W189" i="9"/>
  <c r="S189" i="9"/>
  <c r="P189" i="9" s="1"/>
  <c r="R189" i="9" s="1"/>
  <c r="Q189" i="9"/>
  <c r="O189" i="9"/>
  <c r="N189" i="9"/>
  <c r="K189" i="9"/>
  <c r="J189" i="9"/>
  <c r="AB188" i="9"/>
  <c r="Y188" i="9"/>
  <c r="AD188" i="9" s="1"/>
  <c r="W188" i="9"/>
  <c r="S188" i="9"/>
  <c r="P188" i="9" s="1"/>
  <c r="R188" i="9" s="1"/>
  <c r="Q188" i="9"/>
  <c r="O188" i="9"/>
  <c r="N188" i="9"/>
  <c r="K188" i="9"/>
  <c r="J188" i="9"/>
  <c r="AB187" i="9"/>
  <c r="Y187" i="9"/>
  <c r="AD187" i="9" s="1"/>
  <c r="W187" i="9"/>
  <c r="S187" i="9"/>
  <c r="AC187" i="9" s="1"/>
  <c r="AE187" i="9" s="1"/>
  <c r="Q187" i="9"/>
  <c r="O187" i="9"/>
  <c r="N187" i="9"/>
  <c r="K187" i="9"/>
  <c r="J187" i="9"/>
  <c r="AB186" i="9"/>
  <c r="Y186" i="9"/>
  <c r="W186" i="9"/>
  <c r="S186" i="9"/>
  <c r="AC186" i="9" s="1"/>
  <c r="AE186" i="9" s="1"/>
  <c r="Q186" i="9"/>
  <c r="O186" i="9"/>
  <c r="N186" i="9"/>
  <c r="K186" i="9"/>
  <c r="J186" i="9"/>
  <c r="AB185" i="9"/>
  <c r="Y185" i="9"/>
  <c r="AA185" i="9" s="1"/>
  <c r="W185" i="9"/>
  <c r="S185" i="9"/>
  <c r="AC185" i="9" s="1"/>
  <c r="AE185" i="9" s="1"/>
  <c r="Q185" i="9"/>
  <c r="O185" i="9"/>
  <c r="N185" i="9"/>
  <c r="K185" i="9"/>
  <c r="J185" i="9"/>
  <c r="AB184" i="9"/>
  <c r="Y184" i="9"/>
  <c r="AA184" i="9" s="1"/>
  <c r="W184" i="9"/>
  <c r="S184" i="9"/>
  <c r="AC184" i="9" s="1"/>
  <c r="M184" i="9"/>
  <c r="O184" i="9" s="1"/>
  <c r="K184" i="9"/>
  <c r="J184" i="9"/>
  <c r="AB183" i="9"/>
  <c r="Y183" i="9"/>
  <c r="W183" i="9"/>
  <c r="S183" i="9"/>
  <c r="AC183" i="9" s="1"/>
  <c r="AE183" i="9" s="1"/>
  <c r="Q183" i="9"/>
  <c r="O183" i="9"/>
  <c r="N183" i="9"/>
  <c r="K183" i="9"/>
  <c r="J183" i="9"/>
  <c r="AB182" i="9"/>
  <c r="Y182" i="9"/>
  <c r="AD182" i="9" s="1"/>
  <c r="W182" i="9"/>
  <c r="S182" i="9"/>
  <c r="AC182" i="9" s="1"/>
  <c r="AE182" i="9" s="1"/>
  <c r="Q182" i="9"/>
  <c r="O182" i="9"/>
  <c r="N182" i="9"/>
  <c r="K182" i="9"/>
  <c r="J182" i="9"/>
  <c r="AB181" i="9"/>
  <c r="Y181" i="9"/>
  <c r="W181" i="9"/>
  <c r="S181" i="9"/>
  <c r="AC181" i="9" s="1"/>
  <c r="AE181" i="9" s="1"/>
  <c r="Q181" i="9"/>
  <c r="O181" i="9"/>
  <c r="N181" i="9"/>
  <c r="K181" i="9"/>
  <c r="J181" i="9"/>
  <c r="AB180" i="9"/>
  <c r="Y180" i="9"/>
  <c r="AA180" i="9" s="1"/>
  <c r="W180" i="9"/>
  <c r="S180" i="9"/>
  <c r="AC180" i="9" s="1"/>
  <c r="AE180" i="9" s="1"/>
  <c r="Q180" i="9"/>
  <c r="O180" i="9"/>
  <c r="N180" i="9"/>
  <c r="K180" i="9"/>
  <c r="J180" i="9"/>
  <c r="AB179" i="9"/>
  <c r="Y179" i="9"/>
  <c r="W179" i="9"/>
  <c r="S179" i="9"/>
  <c r="Q179" i="9"/>
  <c r="O179" i="9"/>
  <c r="N179" i="9"/>
  <c r="K179" i="9"/>
  <c r="J179" i="9"/>
  <c r="AB178" i="9"/>
  <c r="Y178" i="9"/>
  <c r="W178" i="9"/>
  <c r="S178" i="9"/>
  <c r="AC178" i="9" s="1"/>
  <c r="AE178" i="9" s="1"/>
  <c r="Q178" i="9"/>
  <c r="O178" i="9"/>
  <c r="N178" i="9"/>
  <c r="K178" i="9"/>
  <c r="J178" i="9"/>
  <c r="AB177" i="9"/>
  <c r="Y177" i="9"/>
  <c r="AD177" i="9" s="1"/>
  <c r="W177" i="9"/>
  <c r="S177" i="9"/>
  <c r="AC177" i="9" s="1"/>
  <c r="AE177" i="9" s="1"/>
  <c r="Q177" i="9"/>
  <c r="O177" i="9"/>
  <c r="N177" i="9"/>
  <c r="K177" i="9"/>
  <c r="J177" i="9"/>
  <c r="AB176" i="9"/>
  <c r="Y176" i="9"/>
  <c r="W176" i="9"/>
  <c r="S176" i="9"/>
  <c r="AC176" i="9" s="1"/>
  <c r="AE176" i="9" s="1"/>
  <c r="Q176" i="9"/>
  <c r="O176" i="9"/>
  <c r="N176" i="9"/>
  <c r="K176" i="9"/>
  <c r="J176" i="9"/>
  <c r="AB175" i="9"/>
  <c r="Y175" i="9"/>
  <c r="AD175" i="9" s="1"/>
  <c r="W175" i="9"/>
  <c r="S175" i="9"/>
  <c r="AC175" i="9" s="1"/>
  <c r="AE175" i="9" s="1"/>
  <c r="Q175" i="9"/>
  <c r="O175" i="9"/>
  <c r="N175" i="9"/>
  <c r="K175" i="9"/>
  <c r="J175" i="9"/>
  <c r="AB174" i="9"/>
  <c r="Y174" i="9"/>
  <c r="AD174" i="9" s="1"/>
  <c r="W174" i="9"/>
  <c r="S174" i="9"/>
  <c r="AC174" i="9" s="1"/>
  <c r="AE174" i="9" s="1"/>
  <c r="Q174" i="9"/>
  <c r="O174" i="9"/>
  <c r="N174" i="9"/>
  <c r="K174" i="9"/>
  <c r="J174" i="9"/>
  <c r="AB173" i="9"/>
  <c r="Y173" i="9"/>
  <c r="AD173" i="9" s="1"/>
  <c r="W173" i="9"/>
  <c r="S173" i="9"/>
  <c r="Q173" i="9"/>
  <c r="O173" i="9"/>
  <c r="N173" i="9"/>
  <c r="K173" i="9"/>
  <c r="J173" i="9"/>
  <c r="AB172" i="9"/>
  <c r="Y172" i="9"/>
  <c r="AA172" i="9" s="1"/>
  <c r="W172" i="9"/>
  <c r="S172" i="9"/>
  <c r="AC172" i="9" s="1"/>
  <c r="AE172" i="9" s="1"/>
  <c r="M172" i="9"/>
  <c r="O172" i="9" s="1"/>
  <c r="K172" i="9"/>
  <c r="J172" i="9"/>
  <c r="AB171" i="9"/>
  <c r="Y171" i="9"/>
  <c r="W171" i="9"/>
  <c r="S171" i="9"/>
  <c r="Q171" i="9"/>
  <c r="O171" i="9"/>
  <c r="N171" i="9"/>
  <c r="K171" i="9"/>
  <c r="J171" i="9"/>
  <c r="AB170" i="9"/>
  <c r="Y170" i="9"/>
  <c r="AD170" i="9" s="1"/>
  <c r="W170" i="9"/>
  <c r="S170" i="9"/>
  <c r="AC170" i="9" s="1"/>
  <c r="AE170" i="9" s="1"/>
  <c r="Q170" i="9"/>
  <c r="O170" i="9"/>
  <c r="N170" i="9"/>
  <c r="K170" i="9"/>
  <c r="J170" i="9"/>
  <c r="AB169" i="9"/>
  <c r="Y169" i="9"/>
  <c r="AA169" i="9" s="1"/>
  <c r="W169" i="9"/>
  <c r="S169" i="9"/>
  <c r="AC169" i="9" s="1"/>
  <c r="AE169" i="9" s="1"/>
  <c r="Q169" i="9"/>
  <c r="O169" i="9"/>
  <c r="N169" i="9"/>
  <c r="K169" i="9"/>
  <c r="J169" i="9"/>
  <c r="AB168" i="9"/>
  <c r="Y168" i="9"/>
  <c r="AA168" i="9" s="1"/>
  <c r="W168" i="9"/>
  <c r="S168" i="9"/>
  <c r="P168" i="9" s="1"/>
  <c r="R168" i="9" s="1"/>
  <c r="Q168" i="9"/>
  <c r="O168" i="9"/>
  <c r="N168" i="9"/>
  <c r="K168" i="9"/>
  <c r="J168" i="9"/>
  <c r="AB167" i="9"/>
  <c r="Y167" i="9"/>
  <c r="AA167" i="9" s="1"/>
  <c r="W167" i="9"/>
  <c r="S167" i="9"/>
  <c r="P167" i="9" s="1"/>
  <c r="R167" i="9" s="1"/>
  <c r="Q167" i="9"/>
  <c r="O167" i="9"/>
  <c r="N167" i="9"/>
  <c r="K167" i="9"/>
  <c r="J167" i="9"/>
  <c r="AB166" i="9"/>
  <c r="Y166" i="9"/>
  <c r="AA166" i="9" s="1"/>
  <c r="W166" i="9"/>
  <c r="S166" i="9"/>
  <c r="AC166" i="9" s="1"/>
  <c r="AE166" i="9" s="1"/>
  <c r="Q166" i="9"/>
  <c r="O166" i="9"/>
  <c r="N166" i="9"/>
  <c r="K166" i="9"/>
  <c r="J166" i="9"/>
  <c r="AB165" i="9"/>
  <c r="Y165" i="9"/>
  <c r="AA165" i="9" s="1"/>
  <c r="W165" i="9"/>
  <c r="S165" i="9"/>
  <c r="P165" i="9" s="1"/>
  <c r="R165" i="9" s="1"/>
  <c r="Q165" i="9"/>
  <c r="O165" i="9"/>
  <c r="N165" i="9"/>
  <c r="K165" i="9"/>
  <c r="J165" i="9"/>
  <c r="AB164" i="9"/>
  <c r="Y164" i="9"/>
  <c r="AD164" i="9" s="1"/>
  <c r="W164" i="9"/>
  <c r="S164" i="9"/>
  <c r="P164" i="9" s="1"/>
  <c r="R164" i="9" s="1"/>
  <c r="Q164" i="9"/>
  <c r="O164" i="9"/>
  <c r="N164" i="9"/>
  <c r="K164" i="9"/>
  <c r="J164" i="9"/>
  <c r="AB163" i="9"/>
  <c r="Y163" i="9"/>
  <c r="AD163" i="9" s="1"/>
  <c r="W163" i="9"/>
  <c r="S163" i="9"/>
  <c r="AC163" i="9" s="1"/>
  <c r="AE163" i="9" s="1"/>
  <c r="Q163" i="9"/>
  <c r="O163" i="9"/>
  <c r="N163" i="9"/>
  <c r="K163" i="9"/>
  <c r="J163" i="9"/>
  <c r="AB162" i="9"/>
  <c r="Y162" i="9"/>
  <c r="AD162" i="9" s="1"/>
  <c r="W162" i="9"/>
  <c r="S162" i="9"/>
  <c r="AC162" i="9" s="1"/>
  <c r="AE162" i="9" s="1"/>
  <c r="Q162" i="9"/>
  <c r="O162" i="9"/>
  <c r="N162" i="9"/>
  <c r="K162" i="9"/>
  <c r="J162" i="9"/>
  <c r="AB161" i="9"/>
  <c r="Y161" i="9"/>
  <c r="AA161" i="9" s="1"/>
  <c r="W161" i="9"/>
  <c r="S161" i="9"/>
  <c r="AC161" i="9" s="1"/>
  <c r="AE161" i="9" s="1"/>
  <c r="Q161" i="9"/>
  <c r="O161" i="9"/>
  <c r="N161" i="9"/>
  <c r="K161" i="9"/>
  <c r="J161" i="9"/>
  <c r="AB160" i="9"/>
  <c r="Y160" i="9"/>
  <c r="AA160" i="9" s="1"/>
  <c r="W160" i="9"/>
  <c r="S160" i="9"/>
  <c r="M160" i="9"/>
  <c r="N160" i="9" s="1"/>
  <c r="K160" i="9"/>
  <c r="J160" i="9"/>
  <c r="AB159" i="9"/>
  <c r="Y159" i="9"/>
  <c r="AD159" i="9" s="1"/>
  <c r="W159" i="9"/>
  <c r="S159" i="9"/>
  <c r="AC159" i="9" s="1"/>
  <c r="AE159" i="9" s="1"/>
  <c r="Q159" i="9"/>
  <c r="O159" i="9"/>
  <c r="N159" i="9"/>
  <c r="K159" i="9"/>
  <c r="J159" i="9"/>
  <c r="AB158" i="9"/>
  <c r="Y158" i="9"/>
  <c r="AD158" i="9" s="1"/>
  <c r="W158" i="9"/>
  <c r="S158" i="9"/>
  <c r="AC158" i="9" s="1"/>
  <c r="AE158" i="9" s="1"/>
  <c r="Q158" i="9"/>
  <c r="O158" i="9"/>
  <c r="N158" i="9"/>
  <c r="K158" i="9"/>
  <c r="J158" i="9"/>
  <c r="AB157" i="9"/>
  <c r="Y157" i="9"/>
  <c r="AA157" i="9" s="1"/>
  <c r="W157" i="9"/>
  <c r="S157" i="9"/>
  <c r="AC157" i="9" s="1"/>
  <c r="AE157" i="9" s="1"/>
  <c r="Q157" i="9"/>
  <c r="O157" i="9"/>
  <c r="N157" i="9"/>
  <c r="K157" i="9"/>
  <c r="J157" i="9"/>
  <c r="AB156" i="9"/>
  <c r="Y156" i="9"/>
  <c r="W156" i="9"/>
  <c r="S156" i="9"/>
  <c r="AC156" i="9" s="1"/>
  <c r="AE156" i="9" s="1"/>
  <c r="Q156" i="9"/>
  <c r="O156" i="9"/>
  <c r="N156" i="9"/>
  <c r="K156" i="9"/>
  <c r="J156" i="9"/>
  <c r="AB155" i="9"/>
  <c r="Y155" i="9"/>
  <c r="AA155" i="9" s="1"/>
  <c r="W155" i="9"/>
  <c r="S155" i="9"/>
  <c r="P155" i="9" s="1"/>
  <c r="R155" i="9" s="1"/>
  <c r="Q155" i="9"/>
  <c r="O155" i="9"/>
  <c r="N155" i="9"/>
  <c r="K155" i="9"/>
  <c r="J155" i="9"/>
  <c r="AB154" i="9"/>
  <c r="Y154" i="9"/>
  <c r="W154" i="9"/>
  <c r="S154" i="9"/>
  <c r="AC154" i="9" s="1"/>
  <c r="AE154" i="9" s="1"/>
  <c r="Q154" i="9"/>
  <c r="O154" i="9"/>
  <c r="N154" i="9"/>
  <c r="K154" i="9"/>
  <c r="J154" i="9"/>
  <c r="AB153" i="9"/>
  <c r="Y153" i="9"/>
  <c r="AD153" i="9" s="1"/>
  <c r="W153" i="9"/>
  <c r="S153" i="9"/>
  <c r="AC153" i="9" s="1"/>
  <c r="AE153" i="9" s="1"/>
  <c r="Q153" i="9"/>
  <c r="O153" i="9"/>
  <c r="N153" i="9"/>
  <c r="K153" i="9"/>
  <c r="J153" i="9"/>
  <c r="AB152" i="9"/>
  <c r="Y152" i="9"/>
  <c r="AD152" i="9" s="1"/>
  <c r="W152" i="9"/>
  <c r="S152" i="9"/>
  <c r="Q152" i="9"/>
  <c r="O152" i="9"/>
  <c r="N152" i="9"/>
  <c r="K152" i="9"/>
  <c r="J152" i="9"/>
  <c r="AB151" i="9"/>
  <c r="Y151" i="9"/>
  <c r="AD151" i="9" s="1"/>
  <c r="W151" i="9"/>
  <c r="S151" i="9"/>
  <c r="AC151" i="9" s="1"/>
  <c r="AE151" i="9" s="1"/>
  <c r="Q151" i="9"/>
  <c r="O151" i="9"/>
  <c r="N151" i="9"/>
  <c r="K151" i="9"/>
  <c r="J151" i="9"/>
  <c r="AB150" i="9"/>
  <c r="Y150" i="9"/>
  <c r="AD150" i="9" s="1"/>
  <c r="W150" i="9"/>
  <c r="S150" i="9"/>
  <c r="AC150" i="9" s="1"/>
  <c r="AE150" i="9" s="1"/>
  <c r="Q150" i="9"/>
  <c r="O150" i="9"/>
  <c r="N150" i="9"/>
  <c r="K150" i="9"/>
  <c r="J150" i="9"/>
  <c r="AB149" i="9"/>
  <c r="Y149" i="9"/>
  <c r="AA149" i="9" s="1"/>
  <c r="W149" i="9"/>
  <c r="S149" i="9"/>
  <c r="AC149" i="9" s="1"/>
  <c r="AE149" i="9" s="1"/>
  <c r="Q149" i="9"/>
  <c r="O149" i="9"/>
  <c r="N149" i="9"/>
  <c r="K149" i="9"/>
  <c r="J149" i="9"/>
  <c r="Z148" i="9"/>
  <c r="AB148" i="9" s="1"/>
  <c r="Y148" i="9"/>
  <c r="W148" i="9"/>
  <c r="S148" i="9"/>
  <c r="M148" i="9"/>
  <c r="O148" i="9" s="1"/>
  <c r="K148" i="9"/>
  <c r="J148" i="9"/>
  <c r="AB147" i="9"/>
  <c r="Y147" i="9"/>
  <c r="W147" i="9"/>
  <c r="S147" i="9"/>
  <c r="AC147" i="9" s="1"/>
  <c r="AE147" i="9" s="1"/>
  <c r="Q147" i="9"/>
  <c r="O147" i="9"/>
  <c r="N147" i="9"/>
  <c r="K147" i="9"/>
  <c r="J147" i="9"/>
  <c r="AB146" i="9"/>
  <c r="Y146" i="9"/>
  <c r="AD146" i="9" s="1"/>
  <c r="W146" i="9"/>
  <c r="S146" i="9"/>
  <c r="AC146" i="9" s="1"/>
  <c r="AE146" i="9" s="1"/>
  <c r="Q146" i="9"/>
  <c r="O146" i="9"/>
  <c r="N146" i="9"/>
  <c r="K146" i="9"/>
  <c r="J146" i="9"/>
  <c r="AB145" i="9"/>
  <c r="Y145" i="9"/>
  <c r="AA145" i="9" s="1"/>
  <c r="W145" i="9"/>
  <c r="S145" i="9"/>
  <c r="AC145" i="9" s="1"/>
  <c r="AE145" i="9" s="1"/>
  <c r="Q145" i="9"/>
  <c r="O145" i="9"/>
  <c r="N145" i="9"/>
  <c r="K145" i="9"/>
  <c r="J145" i="9"/>
  <c r="AB144" i="9"/>
  <c r="Y144" i="9"/>
  <c r="AA144" i="9" s="1"/>
  <c r="W144" i="9"/>
  <c r="S144" i="9"/>
  <c r="AC144" i="9" s="1"/>
  <c r="AE144" i="9" s="1"/>
  <c r="Q144" i="9"/>
  <c r="O144" i="9"/>
  <c r="N144" i="9"/>
  <c r="K144" i="9"/>
  <c r="J144" i="9"/>
  <c r="AB143" i="9"/>
  <c r="Y143" i="9"/>
  <c r="AA143" i="9" s="1"/>
  <c r="W143" i="9"/>
  <c r="S143" i="9"/>
  <c r="P143" i="9" s="1"/>
  <c r="R143" i="9" s="1"/>
  <c r="Q143" i="9"/>
  <c r="O143" i="9"/>
  <c r="N143" i="9"/>
  <c r="K143" i="9"/>
  <c r="J143" i="9"/>
  <c r="AB142" i="9"/>
  <c r="Y142" i="9"/>
  <c r="W142" i="9"/>
  <c r="S142" i="9"/>
  <c r="P142" i="9" s="1"/>
  <c r="R142" i="9" s="1"/>
  <c r="Q142" i="9"/>
  <c r="O142" i="9"/>
  <c r="N142" i="9"/>
  <c r="K142" i="9"/>
  <c r="J142" i="9"/>
  <c r="AB141" i="9"/>
  <c r="Y141" i="9"/>
  <c r="AD141" i="9" s="1"/>
  <c r="W141" i="9"/>
  <c r="S141" i="9"/>
  <c r="P141" i="9" s="1"/>
  <c r="R141" i="9" s="1"/>
  <c r="Q141" i="9"/>
  <c r="O141" i="9"/>
  <c r="N141" i="9"/>
  <c r="K141" i="9"/>
  <c r="J141" i="9"/>
  <c r="AB140" i="9"/>
  <c r="Y140" i="9"/>
  <c r="AD140" i="9" s="1"/>
  <c r="W140" i="9"/>
  <c r="S140" i="9"/>
  <c r="P140" i="9" s="1"/>
  <c r="R140" i="9" s="1"/>
  <c r="Q140" i="9"/>
  <c r="O140" i="9"/>
  <c r="N140" i="9"/>
  <c r="K140" i="9"/>
  <c r="J140" i="9"/>
  <c r="AB139" i="9"/>
  <c r="Y139" i="9"/>
  <c r="AD139" i="9" s="1"/>
  <c r="W139" i="9"/>
  <c r="S139" i="9"/>
  <c r="AC139" i="9" s="1"/>
  <c r="AE139" i="9" s="1"/>
  <c r="Q139" i="9"/>
  <c r="O139" i="9"/>
  <c r="N139" i="9"/>
  <c r="K139" i="9"/>
  <c r="J139" i="9"/>
  <c r="AB138" i="9"/>
  <c r="Y138" i="9"/>
  <c r="AD138" i="9" s="1"/>
  <c r="W138" i="9"/>
  <c r="S138" i="9"/>
  <c r="AC138" i="9" s="1"/>
  <c r="AE138" i="9" s="1"/>
  <c r="Q138" i="9"/>
  <c r="O138" i="9"/>
  <c r="N138" i="9"/>
  <c r="K138" i="9"/>
  <c r="J138" i="9"/>
  <c r="AB137" i="9"/>
  <c r="Y137" i="9"/>
  <c r="AD137" i="9" s="1"/>
  <c r="W137" i="9"/>
  <c r="S137" i="9"/>
  <c r="Q137" i="9"/>
  <c r="O137" i="9"/>
  <c r="N137" i="9"/>
  <c r="K137" i="9"/>
  <c r="J137" i="9"/>
  <c r="Z136" i="9"/>
  <c r="AB136" i="9" s="1"/>
  <c r="Z124" i="9"/>
  <c r="AB124" i="9" s="1"/>
  <c r="Z112" i="4"/>
  <c r="AB112" i="4"/>
  <c r="Z100" i="4"/>
  <c r="Y136" i="9"/>
  <c r="W136" i="9"/>
  <c r="S136" i="9"/>
  <c r="M136" i="9"/>
  <c r="O136" i="9" s="1"/>
  <c r="K136" i="9"/>
  <c r="J136" i="9"/>
  <c r="AB135" i="9"/>
  <c r="Y135" i="9"/>
  <c r="AA135" i="9" s="1"/>
  <c r="W135" i="9"/>
  <c r="S135" i="9"/>
  <c r="AC135" i="9" s="1"/>
  <c r="AE135" i="9" s="1"/>
  <c r="Q135" i="9"/>
  <c r="O135" i="9"/>
  <c r="N135" i="9"/>
  <c r="K135" i="9"/>
  <c r="J135" i="9"/>
  <c r="AB134" i="9"/>
  <c r="Y134" i="9"/>
  <c r="AD134" i="9" s="1"/>
  <c r="W134" i="9"/>
  <c r="S134" i="9"/>
  <c r="P134" i="9" s="1"/>
  <c r="R134" i="9" s="1"/>
  <c r="Q134" i="9"/>
  <c r="O134" i="9"/>
  <c r="N134" i="9"/>
  <c r="K134" i="9"/>
  <c r="J134" i="9"/>
  <c r="AB133" i="9"/>
  <c r="Y133" i="9"/>
  <c r="W133" i="9"/>
  <c r="S133" i="9"/>
  <c r="AC133" i="9" s="1"/>
  <c r="AE133" i="9" s="1"/>
  <c r="Q133" i="9"/>
  <c r="O133" i="9"/>
  <c r="N133" i="9"/>
  <c r="K133" i="9"/>
  <c r="J133" i="9"/>
  <c r="AB132" i="9"/>
  <c r="Y132" i="9"/>
  <c r="AA132" i="9" s="1"/>
  <c r="W132" i="9"/>
  <c r="S132" i="9"/>
  <c r="P132" i="9" s="1"/>
  <c r="R132" i="9" s="1"/>
  <c r="Q132" i="9"/>
  <c r="O132" i="9"/>
  <c r="N132" i="9"/>
  <c r="K132" i="9"/>
  <c r="J132" i="9"/>
  <c r="AB131" i="9"/>
  <c r="Y131" i="9"/>
  <c r="AA131" i="9" s="1"/>
  <c r="W131" i="9"/>
  <c r="S131" i="9"/>
  <c r="Q131" i="9"/>
  <c r="O131" i="9"/>
  <c r="N131" i="9"/>
  <c r="K131" i="9"/>
  <c r="J131" i="9"/>
  <c r="AB130" i="9"/>
  <c r="Y130" i="9"/>
  <c r="AD130" i="9" s="1"/>
  <c r="W130" i="9"/>
  <c r="S130" i="9"/>
  <c r="AC130" i="9" s="1"/>
  <c r="AE130" i="9" s="1"/>
  <c r="Q130" i="9"/>
  <c r="O130" i="9"/>
  <c r="N130" i="9"/>
  <c r="K130" i="9"/>
  <c r="J130" i="9"/>
  <c r="AB129" i="9"/>
  <c r="Y129" i="9"/>
  <c r="W129" i="9"/>
  <c r="S129" i="9"/>
  <c r="Q129" i="9"/>
  <c r="O129" i="9"/>
  <c r="N129" i="9"/>
  <c r="K129" i="9"/>
  <c r="J129" i="9"/>
  <c r="AB128" i="9"/>
  <c r="Y128" i="9"/>
  <c r="W128" i="9"/>
  <c r="S128" i="9"/>
  <c r="Q128" i="9"/>
  <c r="O128" i="9"/>
  <c r="N128" i="9"/>
  <c r="K128" i="9"/>
  <c r="J128" i="9"/>
  <c r="AB127" i="9"/>
  <c r="Y127" i="9"/>
  <c r="W127" i="9"/>
  <c r="S127" i="9"/>
  <c r="AC127" i="9" s="1"/>
  <c r="AE127" i="9" s="1"/>
  <c r="Q127" i="9"/>
  <c r="O127" i="9"/>
  <c r="N127" i="9"/>
  <c r="K127" i="9"/>
  <c r="J127" i="9"/>
  <c r="AB126" i="9"/>
  <c r="Y126" i="9"/>
  <c r="AD126" i="9" s="1"/>
  <c r="W126" i="9"/>
  <c r="S126" i="9"/>
  <c r="Q126" i="9"/>
  <c r="O126" i="9"/>
  <c r="N126" i="9"/>
  <c r="K126" i="9"/>
  <c r="J126" i="9"/>
  <c r="AB125" i="9"/>
  <c r="Y125" i="9"/>
  <c r="AA125" i="9" s="1"/>
  <c r="W125" i="9"/>
  <c r="S125" i="9"/>
  <c r="AC125" i="9" s="1"/>
  <c r="AE125" i="9" s="1"/>
  <c r="Q125" i="9"/>
  <c r="O125" i="9"/>
  <c r="N125" i="9"/>
  <c r="K125" i="9"/>
  <c r="J125" i="9"/>
  <c r="Y124" i="9"/>
  <c r="W124" i="9"/>
  <c r="S124" i="9"/>
  <c r="M124" i="9"/>
  <c r="K124" i="9"/>
  <c r="J124" i="9"/>
  <c r="AB123" i="9"/>
  <c r="Y123" i="9"/>
  <c r="AA123" i="9" s="1"/>
  <c r="W123" i="9"/>
  <c r="S123" i="9"/>
  <c r="P123" i="9" s="1"/>
  <c r="R123" i="9" s="1"/>
  <c r="Q123" i="9"/>
  <c r="O123" i="9"/>
  <c r="N123" i="9"/>
  <c r="K123" i="9"/>
  <c r="J123" i="9"/>
  <c r="AB122" i="9"/>
  <c r="Y122" i="9"/>
  <c r="AA122" i="9" s="1"/>
  <c r="W122" i="9"/>
  <c r="S122" i="9"/>
  <c r="AC122" i="9" s="1"/>
  <c r="AE122" i="9" s="1"/>
  <c r="Q122" i="9"/>
  <c r="O122" i="9"/>
  <c r="N122" i="9"/>
  <c r="K122" i="9"/>
  <c r="J122" i="9"/>
  <c r="AB121" i="9"/>
  <c r="Y121" i="9"/>
  <c r="W121" i="9"/>
  <c r="S121" i="9"/>
  <c r="AC121" i="9" s="1"/>
  <c r="AE121" i="9" s="1"/>
  <c r="Q121" i="9"/>
  <c r="O121" i="9"/>
  <c r="N121" i="9"/>
  <c r="K121" i="9"/>
  <c r="J121" i="9"/>
  <c r="AB120" i="9"/>
  <c r="Y120" i="9"/>
  <c r="AD120" i="9" s="1"/>
  <c r="W120" i="9"/>
  <c r="S120" i="9"/>
  <c r="AC120" i="9" s="1"/>
  <c r="AE120" i="9" s="1"/>
  <c r="Q120" i="9"/>
  <c r="O120" i="9"/>
  <c r="N120" i="9"/>
  <c r="K120" i="9"/>
  <c r="J120" i="9"/>
  <c r="AB119" i="9"/>
  <c r="Y119" i="9"/>
  <c r="W119" i="9"/>
  <c r="S119" i="9"/>
  <c r="P119" i="9" s="1"/>
  <c r="R119" i="9" s="1"/>
  <c r="Q119" i="9"/>
  <c r="O119" i="9"/>
  <c r="N119" i="9"/>
  <c r="K119" i="9"/>
  <c r="J119" i="9"/>
  <c r="AB118" i="9"/>
  <c r="Y118" i="9"/>
  <c r="AA118" i="9" s="1"/>
  <c r="W118" i="9"/>
  <c r="S118" i="9"/>
  <c r="AC118" i="9" s="1"/>
  <c r="AE118" i="9" s="1"/>
  <c r="Q118" i="9"/>
  <c r="O118" i="9"/>
  <c r="N118" i="9"/>
  <c r="K118" i="9"/>
  <c r="J118" i="9"/>
  <c r="AB117" i="9"/>
  <c r="Y117" i="9"/>
  <c r="AD117" i="9" s="1"/>
  <c r="W117" i="9"/>
  <c r="S117" i="9"/>
  <c r="P117" i="9" s="1"/>
  <c r="R117" i="9" s="1"/>
  <c r="Q117" i="9"/>
  <c r="O117" i="9"/>
  <c r="N117" i="9"/>
  <c r="K117" i="9"/>
  <c r="J117" i="9"/>
  <c r="AB116" i="9"/>
  <c r="Y116" i="9"/>
  <c r="AD116" i="9" s="1"/>
  <c r="W116" i="9"/>
  <c r="S116" i="9"/>
  <c r="AC116" i="9" s="1"/>
  <c r="AE116" i="9" s="1"/>
  <c r="Q116" i="9"/>
  <c r="O116" i="9"/>
  <c r="N116" i="9"/>
  <c r="K116" i="9"/>
  <c r="J116" i="9"/>
  <c r="AB115" i="9"/>
  <c r="Y115" i="9"/>
  <c r="AA115" i="9" s="1"/>
  <c r="W115" i="9"/>
  <c r="S115" i="9"/>
  <c r="P115" i="9" s="1"/>
  <c r="R115" i="9" s="1"/>
  <c r="Q115" i="9"/>
  <c r="O115" i="9"/>
  <c r="N115" i="9"/>
  <c r="K115" i="9"/>
  <c r="J115" i="9"/>
  <c r="AB114" i="9"/>
  <c r="Y114" i="9"/>
  <c r="AA114" i="9" s="1"/>
  <c r="W114" i="9"/>
  <c r="S114" i="9"/>
  <c r="AC114" i="9" s="1"/>
  <c r="AE114" i="9" s="1"/>
  <c r="Q114" i="9"/>
  <c r="O114" i="9"/>
  <c r="N114" i="9"/>
  <c r="K114" i="9"/>
  <c r="J114" i="9"/>
  <c r="AB113" i="9"/>
  <c r="Y113" i="9"/>
  <c r="AD113" i="9" s="1"/>
  <c r="W113" i="9"/>
  <c r="S113" i="9"/>
  <c r="AC113" i="9" s="1"/>
  <c r="AE113" i="9" s="1"/>
  <c r="Q113" i="9"/>
  <c r="O113" i="9"/>
  <c r="N113" i="9"/>
  <c r="K113" i="9"/>
  <c r="J113" i="9"/>
  <c r="AB112" i="9"/>
  <c r="Y112" i="9"/>
  <c r="AA112" i="9" s="1"/>
  <c r="W112" i="9"/>
  <c r="S112" i="9"/>
  <c r="AC112" i="9" s="1"/>
  <c r="AE112" i="9" s="1"/>
  <c r="M112" i="9"/>
  <c r="O112" i="9" s="1"/>
  <c r="K112" i="9"/>
  <c r="J112" i="9"/>
  <c r="AB111" i="9"/>
  <c r="Y111" i="9"/>
  <c r="W111" i="9"/>
  <c r="S111" i="9"/>
  <c r="AC111" i="9" s="1"/>
  <c r="AE111" i="9" s="1"/>
  <c r="Q111" i="9"/>
  <c r="O111" i="9"/>
  <c r="N111" i="9"/>
  <c r="K111" i="9"/>
  <c r="J111" i="9"/>
  <c r="AB110" i="9"/>
  <c r="Y110" i="9"/>
  <c r="AD110" i="9" s="1"/>
  <c r="W110" i="9"/>
  <c r="S110" i="9"/>
  <c r="AC110" i="9" s="1"/>
  <c r="AE110" i="9" s="1"/>
  <c r="Q110" i="9"/>
  <c r="O110" i="9"/>
  <c r="N110" i="9"/>
  <c r="K110" i="9"/>
  <c r="J110" i="9"/>
  <c r="AB109" i="9"/>
  <c r="Y109" i="9"/>
  <c r="AA109" i="9" s="1"/>
  <c r="W109" i="9"/>
  <c r="S109" i="9"/>
  <c r="AC109" i="9" s="1"/>
  <c r="AE109" i="9" s="1"/>
  <c r="Q109" i="9"/>
  <c r="O109" i="9"/>
  <c r="N109" i="9"/>
  <c r="K109" i="9"/>
  <c r="J109" i="9"/>
  <c r="AB108" i="9"/>
  <c r="Y108" i="9"/>
  <c r="AA108" i="9" s="1"/>
  <c r="W108" i="9"/>
  <c r="S108" i="9"/>
  <c r="P108" i="9" s="1"/>
  <c r="R108" i="9" s="1"/>
  <c r="Q108" i="9"/>
  <c r="O108" i="9"/>
  <c r="N108" i="9"/>
  <c r="K108" i="9"/>
  <c r="J108" i="9"/>
  <c r="AB107" i="9"/>
  <c r="Y107" i="9"/>
  <c r="AA107" i="9" s="1"/>
  <c r="W107" i="9"/>
  <c r="S107" i="9"/>
  <c r="P107" i="9" s="1"/>
  <c r="R107" i="9" s="1"/>
  <c r="Q107" i="9"/>
  <c r="O107" i="9"/>
  <c r="N107" i="9"/>
  <c r="K107" i="9"/>
  <c r="J107" i="9"/>
  <c r="AB106" i="9"/>
  <c r="Y106" i="9"/>
  <c r="W106" i="9"/>
  <c r="S106" i="9"/>
  <c r="Q106" i="9"/>
  <c r="O106" i="9"/>
  <c r="N106" i="9"/>
  <c r="K106" i="9"/>
  <c r="J106" i="9"/>
  <c r="AB105" i="9"/>
  <c r="Y105" i="9"/>
  <c r="AD105" i="9" s="1"/>
  <c r="W105" i="9"/>
  <c r="S105" i="9"/>
  <c r="P105" i="9" s="1"/>
  <c r="R105" i="9" s="1"/>
  <c r="Q105" i="9"/>
  <c r="O105" i="9"/>
  <c r="N105" i="9"/>
  <c r="K105" i="9"/>
  <c r="J105" i="9"/>
  <c r="AB104" i="9"/>
  <c r="Y104" i="9"/>
  <c r="W104" i="9"/>
  <c r="S104" i="9"/>
  <c r="P104" i="9" s="1"/>
  <c r="R104" i="9" s="1"/>
  <c r="Q104" i="9"/>
  <c r="O104" i="9"/>
  <c r="N104" i="9"/>
  <c r="K104" i="9"/>
  <c r="J104" i="9"/>
  <c r="AB103" i="9"/>
  <c r="Y103" i="9"/>
  <c r="AD103" i="9" s="1"/>
  <c r="W103" i="9"/>
  <c r="S103" i="9"/>
  <c r="AC103" i="9" s="1"/>
  <c r="AE103" i="9" s="1"/>
  <c r="Q103" i="9"/>
  <c r="O103" i="9"/>
  <c r="N103" i="9"/>
  <c r="K103" i="9"/>
  <c r="J103" i="9"/>
  <c r="AB102" i="9"/>
  <c r="Y102" i="9"/>
  <c r="W102" i="9"/>
  <c r="S102" i="9"/>
  <c r="AC102" i="9" s="1"/>
  <c r="AE102" i="9" s="1"/>
  <c r="Q102" i="9"/>
  <c r="O102" i="9"/>
  <c r="N102" i="9"/>
  <c r="K102" i="9"/>
  <c r="J102" i="9"/>
  <c r="AB101" i="9"/>
  <c r="Y101" i="9"/>
  <c r="AA101" i="9" s="1"/>
  <c r="W101" i="9"/>
  <c r="S101" i="9"/>
  <c r="AC101" i="9" s="1"/>
  <c r="AE101" i="9" s="1"/>
  <c r="Q101" i="9"/>
  <c r="O101" i="9"/>
  <c r="N101" i="9"/>
  <c r="K101" i="9"/>
  <c r="J101" i="9"/>
  <c r="AB100" i="9"/>
  <c r="Y100" i="9"/>
  <c r="AA100" i="9" s="1"/>
  <c r="W100" i="9"/>
  <c r="S100" i="9"/>
  <c r="AC100" i="9" s="1"/>
  <c r="AE100" i="9" s="1"/>
  <c r="M100" i="9"/>
  <c r="O100" i="9" s="1"/>
  <c r="K100" i="9"/>
  <c r="J100" i="9"/>
  <c r="AB99" i="9"/>
  <c r="Y99" i="9"/>
  <c r="AA99" i="9" s="1"/>
  <c r="W99" i="9"/>
  <c r="S99" i="9"/>
  <c r="Q99" i="9"/>
  <c r="O99" i="9"/>
  <c r="N99" i="9"/>
  <c r="K99" i="9"/>
  <c r="J99" i="9"/>
  <c r="AB98" i="9"/>
  <c r="Y98" i="9"/>
  <c r="W98" i="9"/>
  <c r="S98" i="9"/>
  <c r="Q98" i="9"/>
  <c r="O98" i="9"/>
  <c r="N98" i="9"/>
  <c r="K98" i="9"/>
  <c r="J98" i="9"/>
  <c r="AB97" i="9"/>
  <c r="Y97" i="9"/>
  <c r="W97" i="9"/>
  <c r="S97" i="9"/>
  <c r="P97" i="9" s="1"/>
  <c r="R97" i="9" s="1"/>
  <c r="Q97" i="9"/>
  <c r="O97" i="9"/>
  <c r="N97" i="9"/>
  <c r="K97" i="9"/>
  <c r="J97" i="9"/>
  <c r="AB96" i="9"/>
  <c r="Y96" i="9"/>
  <c r="W96" i="9"/>
  <c r="S96" i="9"/>
  <c r="P96" i="9" s="1"/>
  <c r="R96" i="9" s="1"/>
  <c r="Q96" i="9"/>
  <c r="O96" i="9"/>
  <c r="N96" i="9"/>
  <c r="K96" i="9"/>
  <c r="J96" i="9"/>
  <c r="AB95" i="9"/>
  <c r="Y95" i="9"/>
  <c r="AD95" i="9" s="1"/>
  <c r="W95" i="9"/>
  <c r="S95" i="9"/>
  <c r="P95" i="9" s="1"/>
  <c r="R95" i="9" s="1"/>
  <c r="Q95" i="9"/>
  <c r="O95" i="9"/>
  <c r="N95" i="9"/>
  <c r="K95" i="9"/>
  <c r="J95" i="9"/>
  <c r="AB94" i="9"/>
  <c r="Y94" i="9"/>
  <c r="W94" i="9"/>
  <c r="S94" i="9"/>
  <c r="AC94" i="9" s="1"/>
  <c r="AE94" i="9" s="1"/>
  <c r="Q94" i="9"/>
  <c r="O94" i="9"/>
  <c r="N94" i="9"/>
  <c r="K94" i="9"/>
  <c r="J94" i="9"/>
  <c r="AB93" i="9"/>
  <c r="Y93" i="9"/>
  <c r="AD93" i="9" s="1"/>
  <c r="W93" i="9"/>
  <c r="S93" i="9"/>
  <c r="AC93" i="9" s="1"/>
  <c r="AE93" i="9" s="1"/>
  <c r="Q93" i="9"/>
  <c r="O93" i="9"/>
  <c r="N93" i="9"/>
  <c r="K93" i="9"/>
  <c r="J93" i="9"/>
  <c r="AB92" i="9"/>
  <c r="Y92" i="9"/>
  <c r="AA92" i="9" s="1"/>
  <c r="W92" i="9"/>
  <c r="S92" i="9"/>
  <c r="AC92" i="9" s="1"/>
  <c r="AE92" i="9" s="1"/>
  <c r="Q92" i="9"/>
  <c r="O92" i="9"/>
  <c r="N92" i="9"/>
  <c r="K92" i="9"/>
  <c r="J92" i="9"/>
  <c r="AB91" i="9"/>
  <c r="Y91" i="9"/>
  <c r="AA91" i="9" s="1"/>
  <c r="W91" i="9"/>
  <c r="S91" i="9"/>
  <c r="P91" i="9" s="1"/>
  <c r="R91" i="9" s="1"/>
  <c r="Q91" i="9"/>
  <c r="O91" i="9"/>
  <c r="N91" i="9"/>
  <c r="K91" i="9"/>
  <c r="J91" i="9"/>
  <c r="AB90" i="9"/>
  <c r="Y90" i="9"/>
  <c r="AA90" i="9" s="1"/>
  <c r="W90" i="9"/>
  <c r="S90" i="9"/>
  <c r="P90" i="9" s="1"/>
  <c r="R90" i="9" s="1"/>
  <c r="Q90" i="9"/>
  <c r="O90" i="9"/>
  <c r="N90" i="9"/>
  <c r="K90" i="9"/>
  <c r="J90" i="9"/>
  <c r="AB89" i="9"/>
  <c r="Y89" i="9"/>
  <c r="W89" i="9"/>
  <c r="S89" i="9"/>
  <c r="Q89" i="9"/>
  <c r="O89" i="9"/>
  <c r="N89" i="9"/>
  <c r="K89" i="9"/>
  <c r="J89" i="9"/>
  <c r="AB88" i="9"/>
  <c r="Y88" i="9"/>
  <c r="AA88" i="9" s="1"/>
  <c r="W88" i="9"/>
  <c r="S88" i="9"/>
  <c r="AC88" i="9" s="1"/>
  <c r="AE88" i="9" s="1"/>
  <c r="M88" i="9"/>
  <c r="O88" i="9" s="1"/>
  <c r="K88" i="9"/>
  <c r="J88" i="9"/>
  <c r="AB87" i="9"/>
  <c r="Y87" i="9"/>
  <c r="AD87" i="9" s="1"/>
  <c r="W87" i="9"/>
  <c r="S87" i="9"/>
  <c r="AC87" i="9" s="1"/>
  <c r="AE87" i="9" s="1"/>
  <c r="Q87" i="9"/>
  <c r="O87" i="9"/>
  <c r="N87" i="9"/>
  <c r="K87" i="9"/>
  <c r="J87" i="9"/>
  <c r="AB86" i="9"/>
  <c r="Y86" i="9"/>
  <c r="AA86" i="9" s="1"/>
  <c r="W86" i="9"/>
  <c r="S86" i="9"/>
  <c r="AC86" i="9" s="1"/>
  <c r="AE86" i="9" s="1"/>
  <c r="Q86" i="9"/>
  <c r="O86" i="9"/>
  <c r="N86" i="9"/>
  <c r="K86" i="9"/>
  <c r="J86" i="9"/>
  <c r="AB85" i="9"/>
  <c r="Y85" i="9"/>
  <c r="AA85" i="9" s="1"/>
  <c r="W85" i="9"/>
  <c r="S85" i="9"/>
  <c r="AC85" i="9" s="1"/>
  <c r="AE85" i="9" s="1"/>
  <c r="Q85" i="9"/>
  <c r="O85" i="9"/>
  <c r="N85" i="9"/>
  <c r="K85" i="9"/>
  <c r="J85" i="9"/>
  <c r="AB84" i="9"/>
  <c r="Y84" i="9"/>
  <c r="AA84" i="9" s="1"/>
  <c r="W84" i="9"/>
  <c r="S84" i="9"/>
  <c r="P84" i="9" s="1"/>
  <c r="R84" i="9" s="1"/>
  <c r="Q84" i="9"/>
  <c r="O84" i="9"/>
  <c r="N84" i="9"/>
  <c r="K84" i="9"/>
  <c r="J84" i="9"/>
  <c r="AB83" i="9"/>
  <c r="Y83" i="9"/>
  <c r="AD83" i="9" s="1"/>
  <c r="W83" i="9"/>
  <c r="S83" i="9"/>
  <c r="P83" i="9" s="1"/>
  <c r="R83" i="9" s="1"/>
  <c r="Q83" i="9"/>
  <c r="O83" i="9"/>
  <c r="N83" i="9"/>
  <c r="K83" i="9"/>
  <c r="J83" i="9"/>
  <c r="AB82" i="9"/>
  <c r="Y82" i="9"/>
  <c r="W82" i="9"/>
  <c r="S82" i="9"/>
  <c r="AC82" i="9" s="1"/>
  <c r="AE82" i="9" s="1"/>
  <c r="Q82" i="9"/>
  <c r="O82" i="9"/>
  <c r="N82" i="9"/>
  <c r="K82" i="9"/>
  <c r="J82" i="9"/>
  <c r="AB81" i="9"/>
  <c r="Y81" i="9"/>
  <c r="AD81" i="9" s="1"/>
  <c r="W81" i="9"/>
  <c r="S81" i="9"/>
  <c r="AC81" i="9" s="1"/>
  <c r="AE81" i="9" s="1"/>
  <c r="Q81" i="9"/>
  <c r="O81" i="9"/>
  <c r="N81" i="9"/>
  <c r="K81" i="9"/>
  <c r="J81" i="9"/>
  <c r="AB80" i="9"/>
  <c r="Y80" i="9"/>
  <c r="AD80" i="9" s="1"/>
  <c r="W80" i="9"/>
  <c r="S80" i="9"/>
  <c r="AC80" i="9" s="1"/>
  <c r="AE80" i="9" s="1"/>
  <c r="Q80" i="9"/>
  <c r="O80" i="9"/>
  <c r="N80" i="9"/>
  <c r="K80" i="9"/>
  <c r="J80" i="9"/>
  <c r="AB79" i="9"/>
  <c r="Y79" i="9"/>
  <c r="AD79" i="9" s="1"/>
  <c r="W79" i="9"/>
  <c r="S79" i="9"/>
  <c r="AC79" i="9" s="1"/>
  <c r="AE79" i="9" s="1"/>
  <c r="Q79" i="9"/>
  <c r="O79" i="9"/>
  <c r="N79" i="9"/>
  <c r="K79" i="9"/>
  <c r="J79" i="9"/>
  <c r="AB78" i="9"/>
  <c r="Y78" i="9"/>
  <c r="AA78" i="9" s="1"/>
  <c r="W78" i="9"/>
  <c r="S78" i="9"/>
  <c r="AC78" i="9" s="1"/>
  <c r="AE78" i="9" s="1"/>
  <c r="Q78" i="9"/>
  <c r="O78" i="9"/>
  <c r="N78" i="9"/>
  <c r="K78" i="9"/>
  <c r="J78" i="9"/>
  <c r="AB77" i="9"/>
  <c r="Y77" i="9"/>
  <c r="AD77" i="9" s="1"/>
  <c r="W77" i="9"/>
  <c r="S77" i="9"/>
  <c r="AC77" i="9" s="1"/>
  <c r="AE77" i="9" s="1"/>
  <c r="Q77" i="9"/>
  <c r="O77" i="9"/>
  <c r="N77" i="9"/>
  <c r="K77" i="9"/>
  <c r="J77" i="9"/>
  <c r="AB76" i="9"/>
  <c r="Y76" i="9"/>
  <c r="AA76" i="9" s="1"/>
  <c r="W76" i="9"/>
  <c r="S76" i="9"/>
  <c r="AC76" i="9" s="1"/>
  <c r="M76" i="9"/>
  <c r="K76" i="9"/>
  <c r="J76" i="9"/>
  <c r="AB75" i="9"/>
  <c r="Y75" i="9"/>
  <c r="AA75" i="9" s="1"/>
  <c r="W75" i="9"/>
  <c r="S75" i="9"/>
  <c r="AC75" i="9" s="1"/>
  <c r="AE75" i="9" s="1"/>
  <c r="Q75" i="9"/>
  <c r="O75" i="9"/>
  <c r="N75" i="9"/>
  <c r="K75" i="9"/>
  <c r="J75" i="9"/>
  <c r="AB74" i="9"/>
  <c r="Y74" i="9"/>
  <c r="W74" i="9"/>
  <c r="S74" i="9"/>
  <c r="P74" i="9" s="1"/>
  <c r="R74" i="9" s="1"/>
  <c r="Q74" i="9"/>
  <c r="O74" i="9"/>
  <c r="N74" i="9"/>
  <c r="K74" i="9"/>
  <c r="J74" i="9"/>
  <c r="AB73" i="9"/>
  <c r="Y73" i="9"/>
  <c r="AD73" i="9" s="1"/>
  <c r="W73" i="9"/>
  <c r="S73" i="9"/>
  <c r="AC73" i="9" s="1"/>
  <c r="AE73" i="9" s="1"/>
  <c r="Q73" i="9"/>
  <c r="O73" i="9"/>
  <c r="N73" i="9"/>
  <c r="K73" i="9"/>
  <c r="J73" i="9"/>
  <c r="AB72" i="9"/>
  <c r="Y72" i="9"/>
  <c r="W72" i="9"/>
  <c r="S72" i="9"/>
  <c r="P72" i="9" s="1"/>
  <c r="R72" i="9" s="1"/>
  <c r="Q72" i="9"/>
  <c r="O72" i="9"/>
  <c r="N72" i="9"/>
  <c r="K72" i="9"/>
  <c r="J72" i="9"/>
  <c r="AB71" i="9"/>
  <c r="Y71" i="9"/>
  <c r="AD71" i="9" s="1"/>
  <c r="W71" i="9"/>
  <c r="S71" i="9"/>
  <c r="AC71" i="9" s="1"/>
  <c r="AE71" i="9" s="1"/>
  <c r="Q71" i="9"/>
  <c r="O71" i="9"/>
  <c r="N71" i="9"/>
  <c r="K71" i="9"/>
  <c r="J71" i="9"/>
  <c r="AB70" i="9"/>
  <c r="Y70" i="9"/>
  <c r="AD70" i="9" s="1"/>
  <c r="W70" i="9"/>
  <c r="S70" i="9"/>
  <c r="AC70" i="9" s="1"/>
  <c r="AE70" i="9" s="1"/>
  <c r="Q70" i="9"/>
  <c r="O70" i="9"/>
  <c r="N70" i="9"/>
  <c r="K70" i="9"/>
  <c r="J70" i="9"/>
  <c r="AB69" i="9"/>
  <c r="Y69" i="9"/>
  <c r="AD69" i="9" s="1"/>
  <c r="W69" i="9"/>
  <c r="S69" i="9"/>
  <c r="Q69" i="9"/>
  <c r="O69" i="9"/>
  <c r="N69" i="9"/>
  <c r="K69" i="9"/>
  <c r="J69" i="9"/>
  <c r="AB68" i="9"/>
  <c r="Y68" i="9"/>
  <c r="AA68" i="9" s="1"/>
  <c r="W68" i="9"/>
  <c r="S68" i="9"/>
  <c r="Q68" i="9"/>
  <c r="O68" i="9"/>
  <c r="N68" i="9"/>
  <c r="K68" i="9"/>
  <c r="J68" i="9"/>
  <c r="AB67" i="9"/>
  <c r="Y67" i="9"/>
  <c r="AA67" i="9" s="1"/>
  <c r="W67" i="9"/>
  <c r="S67" i="9"/>
  <c r="P67" i="9" s="1"/>
  <c r="R67" i="9" s="1"/>
  <c r="Q67" i="9"/>
  <c r="O67" i="9"/>
  <c r="N67" i="9"/>
  <c r="K67" i="9"/>
  <c r="J67" i="9"/>
  <c r="AB66" i="9"/>
  <c r="Y66" i="9"/>
  <c r="AD66" i="9" s="1"/>
  <c r="W66" i="9"/>
  <c r="S66" i="9"/>
  <c r="P66" i="9" s="1"/>
  <c r="R66" i="9" s="1"/>
  <c r="Q66" i="9"/>
  <c r="O66" i="9"/>
  <c r="N66" i="9"/>
  <c r="K66" i="9"/>
  <c r="J66" i="9"/>
  <c r="AB65" i="9"/>
  <c r="Y65" i="9"/>
  <c r="W65" i="9"/>
  <c r="S65" i="9"/>
  <c r="AC65" i="9" s="1"/>
  <c r="AE65" i="9" s="1"/>
  <c r="Q65" i="9"/>
  <c r="O65" i="9"/>
  <c r="N65" i="9"/>
  <c r="K65" i="9"/>
  <c r="J65" i="9"/>
  <c r="AB64" i="9"/>
  <c r="Y64" i="9"/>
  <c r="AA64" i="9" s="1"/>
  <c r="W64" i="9"/>
  <c r="S64" i="9"/>
  <c r="AC64" i="9" s="1"/>
  <c r="AE64" i="9" s="1"/>
  <c r="M64" i="9"/>
  <c r="O64" i="9" s="1"/>
  <c r="K64" i="9"/>
  <c r="J64" i="9"/>
  <c r="AB63" i="9"/>
  <c r="Y63" i="9"/>
  <c r="W63" i="9"/>
  <c r="S63" i="9"/>
  <c r="AC63" i="9" s="1"/>
  <c r="AE63" i="9" s="1"/>
  <c r="Q63" i="9"/>
  <c r="O63" i="9"/>
  <c r="N63" i="9"/>
  <c r="K63" i="9"/>
  <c r="J63" i="9"/>
  <c r="AB62" i="9"/>
  <c r="Y62" i="9"/>
  <c r="W62" i="9"/>
  <c r="S62" i="9"/>
  <c r="AC62" i="9" s="1"/>
  <c r="AE62" i="9" s="1"/>
  <c r="Q62" i="9"/>
  <c r="O62" i="9"/>
  <c r="N62" i="9"/>
  <c r="K62" i="9"/>
  <c r="J62" i="9"/>
  <c r="AB61" i="9"/>
  <c r="Y61" i="9"/>
  <c r="AD61" i="9" s="1"/>
  <c r="W61" i="9"/>
  <c r="S61" i="9"/>
  <c r="AC61" i="9" s="1"/>
  <c r="AE61" i="9" s="1"/>
  <c r="Q61" i="9"/>
  <c r="O61" i="9"/>
  <c r="N61" i="9"/>
  <c r="K61" i="9"/>
  <c r="J61" i="9"/>
  <c r="AB60" i="9"/>
  <c r="Y60" i="9"/>
  <c r="AA60" i="9" s="1"/>
  <c r="W60" i="9"/>
  <c r="S60" i="9"/>
  <c r="P60" i="9" s="1"/>
  <c r="R60" i="9" s="1"/>
  <c r="Q60" i="9"/>
  <c r="O60" i="9"/>
  <c r="N60" i="9"/>
  <c r="K60" i="9"/>
  <c r="J60" i="9"/>
  <c r="AB59" i="9"/>
  <c r="Y59" i="9"/>
  <c r="AA59" i="9" s="1"/>
  <c r="W59" i="9"/>
  <c r="S59" i="9"/>
  <c r="P59" i="9" s="1"/>
  <c r="R59" i="9" s="1"/>
  <c r="Q59" i="9"/>
  <c r="O59" i="9"/>
  <c r="N59" i="9"/>
  <c r="K59" i="9"/>
  <c r="J59" i="9"/>
  <c r="AB58" i="9"/>
  <c r="Y58" i="9"/>
  <c r="W58" i="9"/>
  <c r="S58" i="9"/>
  <c r="AC58" i="9" s="1"/>
  <c r="AE58" i="9" s="1"/>
  <c r="Q58" i="9"/>
  <c r="O58" i="9"/>
  <c r="N58" i="9"/>
  <c r="K58" i="9"/>
  <c r="J58" i="9"/>
  <c r="AB57" i="9"/>
  <c r="Y57" i="9"/>
  <c r="AD57" i="9" s="1"/>
  <c r="W57" i="9"/>
  <c r="S57" i="9"/>
  <c r="AC57" i="9" s="1"/>
  <c r="AE57" i="9" s="1"/>
  <c r="Q57" i="9"/>
  <c r="O57" i="9"/>
  <c r="N57" i="9"/>
  <c r="K57" i="9"/>
  <c r="J57" i="9"/>
  <c r="AB56" i="9"/>
  <c r="Y56" i="9"/>
  <c r="AA56" i="9" s="1"/>
  <c r="W56" i="9"/>
  <c r="S56" i="9"/>
  <c r="P56" i="9" s="1"/>
  <c r="R56" i="9" s="1"/>
  <c r="Q56" i="9"/>
  <c r="O56" i="9"/>
  <c r="N56" i="9"/>
  <c r="K56" i="9"/>
  <c r="J56" i="9"/>
  <c r="AB55" i="9"/>
  <c r="Y55" i="9"/>
  <c r="AA55" i="9" s="1"/>
  <c r="W55" i="9"/>
  <c r="S55" i="9"/>
  <c r="AC55" i="9" s="1"/>
  <c r="AE55" i="9" s="1"/>
  <c r="Q55" i="9"/>
  <c r="O55" i="9"/>
  <c r="N55" i="9"/>
  <c r="K55" i="9"/>
  <c r="J55" i="9"/>
  <c r="AB54" i="9"/>
  <c r="Y54" i="9"/>
  <c r="AD54" i="9" s="1"/>
  <c r="W54" i="9"/>
  <c r="S54" i="9"/>
  <c r="P54" i="9" s="1"/>
  <c r="R54" i="9" s="1"/>
  <c r="Q54" i="9"/>
  <c r="O54" i="9"/>
  <c r="N54" i="9"/>
  <c r="K54" i="9"/>
  <c r="J54" i="9"/>
  <c r="AB53" i="9"/>
  <c r="Y53" i="9"/>
  <c r="AA53" i="9" s="1"/>
  <c r="W53" i="9"/>
  <c r="S53" i="9"/>
  <c r="AC53" i="9" s="1"/>
  <c r="AE53" i="9" s="1"/>
  <c r="Q53" i="9"/>
  <c r="O53" i="9"/>
  <c r="N53" i="9"/>
  <c r="K53" i="9"/>
  <c r="J53" i="9"/>
  <c r="AB52" i="9"/>
  <c r="Y52" i="9"/>
  <c r="AA52" i="9" s="1"/>
  <c r="W52" i="9"/>
  <c r="S52" i="9"/>
  <c r="AC52" i="9" s="1"/>
  <c r="AE52" i="9" s="1"/>
  <c r="M52" i="9"/>
  <c r="N52" i="9" s="1"/>
  <c r="K52" i="9"/>
  <c r="J52" i="9"/>
  <c r="AB51" i="9"/>
  <c r="Y51" i="9"/>
  <c r="AD51" i="9" s="1"/>
  <c r="W51" i="9"/>
  <c r="S51" i="9"/>
  <c r="AC51" i="9" s="1"/>
  <c r="AE51" i="9" s="1"/>
  <c r="Q51" i="9"/>
  <c r="O51" i="9"/>
  <c r="N51" i="9"/>
  <c r="K51" i="9"/>
  <c r="J51" i="9"/>
  <c r="AB50" i="9"/>
  <c r="Y50" i="9"/>
  <c r="AD50" i="9" s="1"/>
  <c r="W50" i="9"/>
  <c r="S50" i="9"/>
  <c r="Q50" i="9"/>
  <c r="O50" i="9"/>
  <c r="N50" i="9"/>
  <c r="K50" i="9"/>
  <c r="J50" i="9"/>
  <c r="AB49" i="9"/>
  <c r="Y49" i="9"/>
  <c r="AA49" i="9" s="1"/>
  <c r="W49" i="9"/>
  <c r="S49" i="9"/>
  <c r="AC49" i="9" s="1"/>
  <c r="AE49" i="9" s="1"/>
  <c r="Q49" i="9"/>
  <c r="O49" i="9"/>
  <c r="N49" i="9"/>
  <c r="K49" i="9"/>
  <c r="J49" i="9"/>
  <c r="AB48" i="9"/>
  <c r="Y48" i="9"/>
  <c r="W48" i="9"/>
  <c r="S48" i="9"/>
  <c r="AC48" i="9" s="1"/>
  <c r="AE48" i="9" s="1"/>
  <c r="Q48" i="9"/>
  <c r="O48" i="9"/>
  <c r="N48" i="9"/>
  <c r="K48" i="9"/>
  <c r="J48" i="9"/>
  <c r="AB47" i="9"/>
  <c r="Y47" i="9"/>
  <c r="AA47" i="9" s="1"/>
  <c r="W47" i="9"/>
  <c r="S47" i="9"/>
  <c r="P47" i="9" s="1"/>
  <c r="R47" i="9" s="1"/>
  <c r="Q47" i="9"/>
  <c r="O47" i="9"/>
  <c r="N47" i="9"/>
  <c r="K47" i="9"/>
  <c r="J47" i="9"/>
  <c r="AB46" i="9"/>
  <c r="Y46" i="9"/>
  <c r="W46" i="9"/>
  <c r="S46" i="9"/>
  <c r="P46" i="9" s="1"/>
  <c r="R46" i="9" s="1"/>
  <c r="Q46" i="9"/>
  <c r="O46" i="9"/>
  <c r="N46" i="9"/>
  <c r="K46" i="9"/>
  <c r="J46" i="9"/>
  <c r="AB45" i="9"/>
  <c r="Y45" i="9"/>
  <c r="AD45" i="9" s="1"/>
  <c r="W45" i="9"/>
  <c r="S45" i="9"/>
  <c r="P45" i="9" s="1"/>
  <c r="R45" i="9" s="1"/>
  <c r="Q45" i="9"/>
  <c r="O45" i="9"/>
  <c r="N45" i="9"/>
  <c r="K45" i="9"/>
  <c r="J45" i="9"/>
  <c r="AB44" i="9"/>
  <c r="Y44" i="9"/>
  <c r="AD44" i="9" s="1"/>
  <c r="W44" i="9"/>
  <c r="S44" i="9"/>
  <c r="P44" i="9" s="1"/>
  <c r="R44" i="9" s="1"/>
  <c r="Q44" i="9"/>
  <c r="O44" i="9"/>
  <c r="N44" i="9"/>
  <c r="K44" i="9"/>
  <c r="J44" i="9"/>
  <c r="AB43" i="9"/>
  <c r="Y43" i="9"/>
  <c r="AD43" i="9" s="1"/>
  <c r="W43" i="9"/>
  <c r="S43" i="9"/>
  <c r="AC43" i="9" s="1"/>
  <c r="AE43" i="9" s="1"/>
  <c r="Q43" i="9"/>
  <c r="O43" i="9"/>
  <c r="N43" i="9"/>
  <c r="K43" i="9"/>
  <c r="J43" i="9"/>
  <c r="AB42" i="9"/>
  <c r="Y42" i="9"/>
  <c r="W42" i="9"/>
  <c r="S42" i="9"/>
  <c r="AC42" i="9" s="1"/>
  <c r="AE42" i="9" s="1"/>
  <c r="Q42" i="9"/>
  <c r="O42" i="9"/>
  <c r="N42" i="9"/>
  <c r="K42" i="9"/>
  <c r="J42" i="9"/>
  <c r="AB41" i="9"/>
  <c r="Y41" i="9"/>
  <c r="W41" i="9"/>
  <c r="S41" i="9"/>
  <c r="AC41" i="9" s="1"/>
  <c r="AE41" i="9" s="1"/>
  <c r="Q41" i="9"/>
  <c r="O41" i="9"/>
  <c r="N41" i="9"/>
  <c r="K41" i="9"/>
  <c r="J41" i="9"/>
  <c r="AB40" i="9"/>
  <c r="Y40" i="9"/>
  <c r="AA40" i="9" s="1"/>
  <c r="W40" i="9"/>
  <c r="S40" i="9"/>
  <c r="AC40" i="9" s="1"/>
  <c r="AE40" i="9" s="1"/>
  <c r="M40" i="9"/>
  <c r="O40" i="9" s="1"/>
  <c r="K40" i="9"/>
  <c r="J40" i="9"/>
  <c r="AB39" i="9"/>
  <c r="Y39" i="9"/>
  <c r="W39" i="9"/>
  <c r="S39" i="9"/>
  <c r="P39" i="9" s="1"/>
  <c r="R39" i="9" s="1"/>
  <c r="Q39" i="9"/>
  <c r="O39" i="9"/>
  <c r="N39" i="9"/>
  <c r="K39" i="9"/>
  <c r="J39" i="9"/>
  <c r="AB38" i="9"/>
  <c r="Y38" i="9"/>
  <c r="AD38" i="9" s="1"/>
  <c r="W38" i="9"/>
  <c r="S38" i="9"/>
  <c r="AC38" i="9" s="1"/>
  <c r="AE38" i="9" s="1"/>
  <c r="Q38" i="9"/>
  <c r="O38" i="9"/>
  <c r="N38" i="9"/>
  <c r="K38" i="9"/>
  <c r="J38" i="9"/>
  <c r="AB37" i="9"/>
  <c r="Y37" i="9"/>
  <c r="AA37" i="9" s="1"/>
  <c r="W37" i="9"/>
  <c r="S37" i="9"/>
  <c r="P37" i="9" s="1"/>
  <c r="R37" i="9" s="1"/>
  <c r="Q37" i="9"/>
  <c r="O37" i="9"/>
  <c r="N37" i="9"/>
  <c r="K37" i="9"/>
  <c r="J37" i="9"/>
  <c r="AB36" i="9"/>
  <c r="Y36" i="9"/>
  <c r="AD36" i="9" s="1"/>
  <c r="W36" i="9"/>
  <c r="S36" i="9"/>
  <c r="Q36" i="9"/>
  <c r="O36" i="9"/>
  <c r="N36" i="9"/>
  <c r="K36" i="9"/>
  <c r="J36" i="9"/>
  <c r="AB35" i="9"/>
  <c r="Y35" i="9"/>
  <c r="AD35" i="9" s="1"/>
  <c r="W35" i="9"/>
  <c r="S35" i="9"/>
  <c r="Q35" i="9"/>
  <c r="O35" i="9"/>
  <c r="N35" i="9"/>
  <c r="K35" i="9"/>
  <c r="J35" i="9"/>
  <c r="AB34" i="9"/>
  <c r="Y34" i="9"/>
  <c r="AD34" i="9" s="1"/>
  <c r="W34" i="9"/>
  <c r="S34" i="9"/>
  <c r="AC34" i="9" s="1"/>
  <c r="AE34" i="9" s="1"/>
  <c r="Q34" i="9"/>
  <c r="O34" i="9"/>
  <c r="N34" i="9"/>
  <c r="K34" i="9"/>
  <c r="J34" i="9"/>
  <c r="AB33" i="9"/>
  <c r="Y33" i="9"/>
  <c r="AD33" i="9" s="1"/>
  <c r="W33" i="9"/>
  <c r="S33" i="9"/>
  <c r="AC33" i="9" s="1"/>
  <c r="AE33" i="9" s="1"/>
  <c r="Q33" i="9"/>
  <c r="O33" i="9"/>
  <c r="N33" i="9"/>
  <c r="K33" i="9"/>
  <c r="J33" i="9"/>
  <c r="AB32" i="9"/>
  <c r="Y32" i="9"/>
  <c r="AD32" i="9" s="1"/>
  <c r="W32" i="9"/>
  <c r="S32" i="9"/>
  <c r="AC32" i="9" s="1"/>
  <c r="AE32" i="9" s="1"/>
  <c r="Q32" i="9"/>
  <c r="O32" i="9"/>
  <c r="N32" i="9"/>
  <c r="K32" i="9"/>
  <c r="J32" i="9"/>
  <c r="AB31" i="9"/>
  <c r="Y31" i="9"/>
  <c r="AA31" i="9" s="1"/>
  <c r="W31" i="9"/>
  <c r="S31" i="9"/>
  <c r="P31" i="9" s="1"/>
  <c r="R31" i="9" s="1"/>
  <c r="Q31" i="9"/>
  <c r="O31" i="9"/>
  <c r="N31" i="9"/>
  <c r="K31" i="9"/>
  <c r="J31" i="9"/>
  <c r="AB30" i="9"/>
  <c r="Y30" i="9"/>
  <c r="AD30" i="9" s="1"/>
  <c r="W30" i="9"/>
  <c r="S30" i="9"/>
  <c r="Q30" i="9"/>
  <c r="O30" i="9"/>
  <c r="N30" i="9"/>
  <c r="K30" i="9"/>
  <c r="J30" i="9"/>
  <c r="AB29" i="9"/>
  <c r="Y29" i="9"/>
  <c r="W29" i="9"/>
  <c r="S29" i="9"/>
  <c r="P29" i="9" s="1"/>
  <c r="R29" i="9" s="1"/>
  <c r="Q29" i="9"/>
  <c r="O29" i="9"/>
  <c r="N29" i="9"/>
  <c r="K29" i="9"/>
  <c r="J29" i="9"/>
  <c r="Z28" i="9"/>
  <c r="AB28" i="9" s="1"/>
  <c r="Y28" i="9"/>
  <c r="W28" i="9"/>
  <c r="S28" i="9"/>
  <c r="M28" i="9"/>
  <c r="N28" i="9" s="1"/>
  <c r="K28" i="9"/>
  <c r="J28" i="9"/>
  <c r="AB27" i="9"/>
  <c r="Y27" i="9"/>
  <c r="AA27" i="9" s="1"/>
  <c r="W27" i="9"/>
  <c r="S27" i="9"/>
  <c r="Q27" i="9"/>
  <c r="O27" i="9"/>
  <c r="N27" i="9"/>
  <c r="K27" i="9"/>
  <c r="J27" i="9"/>
  <c r="AB26" i="9"/>
  <c r="Y26" i="9"/>
  <c r="AD26" i="9" s="1"/>
  <c r="W26" i="9"/>
  <c r="S26" i="9"/>
  <c r="Q26" i="9"/>
  <c r="O26" i="9"/>
  <c r="N26" i="9"/>
  <c r="K26" i="9"/>
  <c r="J26" i="9"/>
  <c r="AB25" i="9"/>
  <c r="Y25" i="9"/>
  <c r="W25" i="9"/>
  <c r="S25" i="9"/>
  <c r="AC25" i="9" s="1"/>
  <c r="AE25" i="9" s="1"/>
  <c r="Q25" i="9"/>
  <c r="O25" i="9"/>
  <c r="N25" i="9"/>
  <c r="K25" i="9"/>
  <c r="J25" i="9"/>
  <c r="AB24" i="9"/>
  <c r="Y24" i="9"/>
  <c r="AD24" i="9" s="1"/>
  <c r="W24" i="9"/>
  <c r="S24" i="9"/>
  <c r="P24" i="9" s="1"/>
  <c r="R24" i="9" s="1"/>
  <c r="Q24" i="9"/>
  <c r="O24" i="9"/>
  <c r="N24" i="9"/>
  <c r="K24" i="9"/>
  <c r="J24" i="9"/>
  <c r="AB23" i="9"/>
  <c r="Y23" i="9"/>
  <c r="AD23" i="9" s="1"/>
  <c r="W23" i="9"/>
  <c r="S23" i="9"/>
  <c r="AC23" i="9" s="1"/>
  <c r="AE23" i="9" s="1"/>
  <c r="Q23" i="9"/>
  <c r="O23" i="9"/>
  <c r="N23" i="9"/>
  <c r="K23" i="9"/>
  <c r="J23" i="9"/>
  <c r="AB22" i="9"/>
  <c r="Y22" i="9"/>
  <c r="AD22" i="9" s="1"/>
  <c r="W22" i="9"/>
  <c r="S22" i="9"/>
  <c r="AC22" i="9" s="1"/>
  <c r="AE22" i="9" s="1"/>
  <c r="Q22" i="9"/>
  <c r="O22" i="9"/>
  <c r="N22" i="9"/>
  <c r="K22" i="9"/>
  <c r="J22" i="9"/>
  <c r="AB21" i="9"/>
  <c r="Y21" i="9"/>
  <c r="AA21" i="9" s="1"/>
  <c r="W21" i="9"/>
  <c r="S21" i="9"/>
  <c r="AC21" i="9" s="1"/>
  <c r="AE21" i="9" s="1"/>
  <c r="Q21" i="9"/>
  <c r="O21" i="9"/>
  <c r="N21" i="9"/>
  <c r="K21" i="9"/>
  <c r="J21" i="9"/>
  <c r="AB20" i="9"/>
  <c r="Y20" i="9"/>
  <c r="AA20" i="9" s="1"/>
  <c r="W20" i="9"/>
  <c r="S20" i="9"/>
  <c r="P20" i="9" s="1"/>
  <c r="R20" i="9" s="1"/>
  <c r="Q20" i="9"/>
  <c r="O20" i="9"/>
  <c r="N20" i="9"/>
  <c r="K20" i="9"/>
  <c r="J20" i="9"/>
  <c r="AB19" i="9"/>
  <c r="Y19" i="9"/>
  <c r="W19" i="9"/>
  <c r="S19" i="9"/>
  <c r="AC19" i="9" s="1"/>
  <c r="AE19" i="9" s="1"/>
  <c r="Q19" i="9"/>
  <c r="O19" i="9"/>
  <c r="N19" i="9"/>
  <c r="K19" i="9"/>
  <c r="J19" i="9"/>
  <c r="AB18" i="9"/>
  <c r="Y18" i="9"/>
  <c r="W18" i="9"/>
  <c r="S18" i="9"/>
  <c r="AC18" i="9" s="1"/>
  <c r="AE18" i="9" s="1"/>
  <c r="Q18" i="9"/>
  <c r="O18" i="9"/>
  <c r="N18" i="9"/>
  <c r="K18" i="9"/>
  <c r="J18" i="9"/>
  <c r="AB17" i="9"/>
  <c r="Y17" i="9"/>
  <c r="AD17" i="9" s="1"/>
  <c r="W17" i="9"/>
  <c r="S17" i="9"/>
  <c r="P17" i="9" s="1"/>
  <c r="R17" i="9" s="1"/>
  <c r="Q17" i="9"/>
  <c r="O17" i="9"/>
  <c r="N17" i="9"/>
  <c r="K17" i="9"/>
  <c r="J17" i="9"/>
  <c r="Z16" i="9"/>
  <c r="AB16" i="9" s="1"/>
  <c r="Y16" i="9"/>
  <c r="W16" i="9"/>
  <c r="S16" i="9"/>
  <c r="M16" i="9"/>
  <c r="O16" i="9" s="1"/>
  <c r="K16" i="9"/>
  <c r="J16" i="9"/>
  <c r="AB15" i="9"/>
  <c r="Y15" i="9"/>
  <c r="AD15" i="9" s="1"/>
  <c r="W15" i="9"/>
  <c r="S15" i="9"/>
  <c r="AC15" i="9" s="1"/>
  <c r="AE15" i="9" s="1"/>
  <c r="R15" i="9"/>
  <c r="Q15" i="9"/>
  <c r="O15" i="9"/>
  <c r="N15" i="9"/>
  <c r="K15" i="9"/>
  <c r="J15" i="9"/>
  <c r="AB14" i="9"/>
  <c r="Y14" i="9"/>
  <c r="AA14" i="9" s="1"/>
  <c r="W14" i="9"/>
  <c r="S14" i="9"/>
  <c r="AC14" i="9" s="1"/>
  <c r="AE14" i="9" s="1"/>
  <c r="Q14" i="9"/>
  <c r="O14" i="9"/>
  <c r="N14" i="9"/>
  <c r="K14" i="9"/>
  <c r="J14" i="9"/>
  <c r="AB13" i="9"/>
  <c r="Y13" i="9"/>
  <c r="AD13" i="9" s="1"/>
  <c r="W13" i="9"/>
  <c r="S13" i="9"/>
  <c r="AC13" i="9" s="1"/>
  <c r="AE13" i="9" s="1"/>
  <c r="Q13" i="9"/>
  <c r="O13" i="9"/>
  <c r="N13" i="9"/>
  <c r="K13" i="9"/>
  <c r="J13" i="9"/>
  <c r="AB12" i="9"/>
  <c r="Y12" i="9"/>
  <c r="AA12" i="9" s="1"/>
  <c r="W12" i="9"/>
  <c r="S12" i="9"/>
  <c r="AC12" i="9" s="1"/>
  <c r="AE12" i="9" s="1"/>
  <c r="Q12" i="9"/>
  <c r="O12" i="9"/>
  <c r="N12" i="9"/>
  <c r="K12" i="9"/>
  <c r="J12" i="9"/>
  <c r="AB11" i="9"/>
  <c r="Y11" i="9"/>
  <c r="W11" i="9"/>
  <c r="S11" i="9"/>
  <c r="AC11" i="9" s="1"/>
  <c r="AE11" i="9" s="1"/>
  <c r="Q11" i="9"/>
  <c r="O11" i="9"/>
  <c r="N11" i="9"/>
  <c r="K11" i="9"/>
  <c r="J11" i="9"/>
  <c r="AB10" i="9"/>
  <c r="Y10" i="9"/>
  <c r="AA10" i="9" s="1"/>
  <c r="W10" i="9"/>
  <c r="S10" i="9"/>
  <c r="AC10" i="9" s="1"/>
  <c r="AE10" i="9" s="1"/>
  <c r="Q10" i="9"/>
  <c r="O10" i="9"/>
  <c r="N10" i="9"/>
  <c r="K10" i="9"/>
  <c r="J10" i="9"/>
  <c r="AB9" i="9"/>
  <c r="Y9" i="9"/>
  <c r="AD9" i="9" s="1"/>
  <c r="W9" i="9"/>
  <c r="S9" i="9"/>
  <c r="AC9" i="9" s="1"/>
  <c r="AE9" i="9" s="1"/>
  <c r="Q9" i="9"/>
  <c r="O9" i="9"/>
  <c r="N9" i="9"/>
  <c r="K9" i="9"/>
  <c r="J9" i="9"/>
  <c r="AB8" i="9"/>
  <c r="Y8" i="9"/>
  <c r="AD8" i="9" s="1"/>
  <c r="W8" i="9"/>
  <c r="S8" i="9"/>
  <c r="AC8" i="9" s="1"/>
  <c r="AE8" i="9" s="1"/>
  <c r="Q8" i="9"/>
  <c r="O8" i="9"/>
  <c r="N8" i="9"/>
  <c r="K8" i="9"/>
  <c r="J8" i="9"/>
  <c r="AB7" i="9"/>
  <c r="Y7" i="9"/>
  <c r="AD7" i="9" s="1"/>
  <c r="W7" i="9"/>
  <c r="S7" i="9"/>
  <c r="Q7" i="9"/>
  <c r="O7" i="9"/>
  <c r="N7" i="9"/>
  <c r="K7" i="9"/>
  <c r="J7" i="9"/>
  <c r="AB6" i="9"/>
  <c r="Y6" i="9"/>
  <c r="AD6" i="9" s="1"/>
  <c r="W6" i="9"/>
  <c r="S6" i="9"/>
  <c r="AC6" i="9" s="1"/>
  <c r="AE6" i="9" s="1"/>
  <c r="Q6" i="9"/>
  <c r="O6" i="9"/>
  <c r="N6" i="9"/>
  <c r="K6" i="9"/>
  <c r="J6" i="9"/>
  <c r="AB5" i="9"/>
  <c r="Y5" i="9"/>
  <c r="AD5" i="9" s="1"/>
  <c r="W5" i="9"/>
  <c r="S5" i="9"/>
  <c r="AC5" i="9" s="1"/>
  <c r="AE5" i="9" s="1"/>
  <c r="Q5" i="9"/>
  <c r="O5" i="9"/>
  <c r="N5" i="9"/>
  <c r="K5" i="9"/>
  <c r="J5" i="9"/>
  <c r="AB388" i="4"/>
  <c r="Y388" i="4"/>
  <c r="W388" i="4"/>
  <c r="S388" i="4"/>
  <c r="AC388" i="4"/>
  <c r="AE388" i="4"/>
  <c r="M388" i="4"/>
  <c r="K388" i="4"/>
  <c r="J388" i="4"/>
  <c r="AB387" i="4"/>
  <c r="Y387" i="4"/>
  <c r="AD387" i="4"/>
  <c r="W387" i="4"/>
  <c r="S387" i="4"/>
  <c r="AC387" i="4"/>
  <c r="AE387" i="4"/>
  <c r="Q387" i="4"/>
  <c r="O387" i="4"/>
  <c r="N387" i="4"/>
  <c r="K387" i="4"/>
  <c r="J387" i="4"/>
  <c r="AB386" i="4"/>
  <c r="Y386" i="4"/>
  <c r="AD386" i="4"/>
  <c r="W386" i="4"/>
  <c r="S386" i="4"/>
  <c r="AC386" i="4"/>
  <c r="AE386" i="4"/>
  <c r="Q386" i="4"/>
  <c r="O386" i="4"/>
  <c r="N386" i="4"/>
  <c r="K386" i="4"/>
  <c r="J386" i="4"/>
  <c r="AB385" i="4"/>
  <c r="Y385" i="4"/>
  <c r="AA385" i="4"/>
  <c r="W385" i="4"/>
  <c r="S385" i="4"/>
  <c r="AC385" i="4"/>
  <c r="AE385" i="4"/>
  <c r="Q385" i="4"/>
  <c r="O385" i="4"/>
  <c r="N385" i="4"/>
  <c r="K385" i="4"/>
  <c r="J385" i="4"/>
  <c r="AB384" i="4"/>
  <c r="Y384" i="4"/>
  <c r="AA384" i="4"/>
  <c r="W384" i="4"/>
  <c r="S384" i="4"/>
  <c r="P384" i="4"/>
  <c r="R384" i="4"/>
  <c r="Q384" i="4"/>
  <c r="O384" i="4"/>
  <c r="N384" i="4"/>
  <c r="K384" i="4"/>
  <c r="J384" i="4"/>
  <c r="AB383" i="4"/>
  <c r="Y383" i="4"/>
  <c r="AA383" i="4"/>
  <c r="W383" i="4"/>
  <c r="S383" i="4"/>
  <c r="AC383" i="4"/>
  <c r="AE383" i="4"/>
  <c r="Q383" i="4"/>
  <c r="O383" i="4"/>
  <c r="N383" i="4"/>
  <c r="K383" i="4"/>
  <c r="J383" i="4"/>
  <c r="AB382" i="4"/>
  <c r="Y382" i="4"/>
  <c r="AD382" i="4"/>
  <c r="W382" i="4"/>
  <c r="S382" i="4"/>
  <c r="AC382" i="4"/>
  <c r="AE382" i="4"/>
  <c r="Q382" i="4"/>
  <c r="O382" i="4"/>
  <c r="N382" i="4"/>
  <c r="K382" i="4"/>
  <c r="J382" i="4"/>
  <c r="AB381" i="4"/>
  <c r="Y381" i="4"/>
  <c r="AA381" i="4"/>
  <c r="W381" i="4"/>
  <c r="S381" i="4"/>
  <c r="P381" i="4"/>
  <c r="R381" i="4"/>
  <c r="Q381" i="4"/>
  <c r="O381" i="4"/>
  <c r="N381" i="4"/>
  <c r="K381" i="4"/>
  <c r="J381" i="4"/>
  <c r="AB380" i="4"/>
  <c r="Y380" i="4"/>
  <c r="AD380" i="4"/>
  <c r="W380" i="4"/>
  <c r="S380" i="4"/>
  <c r="P380" i="4"/>
  <c r="R380" i="4"/>
  <c r="Q380" i="4"/>
  <c r="O380" i="4"/>
  <c r="N380" i="4"/>
  <c r="K380" i="4"/>
  <c r="J380" i="4"/>
  <c r="AB379" i="4"/>
  <c r="Y379" i="4"/>
  <c r="AD379" i="4"/>
  <c r="W379" i="4"/>
  <c r="S379" i="4"/>
  <c r="AC379" i="4"/>
  <c r="AE379" i="4"/>
  <c r="Q379" i="4"/>
  <c r="O379" i="4"/>
  <c r="N379" i="4"/>
  <c r="K379" i="4"/>
  <c r="J379" i="4"/>
  <c r="AB378" i="4"/>
  <c r="Y378" i="4"/>
  <c r="AD378" i="4"/>
  <c r="W378" i="4"/>
  <c r="S378" i="4"/>
  <c r="AC378" i="4"/>
  <c r="AE378" i="4"/>
  <c r="Q378" i="4"/>
  <c r="O378" i="4"/>
  <c r="N378" i="4"/>
  <c r="K378" i="4"/>
  <c r="J378" i="4"/>
  <c r="AB377" i="4"/>
  <c r="Y377" i="4"/>
  <c r="AA377" i="4"/>
  <c r="W377" i="4"/>
  <c r="S377" i="4"/>
  <c r="AC377" i="4"/>
  <c r="AE377" i="4"/>
  <c r="Q377" i="4"/>
  <c r="O377" i="4"/>
  <c r="N377" i="4"/>
  <c r="K377" i="4"/>
  <c r="J377" i="4"/>
  <c r="AB376" i="4"/>
  <c r="Y376" i="4"/>
  <c r="W376" i="4"/>
  <c r="S376" i="4"/>
  <c r="AC376" i="4"/>
  <c r="AE376" i="4"/>
  <c r="M376" i="4"/>
  <c r="K376" i="4"/>
  <c r="J376" i="4"/>
  <c r="AB375" i="4"/>
  <c r="Y375" i="4"/>
  <c r="AD375" i="4"/>
  <c r="W375" i="4"/>
  <c r="S375" i="4"/>
  <c r="AC375" i="4"/>
  <c r="AE375" i="4"/>
  <c r="Q375" i="4"/>
  <c r="O375" i="4"/>
  <c r="N375" i="4"/>
  <c r="K375" i="4"/>
  <c r="J375" i="4"/>
  <c r="AB374" i="4"/>
  <c r="Y374" i="4"/>
  <c r="AD374" i="4"/>
  <c r="W374" i="4"/>
  <c r="S374" i="4"/>
  <c r="AC374" i="4"/>
  <c r="AE374" i="4"/>
  <c r="Q374" i="4"/>
  <c r="O374" i="4"/>
  <c r="N374" i="4"/>
  <c r="K374" i="4"/>
  <c r="J374" i="4"/>
  <c r="AB373" i="4"/>
  <c r="Y373" i="4"/>
  <c r="AA373" i="4"/>
  <c r="W373" i="4"/>
  <c r="S373" i="4"/>
  <c r="AC373" i="4"/>
  <c r="AE373" i="4"/>
  <c r="Q373" i="4"/>
  <c r="O373" i="4"/>
  <c r="N373" i="4"/>
  <c r="K373" i="4"/>
  <c r="J373" i="4"/>
  <c r="AB372" i="4"/>
  <c r="Y372" i="4"/>
  <c r="AA372" i="4"/>
  <c r="W372" i="4"/>
  <c r="S372" i="4"/>
  <c r="AC372" i="4"/>
  <c r="AE372" i="4"/>
  <c r="Q372" i="4"/>
  <c r="O372" i="4"/>
  <c r="N372" i="4"/>
  <c r="K372" i="4"/>
  <c r="J372" i="4"/>
  <c r="AB371" i="4"/>
  <c r="Y371" i="4"/>
  <c r="AA371" i="4"/>
  <c r="W371" i="4"/>
  <c r="S371" i="4"/>
  <c r="P371" i="4"/>
  <c r="R371" i="4"/>
  <c r="Q371" i="4"/>
  <c r="O371" i="4"/>
  <c r="N371" i="4"/>
  <c r="K371" i="4"/>
  <c r="J371" i="4"/>
  <c r="AB370" i="4"/>
  <c r="Y370" i="4"/>
  <c r="AD370" i="4"/>
  <c r="W370" i="4"/>
  <c r="S370" i="4"/>
  <c r="P370" i="4"/>
  <c r="R370" i="4"/>
  <c r="Q370" i="4"/>
  <c r="O370" i="4"/>
  <c r="N370" i="4"/>
  <c r="K370" i="4"/>
  <c r="J370" i="4"/>
  <c r="AB369" i="4"/>
  <c r="Y369" i="4"/>
  <c r="AD369" i="4"/>
  <c r="W369" i="4"/>
  <c r="S369" i="4"/>
  <c r="AC369" i="4"/>
  <c r="AE369" i="4"/>
  <c r="Q369" i="4"/>
  <c r="O369" i="4"/>
  <c r="N369" i="4"/>
  <c r="K369" i="4"/>
  <c r="J369" i="4"/>
  <c r="AB368" i="4"/>
  <c r="Y368" i="4"/>
  <c r="AD368" i="4"/>
  <c r="W368" i="4"/>
  <c r="S368" i="4"/>
  <c r="AC368" i="4"/>
  <c r="AE368" i="4"/>
  <c r="Q368" i="4"/>
  <c r="O368" i="4"/>
  <c r="N368" i="4"/>
  <c r="K368" i="4"/>
  <c r="J368" i="4"/>
  <c r="AB367" i="4"/>
  <c r="Y367" i="4"/>
  <c r="AD367" i="4"/>
  <c r="W367" i="4"/>
  <c r="S367" i="4"/>
  <c r="AC367" i="4"/>
  <c r="AE367" i="4"/>
  <c r="Q367" i="4"/>
  <c r="O367" i="4"/>
  <c r="N367" i="4"/>
  <c r="K367" i="4"/>
  <c r="J367" i="4"/>
  <c r="AB366" i="4"/>
  <c r="Y366" i="4"/>
  <c r="AD366" i="4"/>
  <c r="W366" i="4"/>
  <c r="S366" i="4"/>
  <c r="AC366" i="4"/>
  <c r="AE366" i="4"/>
  <c r="Q366" i="4"/>
  <c r="O366" i="4"/>
  <c r="N366" i="4"/>
  <c r="K366" i="4"/>
  <c r="J366" i="4"/>
  <c r="AB365" i="4"/>
  <c r="Y365" i="4"/>
  <c r="AD365" i="4"/>
  <c r="W365" i="4"/>
  <c r="S365" i="4"/>
  <c r="AC365" i="4"/>
  <c r="AE365" i="4"/>
  <c r="Q365" i="4"/>
  <c r="O365" i="4"/>
  <c r="N365" i="4"/>
  <c r="K365" i="4"/>
  <c r="J365" i="4"/>
  <c r="AB364" i="4"/>
  <c r="Y364" i="4"/>
  <c r="W364" i="4"/>
  <c r="S364" i="4"/>
  <c r="AC364" i="4"/>
  <c r="AE364" i="4"/>
  <c r="M364" i="4"/>
  <c r="K364" i="4"/>
  <c r="J364" i="4"/>
  <c r="AB363" i="4"/>
  <c r="Y363" i="4"/>
  <c r="AD363" i="4"/>
  <c r="W363" i="4"/>
  <c r="S363" i="4"/>
  <c r="AC363" i="4"/>
  <c r="AE363" i="4"/>
  <c r="Q363" i="4"/>
  <c r="O363" i="4"/>
  <c r="N363" i="4"/>
  <c r="K363" i="4"/>
  <c r="J363" i="4"/>
  <c r="AB362" i="4"/>
  <c r="Y362" i="4"/>
  <c r="AD362" i="4"/>
  <c r="W362" i="4"/>
  <c r="S362" i="4"/>
  <c r="P362" i="4"/>
  <c r="R362" i="4"/>
  <c r="Q362" i="4"/>
  <c r="O362" i="4"/>
  <c r="N362" i="4"/>
  <c r="K362" i="4"/>
  <c r="J362" i="4"/>
  <c r="AB361" i="4"/>
  <c r="Y361" i="4"/>
  <c r="AA361" i="4"/>
  <c r="W361" i="4"/>
  <c r="S361" i="4"/>
  <c r="AC361" i="4"/>
  <c r="AE361" i="4"/>
  <c r="Q361" i="4"/>
  <c r="O361" i="4"/>
  <c r="N361" i="4"/>
  <c r="K361" i="4"/>
  <c r="J361" i="4"/>
  <c r="AB360" i="4"/>
  <c r="Y360" i="4"/>
  <c r="AD360" i="4"/>
  <c r="W360" i="4"/>
  <c r="S360" i="4"/>
  <c r="P360" i="4"/>
  <c r="R360" i="4"/>
  <c r="Q360" i="4"/>
  <c r="O360" i="4"/>
  <c r="N360" i="4"/>
  <c r="K360" i="4"/>
  <c r="J360" i="4"/>
  <c r="AB359" i="4"/>
  <c r="Y359" i="4"/>
  <c r="AA359" i="4"/>
  <c r="W359" i="4"/>
  <c r="S359" i="4"/>
  <c r="P359" i="4"/>
  <c r="R359" i="4"/>
  <c r="Q359" i="4"/>
  <c r="O359" i="4"/>
  <c r="N359" i="4"/>
  <c r="K359" i="4"/>
  <c r="J359" i="4"/>
  <c r="AB358" i="4"/>
  <c r="Y358" i="4"/>
  <c r="AA358" i="4"/>
  <c r="W358" i="4"/>
  <c r="S358" i="4"/>
  <c r="P358" i="4"/>
  <c r="R358" i="4"/>
  <c r="Q358" i="4"/>
  <c r="O358" i="4"/>
  <c r="N358" i="4"/>
  <c r="K358" i="4"/>
  <c r="J358" i="4"/>
  <c r="AB357" i="4"/>
  <c r="Y357" i="4"/>
  <c r="AD357" i="4"/>
  <c r="W357" i="4"/>
  <c r="S357" i="4"/>
  <c r="AC357" i="4"/>
  <c r="AE357" i="4"/>
  <c r="Q357" i="4"/>
  <c r="O357" i="4"/>
  <c r="N357" i="4"/>
  <c r="K357" i="4"/>
  <c r="J357" i="4"/>
  <c r="AB356" i="4"/>
  <c r="Y356" i="4"/>
  <c r="AD356" i="4"/>
  <c r="W356" i="4"/>
  <c r="S356" i="4"/>
  <c r="AC356" i="4"/>
  <c r="AE356" i="4"/>
  <c r="Q356" i="4"/>
  <c r="O356" i="4"/>
  <c r="N356" i="4"/>
  <c r="K356" i="4"/>
  <c r="J356" i="4"/>
  <c r="AB355" i="4"/>
  <c r="Y355" i="4"/>
  <c r="AD355" i="4"/>
  <c r="W355" i="4"/>
  <c r="S355" i="4"/>
  <c r="AC355" i="4"/>
  <c r="AE355" i="4"/>
  <c r="Q355" i="4"/>
  <c r="O355" i="4"/>
  <c r="N355" i="4"/>
  <c r="K355" i="4"/>
  <c r="J355" i="4"/>
  <c r="AB354" i="4"/>
  <c r="Y354" i="4"/>
  <c r="AD354" i="4"/>
  <c r="W354" i="4"/>
  <c r="S354" i="4"/>
  <c r="P354" i="4"/>
  <c r="R354" i="4"/>
  <c r="Q354" i="4"/>
  <c r="O354" i="4"/>
  <c r="N354" i="4"/>
  <c r="K354" i="4"/>
  <c r="J354" i="4"/>
  <c r="AB353" i="4"/>
  <c r="Y353" i="4"/>
  <c r="AA353" i="4"/>
  <c r="W353" i="4"/>
  <c r="S353" i="4"/>
  <c r="AC353" i="4"/>
  <c r="AE353" i="4"/>
  <c r="Q353" i="4"/>
  <c r="O353" i="4"/>
  <c r="N353" i="4"/>
  <c r="K353" i="4"/>
  <c r="J353" i="4"/>
  <c r="AB352" i="4"/>
  <c r="Y352" i="4"/>
  <c r="W352" i="4"/>
  <c r="S352" i="4"/>
  <c r="AC352" i="4"/>
  <c r="AE352" i="4"/>
  <c r="M352" i="4"/>
  <c r="K352" i="4"/>
  <c r="J352" i="4"/>
  <c r="AB351" i="4"/>
  <c r="Y351" i="4"/>
  <c r="AD351" i="4"/>
  <c r="W351" i="4"/>
  <c r="S351" i="4"/>
  <c r="AC351" i="4"/>
  <c r="AE351" i="4"/>
  <c r="Q351" i="4"/>
  <c r="O351" i="4"/>
  <c r="N351" i="4"/>
  <c r="K351" i="4"/>
  <c r="J351" i="4"/>
  <c r="AB350" i="4"/>
  <c r="Y350" i="4"/>
  <c r="AD350" i="4"/>
  <c r="W350" i="4"/>
  <c r="S350" i="4"/>
  <c r="AC350" i="4"/>
  <c r="AE350" i="4"/>
  <c r="Q350" i="4"/>
  <c r="O350" i="4"/>
  <c r="N350" i="4"/>
  <c r="K350" i="4"/>
  <c r="J350" i="4"/>
  <c r="AB349" i="4"/>
  <c r="Y349" i="4"/>
  <c r="AA349" i="4"/>
  <c r="W349" i="4"/>
  <c r="S349" i="4"/>
  <c r="AC349" i="4"/>
  <c r="AE349" i="4"/>
  <c r="Q349" i="4"/>
  <c r="O349" i="4"/>
  <c r="N349" i="4"/>
  <c r="K349" i="4"/>
  <c r="J349" i="4"/>
  <c r="AB348" i="4"/>
  <c r="Y348" i="4"/>
  <c r="AA348" i="4"/>
  <c r="W348" i="4"/>
  <c r="S348" i="4"/>
  <c r="AC348" i="4"/>
  <c r="AE348" i="4"/>
  <c r="Q348" i="4"/>
  <c r="O348" i="4"/>
  <c r="N348" i="4"/>
  <c r="K348" i="4"/>
  <c r="J348" i="4"/>
  <c r="AB347" i="4"/>
  <c r="Y347" i="4"/>
  <c r="AA347" i="4"/>
  <c r="W347" i="4"/>
  <c r="S347" i="4"/>
  <c r="P347" i="4"/>
  <c r="R347" i="4"/>
  <c r="Q347" i="4"/>
  <c r="O347" i="4"/>
  <c r="N347" i="4"/>
  <c r="K347" i="4"/>
  <c r="J347" i="4"/>
  <c r="AB346" i="4"/>
  <c r="Y346" i="4"/>
  <c r="AA346" i="4"/>
  <c r="W346" i="4"/>
  <c r="S346" i="4"/>
  <c r="P346" i="4"/>
  <c r="R346" i="4"/>
  <c r="Q346" i="4"/>
  <c r="O346" i="4"/>
  <c r="N346" i="4"/>
  <c r="K346" i="4"/>
  <c r="J346" i="4"/>
  <c r="AB345" i="4"/>
  <c r="Y345" i="4"/>
  <c r="AD345" i="4"/>
  <c r="W345" i="4"/>
  <c r="S345" i="4"/>
  <c r="P345" i="4"/>
  <c r="R345" i="4"/>
  <c r="Q345" i="4"/>
  <c r="O345" i="4"/>
  <c r="N345" i="4"/>
  <c r="K345" i="4"/>
  <c r="J345" i="4"/>
  <c r="AB344" i="4"/>
  <c r="Y344" i="4"/>
  <c r="AD344" i="4"/>
  <c r="W344" i="4"/>
  <c r="S344" i="4"/>
  <c r="P344" i="4"/>
  <c r="R344" i="4"/>
  <c r="Q344" i="4"/>
  <c r="O344" i="4"/>
  <c r="N344" i="4"/>
  <c r="K344" i="4"/>
  <c r="J344" i="4"/>
  <c r="AB343" i="4"/>
  <c r="Y343" i="4"/>
  <c r="AD343" i="4"/>
  <c r="W343" i="4"/>
  <c r="S343" i="4"/>
  <c r="AC343" i="4"/>
  <c r="AE343" i="4"/>
  <c r="Q343" i="4"/>
  <c r="O343" i="4"/>
  <c r="N343" i="4"/>
  <c r="K343" i="4"/>
  <c r="J343" i="4"/>
  <c r="AB342" i="4"/>
  <c r="Y342" i="4"/>
  <c r="AD342" i="4"/>
  <c r="W342" i="4"/>
  <c r="S342" i="4"/>
  <c r="AC342" i="4"/>
  <c r="AE342" i="4"/>
  <c r="Q342" i="4"/>
  <c r="O342" i="4"/>
  <c r="N342" i="4"/>
  <c r="K342" i="4"/>
  <c r="J342" i="4"/>
  <c r="AB341" i="4"/>
  <c r="Y341" i="4"/>
  <c r="AA341" i="4"/>
  <c r="W341" i="4"/>
  <c r="S341" i="4"/>
  <c r="AC341" i="4"/>
  <c r="AE341" i="4"/>
  <c r="Q341" i="4"/>
  <c r="O341" i="4"/>
  <c r="N341" i="4"/>
  <c r="K341" i="4"/>
  <c r="J341" i="4"/>
  <c r="M328" i="4"/>
  <c r="AB340" i="4"/>
  <c r="Y340" i="4"/>
  <c r="W340" i="4"/>
  <c r="S340" i="4"/>
  <c r="AC340" i="4"/>
  <c r="AE340" i="4"/>
  <c r="M340" i="4"/>
  <c r="K340" i="4"/>
  <c r="J340" i="4"/>
  <c r="AB339" i="4"/>
  <c r="Y339" i="4"/>
  <c r="AD339" i="4"/>
  <c r="W339" i="4"/>
  <c r="S339" i="4"/>
  <c r="AC339" i="4"/>
  <c r="AE339" i="4"/>
  <c r="Q339" i="4"/>
  <c r="O339" i="4"/>
  <c r="N339" i="4"/>
  <c r="K339" i="4"/>
  <c r="J339" i="4"/>
  <c r="AB338" i="4"/>
  <c r="Y338" i="4"/>
  <c r="AA338" i="4"/>
  <c r="W338" i="4"/>
  <c r="S338" i="4"/>
  <c r="AC338" i="4"/>
  <c r="AE338" i="4"/>
  <c r="Q338" i="4"/>
  <c r="O338" i="4"/>
  <c r="N338" i="4"/>
  <c r="K338" i="4"/>
  <c r="J338" i="4"/>
  <c r="AB337" i="4"/>
  <c r="Y337" i="4"/>
  <c r="AA337" i="4"/>
  <c r="W337" i="4"/>
  <c r="S337" i="4"/>
  <c r="AC337" i="4"/>
  <c r="AE337" i="4"/>
  <c r="Q337" i="4"/>
  <c r="O337" i="4"/>
  <c r="N337" i="4"/>
  <c r="K337" i="4"/>
  <c r="J337" i="4"/>
  <c r="AB336" i="4"/>
  <c r="Y336" i="4"/>
  <c r="AA336" i="4"/>
  <c r="W336" i="4"/>
  <c r="S336" i="4"/>
  <c r="P336" i="4"/>
  <c r="R336" i="4"/>
  <c r="Q336" i="4"/>
  <c r="O336" i="4"/>
  <c r="N336" i="4"/>
  <c r="K336" i="4"/>
  <c r="J336" i="4"/>
  <c r="AB335" i="4"/>
  <c r="Y335" i="4"/>
  <c r="AD335" i="4"/>
  <c r="W335" i="4"/>
  <c r="S335" i="4"/>
  <c r="AC335" i="4"/>
  <c r="AE335" i="4"/>
  <c r="Q335" i="4"/>
  <c r="O335" i="4"/>
  <c r="N335" i="4"/>
  <c r="K335" i="4"/>
  <c r="J335" i="4"/>
  <c r="AB334" i="4"/>
  <c r="Y334" i="4"/>
  <c r="AD334" i="4"/>
  <c r="W334" i="4"/>
  <c r="S334" i="4"/>
  <c r="AC334" i="4"/>
  <c r="AE334" i="4"/>
  <c r="Q334" i="4"/>
  <c r="O334" i="4"/>
  <c r="N334" i="4"/>
  <c r="K334" i="4"/>
  <c r="J334" i="4"/>
  <c r="AB333" i="4"/>
  <c r="Y333" i="4"/>
  <c r="AD333" i="4"/>
  <c r="W333" i="4"/>
  <c r="S333" i="4"/>
  <c r="P333" i="4"/>
  <c r="R333" i="4"/>
  <c r="Q333" i="4"/>
  <c r="O333" i="4"/>
  <c r="N333" i="4"/>
  <c r="K333" i="4"/>
  <c r="J333" i="4"/>
  <c r="AB332" i="4"/>
  <c r="Y332" i="4"/>
  <c r="AD332" i="4"/>
  <c r="W332" i="4"/>
  <c r="S332" i="4"/>
  <c r="AC332" i="4"/>
  <c r="AE332" i="4"/>
  <c r="Q332" i="4"/>
  <c r="O332" i="4"/>
  <c r="N332" i="4"/>
  <c r="K332" i="4"/>
  <c r="J332" i="4"/>
  <c r="AB331" i="4"/>
  <c r="Y331" i="4"/>
  <c r="AD331" i="4"/>
  <c r="W331" i="4"/>
  <c r="S331" i="4"/>
  <c r="AC331" i="4"/>
  <c r="AE331" i="4"/>
  <c r="Q331" i="4"/>
  <c r="O331" i="4"/>
  <c r="N331" i="4"/>
  <c r="K331" i="4"/>
  <c r="J331" i="4"/>
  <c r="AB330" i="4"/>
  <c r="Y330" i="4"/>
  <c r="AA330" i="4"/>
  <c r="W330" i="4"/>
  <c r="S330" i="4"/>
  <c r="AC330" i="4"/>
  <c r="AE330" i="4"/>
  <c r="Q330" i="4"/>
  <c r="O330" i="4"/>
  <c r="N330" i="4"/>
  <c r="K330" i="4"/>
  <c r="J330" i="4"/>
  <c r="AB329" i="4"/>
  <c r="Y329" i="4"/>
  <c r="AA329" i="4"/>
  <c r="W329" i="4"/>
  <c r="S329" i="4"/>
  <c r="AC329" i="4"/>
  <c r="AE329" i="4"/>
  <c r="Q329" i="4"/>
  <c r="O329" i="4"/>
  <c r="N329" i="4"/>
  <c r="K329" i="4"/>
  <c r="J329" i="4"/>
  <c r="AB328" i="4"/>
  <c r="Y328" i="4"/>
  <c r="W328" i="4"/>
  <c r="S328" i="4"/>
  <c r="AC328" i="4"/>
  <c r="AE328" i="4"/>
  <c r="O328" i="4"/>
  <c r="K328" i="4"/>
  <c r="J328" i="4"/>
  <c r="AB327" i="4"/>
  <c r="Y327" i="4"/>
  <c r="AD327" i="4"/>
  <c r="W327" i="4"/>
  <c r="S327" i="4"/>
  <c r="AC327" i="4"/>
  <c r="AE327" i="4"/>
  <c r="Q327" i="4"/>
  <c r="O327" i="4"/>
  <c r="N327" i="4"/>
  <c r="K327" i="4"/>
  <c r="J327" i="4"/>
  <c r="AB326" i="4"/>
  <c r="Y326" i="4"/>
  <c r="AD326" i="4"/>
  <c r="W326" i="4"/>
  <c r="S326" i="4"/>
  <c r="AC326" i="4"/>
  <c r="AE326" i="4"/>
  <c r="Q326" i="4"/>
  <c r="O326" i="4"/>
  <c r="N326" i="4"/>
  <c r="K326" i="4"/>
  <c r="J326" i="4"/>
  <c r="AB325" i="4"/>
  <c r="Y325" i="4"/>
  <c r="AA325" i="4"/>
  <c r="W325" i="4"/>
  <c r="S325" i="4"/>
  <c r="AC325" i="4"/>
  <c r="AE325" i="4"/>
  <c r="Q325" i="4"/>
  <c r="O325" i="4"/>
  <c r="N325" i="4"/>
  <c r="K325" i="4"/>
  <c r="J325" i="4"/>
  <c r="AB324" i="4"/>
  <c r="Y324" i="4"/>
  <c r="AA324" i="4"/>
  <c r="W324" i="4"/>
  <c r="S324" i="4"/>
  <c r="P324" i="4"/>
  <c r="R324" i="4"/>
  <c r="Q324" i="4"/>
  <c r="O324" i="4"/>
  <c r="N324" i="4"/>
  <c r="K324" i="4"/>
  <c r="J324" i="4"/>
  <c r="AB323" i="4"/>
  <c r="Y323" i="4"/>
  <c r="AA323" i="4"/>
  <c r="W323" i="4"/>
  <c r="S323" i="4"/>
  <c r="AC323" i="4"/>
  <c r="AE323" i="4"/>
  <c r="Q323" i="4"/>
  <c r="O323" i="4"/>
  <c r="N323" i="4"/>
  <c r="K323" i="4"/>
  <c r="J323" i="4"/>
  <c r="AB322" i="4"/>
  <c r="Y322" i="4"/>
  <c r="AD322" i="4"/>
  <c r="W322" i="4"/>
  <c r="S322" i="4"/>
  <c r="AC322" i="4"/>
  <c r="AE322" i="4"/>
  <c r="Q322" i="4"/>
  <c r="O322" i="4"/>
  <c r="N322" i="4"/>
  <c r="K322" i="4"/>
  <c r="J322" i="4"/>
  <c r="AB321" i="4"/>
  <c r="Y321" i="4"/>
  <c r="AA321" i="4"/>
  <c r="W321" i="4"/>
  <c r="S321" i="4"/>
  <c r="AC321" i="4"/>
  <c r="AE321" i="4"/>
  <c r="Q321" i="4"/>
  <c r="O321" i="4"/>
  <c r="N321" i="4"/>
  <c r="K321" i="4"/>
  <c r="J321" i="4"/>
  <c r="AB320" i="4"/>
  <c r="Y320" i="4"/>
  <c r="AD320" i="4"/>
  <c r="W320" i="4"/>
  <c r="S320" i="4"/>
  <c r="AC320" i="4"/>
  <c r="AE320" i="4"/>
  <c r="Q320" i="4"/>
  <c r="O320" i="4"/>
  <c r="N320" i="4"/>
  <c r="K320" i="4"/>
  <c r="J320" i="4"/>
  <c r="AB319" i="4"/>
  <c r="Y319" i="4"/>
  <c r="AD319" i="4"/>
  <c r="W319" i="4"/>
  <c r="S319" i="4"/>
  <c r="AC319" i="4"/>
  <c r="AE319" i="4"/>
  <c r="Q319" i="4"/>
  <c r="O319" i="4"/>
  <c r="N319" i="4"/>
  <c r="K319" i="4"/>
  <c r="J319" i="4"/>
  <c r="AB318" i="4"/>
  <c r="Y318" i="4"/>
  <c r="AD318" i="4"/>
  <c r="W318" i="4"/>
  <c r="S318" i="4"/>
  <c r="AC318" i="4"/>
  <c r="AE318" i="4"/>
  <c r="Q318" i="4"/>
  <c r="O318" i="4"/>
  <c r="N318" i="4"/>
  <c r="K318" i="4"/>
  <c r="J318" i="4"/>
  <c r="AB317" i="4"/>
  <c r="Y317" i="4"/>
  <c r="AA317" i="4"/>
  <c r="W317" i="4"/>
  <c r="S317" i="4"/>
  <c r="AC317" i="4"/>
  <c r="AE317" i="4"/>
  <c r="Q317" i="4"/>
  <c r="O317" i="4"/>
  <c r="N317" i="4"/>
  <c r="K317" i="4"/>
  <c r="J317" i="4"/>
  <c r="AB316" i="4"/>
  <c r="Y316" i="4"/>
  <c r="W316" i="4"/>
  <c r="S316" i="4"/>
  <c r="AC316" i="4"/>
  <c r="AE316" i="4"/>
  <c r="M316" i="4"/>
  <c r="K316" i="4"/>
  <c r="J316" i="4"/>
  <c r="AB315" i="4"/>
  <c r="Y315" i="4"/>
  <c r="AD315" i="4"/>
  <c r="W315" i="4"/>
  <c r="S315" i="4"/>
  <c r="AC315" i="4"/>
  <c r="AE315" i="4"/>
  <c r="Q315" i="4"/>
  <c r="O315" i="4"/>
  <c r="N315" i="4"/>
  <c r="K315" i="4"/>
  <c r="J315" i="4"/>
  <c r="AB314" i="4"/>
  <c r="Y314" i="4"/>
  <c r="AD314" i="4"/>
  <c r="W314" i="4"/>
  <c r="S314" i="4"/>
  <c r="AC314" i="4"/>
  <c r="AE314" i="4"/>
  <c r="Q314" i="4"/>
  <c r="O314" i="4"/>
  <c r="N314" i="4"/>
  <c r="K314" i="4"/>
  <c r="J314" i="4"/>
  <c r="AB313" i="4"/>
  <c r="Y313" i="4"/>
  <c r="AA313" i="4"/>
  <c r="W313" i="4"/>
  <c r="S313" i="4"/>
  <c r="AC313" i="4"/>
  <c r="AE313" i="4"/>
  <c r="Q313" i="4"/>
  <c r="O313" i="4"/>
  <c r="N313" i="4"/>
  <c r="K313" i="4"/>
  <c r="J313" i="4"/>
  <c r="AB312" i="4"/>
  <c r="Y312" i="4"/>
  <c r="AA312" i="4"/>
  <c r="W312" i="4"/>
  <c r="S312" i="4"/>
  <c r="P312" i="4"/>
  <c r="R312" i="4"/>
  <c r="Q312" i="4"/>
  <c r="O312" i="4"/>
  <c r="N312" i="4"/>
  <c r="K312" i="4"/>
  <c r="J312" i="4"/>
  <c r="AB311" i="4"/>
  <c r="Y311" i="4"/>
  <c r="AA311" i="4"/>
  <c r="W311" i="4"/>
  <c r="S311" i="4"/>
  <c r="AC311" i="4"/>
  <c r="AE311" i="4"/>
  <c r="Q311" i="4"/>
  <c r="O311" i="4"/>
  <c r="N311" i="4"/>
  <c r="K311" i="4"/>
  <c r="J311" i="4"/>
  <c r="AB310" i="4"/>
  <c r="Y310" i="4"/>
  <c r="AD310" i="4"/>
  <c r="W310" i="4"/>
  <c r="S310" i="4"/>
  <c r="P310" i="4"/>
  <c r="R310" i="4"/>
  <c r="Q310" i="4"/>
  <c r="O310" i="4"/>
  <c r="N310" i="4"/>
  <c r="K310" i="4"/>
  <c r="J310" i="4"/>
  <c r="AB309" i="4"/>
  <c r="Y309" i="4"/>
  <c r="AD309" i="4"/>
  <c r="W309" i="4"/>
  <c r="S309" i="4"/>
  <c r="AC309" i="4"/>
  <c r="AE309" i="4"/>
  <c r="Q309" i="4"/>
  <c r="O309" i="4"/>
  <c r="N309" i="4"/>
  <c r="K309" i="4"/>
  <c r="J309" i="4"/>
  <c r="AB308" i="4"/>
  <c r="Y308" i="4"/>
  <c r="AD308" i="4"/>
  <c r="W308" i="4"/>
  <c r="S308" i="4"/>
  <c r="AC308" i="4"/>
  <c r="AE308" i="4"/>
  <c r="Q308" i="4"/>
  <c r="O308" i="4"/>
  <c r="N308" i="4"/>
  <c r="K308" i="4"/>
  <c r="J308" i="4"/>
  <c r="AB307" i="4"/>
  <c r="Y307" i="4"/>
  <c r="AD307" i="4"/>
  <c r="W307" i="4"/>
  <c r="S307" i="4"/>
  <c r="AC307" i="4"/>
  <c r="AE307" i="4"/>
  <c r="Q307" i="4"/>
  <c r="O307" i="4"/>
  <c r="N307" i="4"/>
  <c r="K307" i="4"/>
  <c r="J307" i="4"/>
  <c r="AB306" i="4"/>
  <c r="Y306" i="4"/>
  <c r="AD306" i="4"/>
  <c r="W306" i="4"/>
  <c r="S306" i="4"/>
  <c r="AC306" i="4"/>
  <c r="AE306" i="4"/>
  <c r="Q306" i="4"/>
  <c r="O306" i="4"/>
  <c r="N306" i="4"/>
  <c r="K306" i="4"/>
  <c r="J306" i="4"/>
  <c r="AB305" i="4"/>
  <c r="Y305" i="4"/>
  <c r="AA305" i="4"/>
  <c r="W305" i="4"/>
  <c r="S305" i="4"/>
  <c r="AC305" i="4"/>
  <c r="AE305" i="4"/>
  <c r="Q305" i="4"/>
  <c r="O305" i="4"/>
  <c r="N305" i="4"/>
  <c r="K305" i="4"/>
  <c r="J305" i="4"/>
  <c r="AB304" i="4"/>
  <c r="Y304" i="4"/>
  <c r="W304" i="4"/>
  <c r="S304" i="4"/>
  <c r="AC304" i="4"/>
  <c r="AE304" i="4"/>
  <c r="M304" i="4"/>
  <c r="K304" i="4"/>
  <c r="J304" i="4"/>
  <c r="AB303" i="4"/>
  <c r="Y303" i="4"/>
  <c r="AD303" i="4"/>
  <c r="W303" i="4"/>
  <c r="S303" i="4"/>
  <c r="AC303" i="4"/>
  <c r="AE303" i="4"/>
  <c r="Q303" i="4"/>
  <c r="O303" i="4"/>
  <c r="N303" i="4"/>
  <c r="K303" i="4"/>
  <c r="J303" i="4"/>
  <c r="AB302" i="4"/>
  <c r="Y302" i="4"/>
  <c r="AD302" i="4"/>
  <c r="W302" i="4"/>
  <c r="S302" i="4"/>
  <c r="AC302" i="4"/>
  <c r="AE302" i="4"/>
  <c r="Q302" i="4"/>
  <c r="O302" i="4"/>
  <c r="N302" i="4"/>
  <c r="K302" i="4"/>
  <c r="J302" i="4"/>
  <c r="AB301" i="4"/>
  <c r="Y301" i="4"/>
  <c r="AA301" i="4"/>
  <c r="W301" i="4"/>
  <c r="S301" i="4"/>
  <c r="AC301" i="4"/>
  <c r="AE301" i="4"/>
  <c r="Q301" i="4"/>
  <c r="O301" i="4"/>
  <c r="N301" i="4"/>
  <c r="K301" i="4"/>
  <c r="J301" i="4"/>
  <c r="AB300" i="4"/>
  <c r="Y300" i="4"/>
  <c r="AA300" i="4"/>
  <c r="W300" i="4"/>
  <c r="S300" i="4"/>
  <c r="P300" i="4"/>
  <c r="R300" i="4"/>
  <c r="Q300" i="4"/>
  <c r="O300" i="4"/>
  <c r="N300" i="4"/>
  <c r="K300" i="4"/>
  <c r="J300" i="4"/>
  <c r="AB299" i="4"/>
  <c r="Y299" i="4"/>
  <c r="AA299" i="4"/>
  <c r="W299" i="4"/>
  <c r="S299" i="4"/>
  <c r="P299" i="4"/>
  <c r="R299" i="4"/>
  <c r="Q299" i="4"/>
  <c r="O299" i="4"/>
  <c r="N299" i="4"/>
  <c r="K299" i="4"/>
  <c r="J299" i="4"/>
  <c r="AB298" i="4"/>
  <c r="Y298" i="4"/>
  <c r="AA298" i="4"/>
  <c r="W298" i="4"/>
  <c r="S298" i="4"/>
  <c r="P298" i="4"/>
  <c r="R298" i="4"/>
  <c r="Q298" i="4"/>
  <c r="O298" i="4"/>
  <c r="N298" i="4"/>
  <c r="K298" i="4"/>
  <c r="J298" i="4"/>
  <c r="AB297" i="4"/>
  <c r="Y297" i="4"/>
  <c r="AD297" i="4"/>
  <c r="W297" i="4"/>
  <c r="S297" i="4"/>
  <c r="P297" i="4"/>
  <c r="R297" i="4"/>
  <c r="Q297" i="4"/>
  <c r="O297" i="4"/>
  <c r="N297" i="4"/>
  <c r="K297" i="4"/>
  <c r="J297" i="4"/>
  <c r="AB296" i="4"/>
  <c r="Y296" i="4"/>
  <c r="AD296" i="4"/>
  <c r="W296" i="4"/>
  <c r="S296" i="4"/>
  <c r="P296" i="4"/>
  <c r="R296" i="4"/>
  <c r="Q296" i="4"/>
  <c r="O296" i="4"/>
  <c r="N296" i="4"/>
  <c r="K296" i="4"/>
  <c r="J296" i="4"/>
  <c r="AB295" i="4"/>
  <c r="Y295" i="4"/>
  <c r="AD295" i="4"/>
  <c r="W295" i="4"/>
  <c r="S295" i="4"/>
  <c r="AC295" i="4"/>
  <c r="AE295" i="4"/>
  <c r="Q295" i="4"/>
  <c r="O295" i="4"/>
  <c r="N295" i="4"/>
  <c r="K295" i="4"/>
  <c r="J295" i="4"/>
  <c r="AB294" i="4"/>
  <c r="Y294" i="4"/>
  <c r="AD294" i="4"/>
  <c r="W294" i="4"/>
  <c r="S294" i="4"/>
  <c r="AC294" i="4"/>
  <c r="AE294" i="4"/>
  <c r="Q294" i="4"/>
  <c r="O294" i="4"/>
  <c r="N294" i="4"/>
  <c r="K294" i="4"/>
  <c r="J294" i="4"/>
  <c r="AB293" i="4"/>
  <c r="Y293" i="4"/>
  <c r="AA293" i="4"/>
  <c r="W293" i="4"/>
  <c r="S293" i="4"/>
  <c r="AC293" i="4"/>
  <c r="AE293" i="4"/>
  <c r="Q293" i="4"/>
  <c r="O293" i="4"/>
  <c r="N293" i="4"/>
  <c r="K293" i="4"/>
  <c r="J293" i="4"/>
  <c r="AB292" i="4"/>
  <c r="Y292" i="4"/>
  <c r="W292" i="4"/>
  <c r="S292" i="4"/>
  <c r="AC292" i="4"/>
  <c r="AE292" i="4"/>
  <c r="M292" i="4"/>
  <c r="K292" i="4"/>
  <c r="J292" i="4"/>
  <c r="AB291" i="4"/>
  <c r="Y291" i="4"/>
  <c r="AD291" i="4"/>
  <c r="W291" i="4"/>
  <c r="S291" i="4"/>
  <c r="AC291" i="4"/>
  <c r="AE291" i="4"/>
  <c r="Q291" i="4"/>
  <c r="O291" i="4"/>
  <c r="N291" i="4"/>
  <c r="K291" i="4"/>
  <c r="J291" i="4"/>
  <c r="AB290" i="4"/>
  <c r="Y290" i="4"/>
  <c r="AD290" i="4"/>
  <c r="W290" i="4"/>
  <c r="S290" i="4"/>
  <c r="AC290" i="4"/>
  <c r="AE290" i="4"/>
  <c r="Q290" i="4"/>
  <c r="O290" i="4"/>
  <c r="N290" i="4"/>
  <c r="K290" i="4"/>
  <c r="J290" i="4"/>
  <c r="AB289" i="4"/>
  <c r="Y289" i="4"/>
  <c r="AA289" i="4"/>
  <c r="W289" i="4"/>
  <c r="S289" i="4"/>
  <c r="AC289" i="4"/>
  <c r="AE289" i="4"/>
  <c r="Q289" i="4"/>
  <c r="O289" i="4"/>
  <c r="N289" i="4"/>
  <c r="K289" i="4"/>
  <c r="J289" i="4"/>
  <c r="AB288" i="4"/>
  <c r="Y288" i="4"/>
  <c r="AA288" i="4"/>
  <c r="W288" i="4"/>
  <c r="S288" i="4"/>
  <c r="AC288" i="4"/>
  <c r="AE288" i="4"/>
  <c r="Q288" i="4"/>
  <c r="O288" i="4"/>
  <c r="N288" i="4"/>
  <c r="K288" i="4"/>
  <c r="J288" i="4"/>
  <c r="AB287" i="4"/>
  <c r="Y287" i="4"/>
  <c r="AA287" i="4"/>
  <c r="W287" i="4"/>
  <c r="S287" i="4"/>
  <c r="P287" i="4"/>
  <c r="R287" i="4"/>
  <c r="Q287" i="4"/>
  <c r="O287" i="4"/>
  <c r="N287" i="4"/>
  <c r="K287" i="4"/>
  <c r="J287" i="4"/>
  <c r="AB286" i="4"/>
  <c r="Y286" i="4"/>
  <c r="AA286" i="4"/>
  <c r="W286" i="4"/>
  <c r="S286" i="4"/>
  <c r="P286" i="4"/>
  <c r="R286" i="4"/>
  <c r="Q286" i="4"/>
  <c r="O286" i="4"/>
  <c r="N286" i="4"/>
  <c r="K286" i="4"/>
  <c r="J286" i="4"/>
  <c r="AB285" i="4"/>
  <c r="Y285" i="4"/>
  <c r="AD285" i="4"/>
  <c r="W285" i="4"/>
  <c r="S285" i="4"/>
  <c r="P285" i="4"/>
  <c r="R285" i="4"/>
  <c r="Q285" i="4"/>
  <c r="O285" i="4"/>
  <c r="N285" i="4"/>
  <c r="K285" i="4"/>
  <c r="J285" i="4"/>
  <c r="AB284" i="4"/>
  <c r="Y284" i="4"/>
  <c r="AD284" i="4"/>
  <c r="W284" i="4"/>
  <c r="S284" i="4"/>
  <c r="AC284" i="4"/>
  <c r="AE284" i="4"/>
  <c r="Q284" i="4"/>
  <c r="O284" i="4"/>
  <c r="N284" i="4"/>
  <c r="K284" i="4"/>
  <c r="J284" i="4"/>
  <c r="AB283" i="4"/>
  <c r="Y283" i="4"/>
  <c r="AD283" i="4"/>
  <c r="W283" i="4"/>
  <c r="S283" i="4"/>
  <c r="AC283" i="4"/>
  <c r="AE283" i="4"/>
  <c r="Q283" i="4"/>
  <c r="O283" i="4"/>
  <c r="N283" i="4"/>
  <c r="K283" i="4"/>
  <c r="J283" i="4"/>
  <c r="AB282" i="4"/>
  <c r="Y282" i="4"/>
  <c r="AD282" i="4"/>
  <c r="W282" i="4"/>
  <c r="S282" i="4"/>
  <c r="AC282" i="4"/>
  <c r="AE282" i="4"/>
  <c r="Q282" i="4"/>
  <c r="O282" i="4"/>
  <c r="N282" i="4"/>
  <c r="K282" i="4"/>
  <c r="J282" i="4"/>
  <c r="AB281" i="4"/>
  <c r="Y281" i="4"/>
  <c r="AA281" i="4"/>
  <c r="W281" i="4"/>
  <c r="S281" i="4"/>
  <c r="AC281" i="4"/>
  <c r="AE281" i="4"/>
  <c r="Q281" i="4"/>
  <c r="O281" i="4"/>
  <c r="N281" i="4"/>
  <c r="K281" i="4"/>
  <c r="J281" i="4"/>
  <c r="AB280" i="4"/>
  <c r="Y280" i="4"/>
  <c r="W280" i="4"/>
  <c r="S280" i="4"/>
  <c r="AC280" i="4"/>
  <c r="AE280" i="4"/>
  <c r="M280" i="4"/>
  <c r="O280" i="4"/>
  <c r="K280" i="4"/>
  <c r="J280" i="4"/>
  <c r="AB279" i="4"/>
  <c r="Y279" i="4"/>
  <c r="AD279" i="4"/>
  <c r="W279" i="4"/>
  <c r="S279" i="4"/>
  <c r="AC279" i="4"/>
  <c r="AE279" i="4"/>
  <c r="Q279" i="4"/>
  <c r="O279" i="4"/>
  <c r="N279" i="4"/>
  <c r="K279" i="4"/>
  <c r="J279" i="4"/>
  <c r="AB278" i="4"/>
  <c r="Y278" i="4"/>
  <c r="AA278" i="4"/>
  <c r="W278" i="4"/>
  <c r="S278" i="4"/>
  <c r="AC278" i="4"/>
  <c r="AE278" i="4"/>
  <c r="Q278" i="4"/>
  <c r="O278" i="4"/>
  <c r="N278" i="4"/>
  <c r="K278" i="4"/>
  <c r="J278" i="4"/>
  <c r="AB277" i="4"/>
  <c r="Y277" i="4"/>
  <c r="AD277" i="4"/>
  <c r="W277" i="4"/>
  <c r="S277" i="4"/>
  <c r="P277" i="4"/>
  <c r="R277" i="4"/>
  <c r="Q277" i="4"/>
  <c r="O277" i="4"/>
  <c r="N277" i="4"/>
  <c r="K277" i="4"/>
  <c r="J277" i="4"/>
  <c r="AB276" i="4"/>
  <c r="Y276" i="4"/>
  <c r="AA276" i="4"/>
  <c r="W276" i="4"/>
  <c r="S276" i="4"/>
  <c r="P276" i="4"/>
  <c r="R276" i="4"/>
  <c r="Q276" i="4"/>
  <c r="O276" i="4"/>
  <c r="N276" i="4"/>
  <c r="K276" i="4"/>
  <c r="J276" i="4"/>
  <c r="AB275" i="4"/>
  <c r="Y275" i="4"/>
  <c r="AD275" i="4"/>
  <c r="W275" i="4"/>
  <c r="S275" i="4"/>
  <c r="P275" i="4"/>
  <c r="R275" i="4"/>
  <c r="Q275" i="4"/>
  <c r="O275" i="4"/>
  <c r="N275" i="4"/>
  <c r="K275" i="4"/>
  <c r="J275" i="4"/>
  <c r="AB274" i="4"/>
  <c r="Y274" i="4"/>
  <c r="AD274" i="4"/>
  <c r="W274" i="4"/>
  <c r="S274" i="4"/>
  <c r="AC274" i="4"/>
  <c r="AE274" i="4"/>
  <c r="Q274" i="4"/>
  <c r="O274" i="4"/>
  <c r="N274" i="4"/>
  <c r="K274" i="4"/>
  <c r="J274" i="4"/>
  <c r="AB273" i="4"/>
  <c r="Y273" i="4"/>
  <c r="AD273" i="4"/>
  <c r="W273" i="4"/>
  <c r="S273" i="4"/>
  <c r="AC273" i="4"/>
  <c r="AE273" i="4"/>
  <c r="Q273" i="4"/>
  <c r="O273" i="4"/>
  <c r="N273" i="4"/>
  <c r="K273" i="4"/>
  <c r="J273" i="4"/>
  <c r="AB272" i="4"/>
  <c r="Y272" i="4"/>
  <c r="AD272" i="4"/>
  <c r="W272" i="4"/>
  <c r="S272" i="4"/>
  <c r="AC272" i="4"/>
  <c r="AE272" i="4"/>
  <c r="Q272" i="4"/>
  <c r="O272" i="4"/>
  <c r="N272" i="4"/>
  <c r="K272" i="4"/>
  <c r="J272" i="4"/>
  <c r="AB271" i="4"/>
  <c r="Y271" i="4"/>
  <c r="AD271" i="4"/>
  <c r="W271" i="4"/>
  <c r="S271" i="4"/>
  <c r="AC271" i="4"/>
  <c r="AE271" i="4"/>
  <c r="Q271" i="4"/>
  <c r="O271" i="4"/>
  <c r="N271" i="4"/>
  <c r="K271" i="4"/>
  <c r="J271" i="4"/>
  <c r="AB270" i="4"/>
  <c r="Y270" i="4"/>
  <c r="AA270" i="4"/>
  <c r="W270" i="4"/>
  <c r="S270" i="4"/>
  <c r="AC270" i="4"/>
  <c r="AE270" i="4"/>
  <c r="Q270" i="4"/>
  <c r="O270" i="4"/>
  <c r="N270" i="4"/>
  <c r="K270" i="4"/>
  <c r="J270" i="4"/>
  <c r="AB269" i="4"/>
  <c r="Y269" i="4"/>
  <c r="AD269" i="4"/>
  <c r="W269" i="4"/>
  <c r="S269" i="4"/>
  <c r="P269" i="4"/>
  <c r="R269" i="4"/>
  <c r="Q269" i="4"/>
  <c r="O269" i="4"/>
  <c r="N269" i="4"/>
  <c r="K269" i="4"/>
  <c r="J269" i="4"/>
  <c r="AB268" i="4"/>
  <c r="Y268" i="4"/>
  <c r="W268" i="4"/>
  <c r="S268" i="4"/>
  <c r="AC268" i="4"/>
  <c r="AE268" i="4"/>
  <c r="M268" i="4"/>
  <c r="K268" i="4"/>
  <c r="J268" i="4"/>
  <c r="AB267" i="4"/>
  <c r="Y267" i="4"/>
  <c r="AD267" i="4"/>
  <c r="W267" i="4"/>
  <c r="S267" i="4"/>
  <c r="AC267" i="4"/>
  <c r="AE267" i="4"/>
  <c r="Q267" i="4"/>
  <c r="O267" i="4"/>
  <c r="N267" i="4"/>
  <c r="K267" i="4"/>
  <c r="J267" i="4"/>
  <c r="AB266" i="4"/>
  <c r="Y266" i="4"/>
  <c r="AD266" i="4"/>
  <c r="W266" i="4"/>
  <c r="S266" i="4"/>
  <c r="AC266" i="4"/>
  <c r="AE266" i="4"/>
  <c r="Q266" i="4"/>
  <c r="O266" i="4"/>
  <c r="N266" i="4"/>
  <c r="K266" i="4"/>
  <c r="J266" i="4"/>
  <c r="AB265" i="4"/>
  <c r="Y265" i="4"/>
  <c r="AA265" i="4"/>
  <c r="W265" i="4"/>
  <c r="S265" i="4"/>
  <c r="AC265" i="4"/>
  <c r="AE265" i="4"/>
  <c r="Q265" i="4"/>
  <c r="O265" i="4"/>
  <c r="N265" i="4"/>
  <c r="K265" i="4"/>
  <c r="J265" i="4"/>
  <c r="AB264" i="4"/>
  <c r="Y264" i="4"/>
  <c r="AA264" i="4"/>
  <c r="W264" i="4"/>
  <c r="S264" i="4"/>
  <c r="AC264" i="4"/>
  <c r="AE264" i="4"/>
  <c r="Q264" i="4"/>
  <c r="O264" i="4"/>
  <c r="N264" i="4"/>
  <c r="K264" i="4"/>
  <c r="J264" i="4"/>
  <c r="AB263" i="4"/>
  <c r="Y263" i="4"/>
  <c r="AA263" i="4"/>
  <c r="W263" i="4"/>
  <c r="S263" i="4"/>
  <c r="AC263" i="4"/>
  <c r="AE263" i="4"/>
  <c r="Q263" i="4"/>
  <c r="O263" i="4"/>
  <c r="N263" i="4"/>
  <c r="K263" i="4"/>
  <c r="J263" i="4"/>
  <c r="AB262" i="4"/>
  <c r="Y262" i="4"/>
  <c r="AA262" i="4"/>
  <c r="W262" i="4"/>
  <c r="S262" i="4"/>
  <c r="P262" i="4"/>
  <c r="R262" i="4"/>
  <c r="Q262" i="4"/>
  <c r="O262" i="4"/>
  <c r="N262" i="4"/>
  <c r="K262" i="4"/>
  <c r="J262" i="4"/>
  <c r="AB261" i="4"/>
  <c r="Y261" i="4"/>
  <c r="AD261" i="4"/>
  <c r="W261" i="4"/>
  <c r="S261" i="4"/>
  <c r="P261" i="4"/>
  <c r="R261" i="4"/>
  <c r="Q261" i="4"/>
  <c r="O261" i="4"/>
  <c r="N261" i="4"/>
  <c r="K261" i="4"/>
  <c r="J261" i="4"/>
  <c r="AB260" i="4"/>
  <c r="Y260" i="4"/>
  <c r="AD260" i="4"/>
  <c r="W260" i="4"/>
  <c r="S260" i="4"/>
  <c r="P260" i="4"/>
  <c r="R260" i="4"/>
  <c r="Q260" i="4"/>
  <c r="O260" i="4"/>
  <c r="N260" i="4"/>
  <c r="K260" i="4"/>
  <c r="J260" i="4"/>
  <c r="AB259" i="4"/>
  <c r="Y259" i="4"/>
  <c r="AD259" i="4"/>
  <c r="W259" i="4"/>
  <c r="S259" i="4"/>
  <c r="AC259" i="4"/>
  <c r="AE259" i="4"/>
  <c r="Q259" i="4"/>
  <c r="O259" i="4"/>
  <c r="N259" i="4"/>
  <c r="K259" i="4"/>
  <c r="J259" i="4"/>
  <c r="AB258" i="4"/>
  <c r="Y258" i="4"/>
  <c r="AD258" i="4"/>
  <c r="W258" i="4"/>
  <c r="S258" i="4"/>
  <c r="AC258" i="4"/>
  <c r="AE258" i="4"/>
  <c r="Q258" i="4"/>
  <c r="O258" i="4"/>
  <c r="N258" i="4"/>
  <c r="K258" i="4"/>
  <c r="J258" i="4"/>
  <c r="AB257" i="4"/>
  <c r="Y257" i="4"/>
  <c r="AA257" i="4"/>
  <c r="W257" i="4"/>
  <c r="S257" i="4"/>
  <c r="AC257" i="4"/>
  <c r="AE257" i="4"/>
  <c r="Q257" i="4"/>
  <c r="O257" i="4"/>
  <c r="N257" i="4"/>
  <c r="K257" i="4"/>
  <c r="J257" i="4"/>
  <c r="AB256" i="4"/>
  <c r="Y256" i="4"/>
  <c r="W256" i="4"/>
  <c r="S256" i="4"/>
  <c r="AC256" i="4"/>
  <c r="AE256" i="4"/>
  <c r="M256" i="4"/>
  <c r="K256" i="4"/>
  <c r="J256" i="4"/>
  <c r="AB255" i="4"/>
  <c r="Y255" i="4"/>
  <c r="AD255" i="4"/>
  <c r="W255" i="4"/>
  <c r="S255" i="4"/>
  <c r="AC255" i="4"/>
  <c r="AE255" i="4"/>
  <c r="Q255" i="4"/>
  <c r="O255" i="4"/>
  <c r="N255" i="4"/>
  <c r="K255" i="4"/>
  <c r="J255" i="4"/>
  <c r="AB254" i="4"/>
  <c r="Y254" i="4"/>
  <c r="AD254" i="4"/>
  <c r="W254" i="4"/>
  <c r="S254" i="4"/>
  <c r="AC254" i="4"/>
  <c r="AE254" i="4"/>
  <c r="Q254" i="4"/>
  <c r="O254" i="4"/>
  <c r="N254" i="4"/>
  <c r="K254" i="4"/>
  <c r="J254" i="4"/>
  <c r="AB253" i="4"/>
  <c r="Y253" i="4"/>
  <c r="AA253" i="4"/>
  <c r="W253" i="4"/>
  <c r="S253" i="4"/>
  <c r="AC253" i="4"/>
  <c r="AE253" i="4"/>
  <c r="Q253" i="4"/>
  <c r="O253" i="4"/>
  <c r="N253" i="4"/>
  <c r="K253" i="4"/>
  <c r="J253" i="4"/>
  <c r="AB252" i="4"/>
  <c r="Y252" i="4"/>
  <c r="AA252" i="4"/>
  <c r="W252" i="4"/>
  <c r="S252" i="4"/>
  <c r="AC252" i="4"/>
  <c r="AE252" i="4"/>
  <c r="Q252" i="4"/>
  <c r="O252" i="4"/>
  <c r="N252" i="4"/>
  <c r="K252" i="4"/>
  <c r="J252" i="4"/>
  <c r="AB251" i="4"/>
  <c r="Y251" i="4"/>
  <c r="AA251" i="4"/>
  <c r="W251" i="4"/>
  <c r="S251" i="4"/>
  <c r="P251" i="4"/>
  <c r="R251" i="4"/>
  <c r="Q251" i="4"/>
  <c r="O251" i="4"/>
  <c r="N251" i="4"/>
  <c r="K251" i="4"/>
  <c r="J251" i="4"/>
  <c r="AB250" i="4"/>
  <c r="Y250" i="4"/>
  <c r="AD250" i="4"/>
  <c r="W250" i="4"/>
  <c r="S250" i="4"/>
  <c r="AC250" i="4"/>
  <c r="AE250" i="4"/>
  <c r="Q250" i="4"/>
  <c r="O250" i="4"/>
  <c r="N250" i="4"/>
  <c r="K250" i="4"/>
  <c r="J250" i="4"/>
  <c r="AB249" i="4"/>
  <c r="Y249" i="4"/>
  <c r="AD249" i="4"/>
  <c r="W249" i="4"/>
  <c r="S249" i="4"/>
  <c r="AC249" i="4"/>
  <c r="AE249" i="4"/>
  <c r="Q249" i="4"/>
  <c r="O249" i="4"/>
  <c r="N249" i="4"/>
  <c r="K249" i="4"/>
  <c r="J249" i="4"/>
  <c r="AB248" i="4"/>
  <c r="Y248" i="4"/>
  <c r="AD248" i="4"/>
  <c r="W248" i="4"/>
  <c r="S248" i="4"/>
  <c r="P248" i="4"/>
  <c r="R248" i="4"/>
  <c r="Q248" i="4"/>
  <c r="O248" i="4"/>
  <c r="N248" i="4"/>
  <c r="K248" i="4"/>
  <c r="J248" i="4"/>
  <c r="AB247" i="4"/>
  <c r="Y247" i="4"/>
  <c r="AD247" i="4"/>
  <c r="W247" i="4"/>
  <c r="S247" i="4"/>
  <c r="AC247" i="4"/>
  <c r="AE247" i="4"/>
  <c r="Q247" i="4"/>
  <c r="O247" i="4"/>
  <c r="N247" i="4"/>
  <c r="K247" i="4"/>
  <c r="J247" i="4"/>
  <c r="AB246" i="4"/>
  <c r="Y246" i="4"/>
  <c r="AD246" i="4"/>
  <c r="W246" i="4"/>
  <c r="S246" i="4"/>
  <c r="AC246" i="4"/>
  <c r="AE246" i="4"/>
  <c r="Q246" i="4"/>
  <c r="O246" i="4"/>
  <c r="N246" i="4"/>
  <c r="K246" i="4"/>
  <c r="J246" i="4"/>
  <c r="AB245" i="4"/>
  <c r="Y245" i="4"/>
  <c r="AA245" i="4"/>
  <c r="W245" i="4"/>
  <c r="S245" i="4"/>
  <c r="AC245" i="4"/>
  <c r="AE245" i="4"/>
  <c r="Q245" i="4"/>
  <c r="O245" i="4"/>
  <c r="N245" i="4"/>
  <c r="K245" i="4"/>
  <c r="J245" i="4"/>
  <c r="AB244" i="4"/>
  <c r="Y244" i="4"/>
  <c r="W244" i="4"/>
  <c r="S244" i="4"/>
  <c r="AC244" i="4"/>
  <c r="AE244" i="4"/>
  <c r="M244" i="4"/>
  <c r="K244" i="4"/>
  <c r="J244" i="4"/>
  <c r="AB243" i="4"/>
  <c r="Y243" i="4"/>
  <c r="AD243" i="4"/>
  <c r="W243" i="4"/>
  <c r="S243" i="4"/>
  <c r="AC243" i="4"/>
  <c r="AE243" i="4"/>
  <c r="Q243" i="4"/>
  <c r="O243" i="4"/>
  <c r="N243" i="4"/>
  <c r="K243" i="4"/>
  <c r="J243" i="4"/>
  <c r="AB242" i="4"/>
  <c r="Y242" i="4"/>
  <c r="AD242" i="4"/>
  <c r="W242" i="4"/>
  <c r="S242" i="4"/>
  <c r="AC242" i="4"/>
  <c r="AE242" i="4"/>
  <c r="Q242" i="4"/>
  <c r="O242" i="4"/>
  <c r="N242" i="4"/>
  <c r="K242" i="4"/>
  <c r="J242" i="4"/>
  <c r="AB241" i="4"/>
  <c r="Y241" i="4"/>
  <c r="AA241" i="4"/>
  <c r="W241" i="4"/>
  <c r="S241" i="4"/>
  <c r="AC241" i="4"/>
  <c r="AE241" i="4"/>
  <c r="Q241" i="4"/>
  <c r="O241" i="4"/>
  <c r="N241" i="4"/>
  <c r="K241" i="4"/>
  <c r="J241" i="4"/>
  <c r="AB240" i="4"/>
  <c r="Y240" i="4"/>
  <c r="AA240" i="4"/>
  <c r="W240" i="4"/>
  <c r="S240" i="4"/>
  <c r="AC240" i="4"/>
  <c r="AE240" i="4"/>
  <c r="Q240" i="4"/>
  <c r="O240" i="4"/>
  <c r="N240" i="4"/>
  <c r="K240" i="4"/>
  <c r="J240" i="4"/>
  <c r="AB239" i="4"/>
  <c r="Y239" i="4"/>
  <c r="AA239" i="4"/>
  <c r="W239" i="4"/>
  <c r="S239" i="4"/>
  <c r="AC239" i="4"/>
  <c r="AE239" i="4"/>
  <c r="Q239" i="4"/>
  <c r="O239" i="4"/>
  <c r="N239" i="4"/>
  <c r="K239" i="4"/>
  <c r="J239" i="4"/>
  <c r="AB238" i="4"/>
  <c r="Y238" i="4"/>
  <c r="AD238" i="4"/>
  <c r="W238" i="4"/>
  <c r="S238" i="4"/>
  <c r="AC238" i="4"/>
  <c r="AE238" i="4"/>
  <c r="Q238" i="4"/>
  <c r="O238" i="4"/>
  <c r="N238" i="4"/>
  <c r="K238" i="4"/>
  <c r="J238" i="4"/>
  <c r="AB237" i="4"/>
  <c r="Y237" i="4"/>
  <c r="AD237" i="4"/>
  <c r="W237" i="4"/>
  <c r="S237" i="4"/>
  <c r="AC237" i="4"/>
  <c r="AE237" i="4"/>
  <c r="Q237" i="4"/>
  <c r="O237" i="4"/>
  <c r="N237" i="4"/>
  <c r="K237" i="4"/>
  <c r="J237" i="4"/>
  <c r="AB236" i="4"/>
  <c r="Y236" i="4"/>
  <c r="AD236" i="4"/>
  <c r="W236" i="4"/>
  <c r="S236" i="4"/>
  <c r="AC236" i="4"/>
  <c r="AE236" i="4"/>
  <c r="Q236" i="4"/>
  <c r="O236" i="4"/>
  <c r="N236" i="4"/>
  <c r="K236" i="4"/>
  <c r="J236" i="4"/>
  <c r="AB235" i="4"/>
  <c r="Y235" i="4"/>
  <c r="AD235" i="4"/>
  <c r="W235" i="4"/>
  <c r="S235" i="4"/>
  <c r="AC235" i="4"/>
  <c r="AE235" i="4"/>
  <c r="Q235" i="4"/>
  <c r="O235" i="4"/>
  <c r="N235" i="4"/>
  <c r="K235" i="4"/>
  <c r="J235" i="4"/>
  <c r="AB234" i="4"/>
  <c r="Y234" i="4"/>
  <c r="AD234" i="4"/>
  <c r="W234" i="4"/>
  <c r="S234" i="4"/>
  <c r="AC234" i="4"/>
  <c r="AE234" i="4"/>
  <c r="Q234" i="4"/>
  <c r="O234" i="4"/>
  <c r="N234" i="4"/>
  <c r="K234" i="4"/>
  <c r="J234" i="4"/>
  <c r="AB233" i="4"/>
  <c r="Y233" i="4"/>
  <c r="AA233" i="4"/>
  <c r="W233" i="4"/>
  <c r="S233" i="4"/>
  <c r="AC233" i="4"/>
  <c r="AE233" i="4"/>
  <c r="Q233" i="4"/>
  <c r="O233" i="4"/>
  <c r="N233" i="4"/>
  <c r="K233" i="4"/>
  <c r="J233" i="4"/>
  <c r="AB232" i="4"/>
  <c r="Y232" i="4"/>
  <c r="W232" i="4"/>
  <c r="S232" i="4"/>
  <c r="AC232" i="4"/>
  <c r="AE232" i="4"/>
  <c r="M232" i="4"/>
  <c r="K232" i="4"/>
  <c r="J232" i="4"/>
  <c r="AB231" i="4"/>
  <c r="Y231" i="4"/>
  <c r="AD231" i="4"/>
  <c r="W231" i="4"/>
  <c r="S231" i="4"/>
  <c r="AC231" i="4"/>
  <c r="AE231" i="4"/>
  <c r="Q231" i="4"/>
  <c r="O231" i="4"/>
  <c r="N231" i="4"/>
  <c r="K231" i="4"/>
  <c r="J231" i="4"/>
  <c r="AB230" i="4"/>
  <c r="Y230" i="4"/>
  <c r="AD230" i="4"/>
  <c r="W230" i="4"/>
  <c r="S230" i="4"/>
  <c r="AC230" i="4"/>
  <c r="AE230" i="4"/>
  <c r="Q230" i="4"/>
  <c r="O230" i="4"/>
  <c r="N230" i="4"/>
  <c r="K230" i="4"/>
  <c r="J230" i="4"/>
  <c r="AB229" i="4"/>
  <c r="Y229" i="4"/>
  <c r="AA229" i="4"/>
  <c r="W229" i="4"/>
  <c r="S229" i="4"/>
  <c r="AC229" i="4"/>
  <c r="AE229" i="4"/>
  <c r="Q229" i="4"/>
  <c r="O229" i="4"/>
  <c r="N229" i="4"/>
  <c r="K229" i="4"/>
  <c r="J229" i="4"/>
  <c r="AB228" i="4"/>
  <c r="Y228" i="4"/>
  <c r="AA228" i="4"/>
  <c r="W228" i="4"/>
  <c r="S228" i="4"/>
  <c r="AC228" i="4"/>
  <c r="AE228" i="4"/>
  <c r="Q228" i="4"/>
  <c r="O228" i="4"/>
  <c r="N228" i="4"/>
  <c r="K228" i="4"/>
  <c r="J228" i="4"/>
  <c r="AB227" i="4"/>
  <c r="Y227" i="4"/>
  <c r="AA227" i="4"/>
  <c r="W227" i="4"/>
  <c r="S227" i="4"/>
  <c r="P227" i="4"/>
  <c r="R227" i="4"/>
  <c r="Q227" i="4"/>
  <c r="O227" i="4"/>
  <c r="N227" i="4"/>
  <c r="K227" i="4"/>
  <c r="J227" i="4"/>
  <c r="AB226" i="4"/>
  <c r="Y226" i="4"/>
  <c r="AD226" i="4"/>
  <c r="W226" i="4"/>
  <c r="S226" i="4"/>
  <c r="AC226" i="4"/>
  <c r="AE226" i="4"/>
  <c r="Q226" i="4"/>
  <c r="O226" i="4"/>
  <c r="N226" i="4"/>
  <c r="K226" i="4"/>
  <c r="J226" i="4"/>
  <c r="AB225" i="4"/>
  <c r="Y225" i="4"/>
  <c r="AD225" i="4"/>
  <c r="W225" i="4"/>
  <c r="S225" i="4"/>
  <c r="P225" i="4"/>
  <c r="R225" i="4"/>
  <c r="Q225" i="4"/>
  <c r="O225" i="4"/>
  <c r="N225" i="4"/>
  <c r="K225" i="4"/>
  <c r="J225" i="4"/>
  <c r="AB224" i="4"/>
  <c r="Y224" i="4"/>
  <c r="AD224" i="4"/>
  <c r="W224" i="4"/>
  <c r="S224" i="4"/>
  <c r="P224" i="4"/>
  <c r="R224" i="4"/>
  <c r="Q224" i="4"/>
  <c r="O224" i="4"/>
  <c r="N224" i="4"/>
  <c r="K224" i="4"/>
  <c r="J224" i="4"/>
  <c r="AB223" i="4"/>
  <c r="Y223" i="4"/>
  <c r="AD223" i="4"/>
  <c r="W223" i="4"/>
  <c r="S223" i="4"/>
  <c r="AC223" i="4"/>
  <c r="AE223" i="4"/>
  <c r="Q223" i="4"/>
  <c r="O223" i="4"/>
  <c r="N223" i="4"/>
  <c r="K223" i="4"/>
  <c r="J223" i="4"/>
  <c r="AB222" i="4"/>
  <c r="Y222" i="4"/>
  <c r="AD222" i="4"/>
  <c r="W222" i="4"/>
  <c r="S222" i="4"/>
  <c r="AC222" i="4"/>
  <c r="AE222" i="4"/>
  <c r="Q222" i="4"/>
  <c r="O222" i="4"/>
  <c r="N222" i="4"/>
  <c r="K222" i="4"/>
  <c r="J222" i="4"/>
  <c r="AB221" i="4"/>
  <c r="Y221" i="4"/>
  <c r="AA221" i="4"/>
  <c r="W221" i="4"/>
  <c r="S221" i="4"/>
  <c r="AC221" i="4"/>
  <c r="AE221" i="4"/>
  <c r="Q221" i="4"/>
  <c r="O221" i="4"/>
  <c r="N221" i="4"/>
  <c r="K221" i="4"/>
  <c r="J221" i="4"/>
  <c r="AB220" i="4"/>
  <c r="Y220" i="4"/>
  <c r="W220" i="4"/>
  <c r="S220" i="4"/>
  <c r="AC220" i="4"/>
  <c r="AE220" i="4"/>
  <c r="M220" i="4"/>
  <c r="K220" i="4"/>
  <c r="J220" i="4"/>
  <c r="AB219" i="4"/>
  <c r="Y219" i="4"/>
  <c r="AD219" i="4"/>
  <c r="W219" i="4"/>
  <c r="S219" i="4"/>
  <c r="AC219" i="4"/>
  <c r="AE219" i="4"/>
  <c r="Q219" i="4"/>
  <c r="O219" i="4"/>
  <c r="N219" i="4"/>
  <c r="K219" i="4"/>
  <c r="J219" i="4"/>
  <c r="AB218" i="4"/>
  <c r="Y218" i="4"/>
  <c r="AD218" i="4"/>
  <c r="W218" i="4"/>
  <c r="S218" i="4"/>
  <c r="AC218" i="4"/>
  <c r="AE218" i="4"/>
  <c r="Q218" i="4"/>
  <c r="O218" i="4"/>
  <c r="N218" i="4"/>
  <c r="K218" i="4"/>
  <c r="J218" i="4"/>
  <c r="AB217" i="4"/>
  <c r="Y217" i="4"/>
  <c r="AA217" i="4"/>
  <c r="W217" i="4"/>
  <c r="S217" i="4"/>
  <c r="AC217" i="4"/>
  <c r="AE217" i="4"/>
  <c r="Q217" i="4"/>
  <c r="O217" i="4"/>
  <c r="N217" i="4"/>
  <c r="K217" i="4"/>
  <c r="J217" i="4"/>
  <c r="AB216" i="4"/>
  <c r="Y216" i="4"/>
  <c r="AA216" i="4"/>
  <c r="W216" i="4"/>
  <c r="S216" i="4"/>
  <c r="P216" i="4"/>
  <c r="R216" i="4"/>
  <c r="Q216" i="4"/>
  <c r="O216" i="4"/>
  <c r="N216" i="4"/>
  <c r="K216" i="4"/>
  <c r="J216" i="4"/>
  <c r="AB215" i="4"/>
  <c r="Y215" i="4"/>
  <c r="AA215" i="4"/>
  <c r="W215" i="4"/>
  <c r="S215" i="4"/>
  <c r="AC215" i="4"/>
  <c r="AE215" i="4"/>
  <c r="Q215" i="4"/>
  <c r="O215" i="4"/>
  <c r="N215" i="4"/>
  <c r="K215" i="4"/>
  <c r="J215" i="4"/>
  <c r="AB214" i="4"/>
  <c r="Y214" i="4"/>
  <c r="AD214" i="4"/>
  <c r="W214" i="4"/>
  <c r="S214" i="4"/>
  <c r="P214" i="4"/>
  <c r="R214" i="4"/>
  <c r="Q214" i="4"/>
  <c r="O214" i="4"/>
  <c r="N214" i="4"/>
  <c r="K214" i="4"/>
  <c r="J214" i="4"/>
  <c r="AB213" i="4"/>
  <c r="Y213" i="4"/>
  <c r="AD213" i="4"/>
  <c r="W213" i="4"/>
  <c r="S213" i="4"/>
  <c r="AC213" i="4"/>
  <c r="AE213" i="4"/>
  <c r="Q213" i="4"/>
  <c r="O213" i="4"/>
  <c r="N213" i="4"/>
  <c r="K213" i="4"/>
  <c r="J213" i="4"/>
  <c r="AB212" i="4"/>
  <c r="Y212" i="4"/>
  <c r="AD212" i="4"/>
  <c r="W212" i="4"/>
  <c r="S212" i="4"/>
  <c r="AC212" i="4"/>
  <c r="AE212" i="4"/>
  <c r="Q212" i="4"/>
  <c r="O212" i="4"/>
  <c r="N212" i="4"/>
  <c r="K212" i="4"/>
  <c r="J212" i="4"/>
  <c r="AB211" i="4"/>
  <c r="Y211" i="4"/>
  <c r="AD211" i="4"/>
  <c r="W211" i="4"/>
  <c r="S211" i="4"/>
  <c r="AC211" i="4"/>
  <c r="AE211" i="4"/>
  <c r="Q211" i="4"/>
  <c r="O211" i="4"/>
  <c r="N211" i="4"/>
  <c r="K211" i="4"/>
  <c r="J211" i="4"/>
  <c r="AB210" i="4"/>
  <c r="Y210" i="4"/>
  <c r="AD210" i="4"/>
  <c r="W210" i="4"/>
  <c r="S210" i="4"/>
  <c r="AC210" i="4"/>
  <c r="AE210" i="4"/>
  <c r="Q210" i="4"/>
  <c r="O210" i="4"/>
  <c r="N210" i="4"/>
  <c r="K210" i="4"/>
  <c r="J210" i="4"/>
  <c r="AB209" i="4"/>
  <c r="Y209" i="4"/>
  <c r="AA209" i="4"/>
  <c r="W209" i="4"/>
  <c r="S209" i="4"/>
  <c r="AC209" i="4"/>
  <c r="AE209" i="4"/>
  <c r="Q209" i="4"/>
  <c r="O209" i="4"/>
  <c r="N209" i="4"/>
  <c r="K209" i="4"/>
  <c r="J209" i="4"/>
  <c r="AB208" i="4"/>
  <c r="Y208" i="4"/>
  <c r="W208" i="4"/>
  <c r="S208" i="4"/>
  <c r="AC208" i="4"/>
  <c r="AE208" i="4"/>
  <c r="M208" i="4"/>
  <c r="K208" i="4"/>
  <c r="J208" i="4"/>
  <c r="AB207" i="4"/>
  <c r="Y207" i="4"/>
  <c r="AD207" i="4"/>
  <c r="W207" i="4"/>
  <c r="S207" i="4"/>
  <c r="AC207" i="4"/>
  <c r="AE207" i="4"/>
  <c r="Q207" i="4"/>
  <c r="O207" i="4"/>
  <c r="N207" i="4"/>
  <c r="K207" i="4"/>
  <c r="J207" i="4"/>
  <c r="AB206" i="4"/>
  <c r="Y206" i="4"/>
  <c r="AD206" i="4"/>
  <c r="W206" i="4"/>
  <c r="S206" i="4"/>
  <c r="AC206" i="4"/>
  <c r="AE206" i="4"/>
  <c r="Q206" i="4"/>
  <c r="O206" i="4"/>
  <c r="N206" i="4"/>
  <c r="K206" i="4"/>
  <c r="J206" i="4"/>
  <c r="AB205" i="4"/>
  <c r="Y205" i="4"/>
  <c r="AA205" i="4"/>
  <c r="W205" i="4"/>
  <c r="S205" i="4"/>
  <c r="AC205" i="4"/>
  <c r="AE205" i="4"/>
  <c r="Q205" i="4"/>
  <c r="O205" i="4"/>
  <c r="N205" i="4"/>
  <c r="K205" i="4"/>
  <c r="J205" i="4"/>
  <c r="AB204" i="4"/>
  <c r="Y204" i="4"/>
  <c r="AA204" i="4"/>
  <c r="W204" i="4"/>
  <c r="S204" i="4"/>
  <c r="P204" i="4"/>
  <c r="R204" i="4"/>
  <c r="Q204" i="4"/>
  <c r="O204" i="4"/>
  <c r="N204" i="4"/>
  <c r="K204" i="4"/>
  <c r="J204" i="4"/>
  <c r="AB203" i="4"/>
  <c r="Y203" i="4"/>
  <c r="AA203" i="4"/>
  <c r="W203" i="4"/>
  <c r="S203" i="4"/>
  <c r="P203" i="4"/>
  <c r="R203" i="4"/>
  <c r="Q203" i="4"/>
  <c r="O203" i="4"/>
  <c r="N203" i="4"/>
  <c r="K203" i="4"/>
  <c r="J203" i="4"/>
  <c r="AB202" i="4"/>
  <c r="Y202" i="4"/>
  <c r="AA202" i="4"/>
  <c r="W202" i="4"/>
  <c r="S202" i="4"/>
  <c r="P202" i="4"/>
  <c r="R202" i="4"/>
  <c r="Q202" i="4"/>
  <c r="O202" i="4"/>
  <c r="N202" i="4"/>
  <c r="K202" i="4"/>
  <c r="J202" i="4"/>
  <c r="AB201" i="4"/>
  <c r="Y201" i="4"/>
  <c r="AD201" i="4"/>
  <c r="W201" i="4"/>
  <c r="S201" i="4"/>
  <c r="P201" i="4"/>
  <c r="R201" i="4"/>
  <c r="Q201" i="4"/>
  <c r="O201" i="4"/>
  <c r="N201" i="4"/>
  <c r="K201" i="4"/>
  <c r="J201" i="4"/>
  <c r="AB200" i="4"/>
  <c r="Y200" i="4"/>
  <c r="AD200" i="4"/>
  <c r="W200" i="4"/>
  <c r="S200" i="4"/>
  <c r="P200" i="4"/>
  <c r="R200" i="4"/>
  <c r="Q200" i="4"/>
  <c r="O200" i="4"/>
  <c r="N200" i="4"/>
  <c r="K200" i="4"/>
  <c r="J200" i="4"/>
  <c r="AB199" i="4"/>
  <c r="Y199" i="4"/>
  <c r="AD199" i="4"/>
  <c r="W199" i="4"/>
  <c r="S199" i="4"/>
  <c r="AC199" i="4"/>
  <c r="AE199" i="4"/>
  <c r="Q199" i="4"/>
  <c r="O199" i="4"/>
  <c r="N199" i="4"/>
  <c r="K199" i="4"/>
  <c r="J199" i="4"/>
  <c r="AB198" i="4"/>
  <c r="Y198" i="4"/>
  <c r="AD198" i="4"/>
  <c r="W198" i="4"/>
  <c r="S198" i="4"/>
  <c r="AC198" i="4"/>
  <c r="AE198" i="4"/>
  <c r="Q198" i="4"/>
  <c r="O198" i="4"/>
  <c r="N198" i="4"/>
  <c r="K198" i="4"/>
  <c r="J198" i="4"/>
  <c r="AB197" i="4"/>
  <c r="Y197" i="4"/>
  <c r="AA197" i="4"/>
  <c r="W197" i="4"/>
  <c r="S197" i="4"/>
  <c r="AC197" i="4"/>
  <c r="AE197" i="4"/>
  <c r="Q197" i="4"/>
  <c r="O197" i="4"/>
  <c r="N197" i="4"/>
  <c r="K197" i="4"/>
  <c r="J197" i="4"/>
  <c r="AB196" i="4"/>
  <c r="Y196" i="4"/>
  <c r="W196" i="4"/>
  <c r="S196" i="4"/>
  <c r="AC196" i="4"/>
  <c r="AE196" i="4"/>
  <c r="M196" i="4"/>
  <c r="K196" i="4"/>
  <c r="J196" i="4"/>
  <c r="AB195" i="4"/>
  <c r="Y195" i="4"/>
  <c r="AD195" i="4"/>
  <c r="W195" i="4"/>
  <c r="S195" i="4"/>
  <c r="AC195" i="4"/>
  <c r="AE195" i="4"/>
  <c r="Q195" i="4"/>
  <c r="O195" i="4"/>
  <c r="N195" i="4"/>
  <c r="K195" i="4"/>
  <c r="J195" i="4"/>
  <c r="AB194" i="4"/>
  <c r="Y194" i="4"/>
  <c r="AD194" i="4"/>
  <c r="W194" i="4"/>
  <c r="S194" i="4"/>
  <c r="AC194" i="4"/>
  <c r="AE194" i="4"/>
  <c r="Q194" i="4"/>
  <c r="O194" i="4"/>
  <c r="N194" i="4"/>
  <c r="K194" i="4"/>
  <c r="J194" i="4"/>
  <c r="AB193" i="4"/>
  <c r="Y193" i="4"/>
  <c r="AA193" i="4"/>
  <c r="W193" i="4"/>
  <c r="S193" i="4"/>
  <c r="AC193" i="4"/>
  <c r="AE193" i="4"/>
  <c r="Q193" i="4"/>
  <c r="O193" i="4"/>
  <c r="N193" i="4"/>
  <c r="K193" i="4"/>
  <c r="J193" i="4"/>
  <c r="AB192" i="4"/>
  <c r="Y192" i="4"/>
  <c r="AA192" i="4"/>
  <c r="W192" i="4"/>
  <c r="S192" i="4"/>
  <c r="AC192" i="4"/>
  <c r="AE192" i="4"/>
  <c r="Q192" i="4"/>
  <c r="O192" i="4"/>
  <c r="N192" i="4"/>
  <c r="K192" i="4"/>
  <c r="J192" i="4"/>
  <c r="AB191" i="4"/>
  <c r="Y191" i="4"/>
  <c r="AA191" i="4"/>
  <c r="W191" i="4"/>
  <c r="S191" i="4"/>
  <c r="AC191" i="4"/>
  <c r="AE191" i="4"/>
  <c r="Q191" i="4"/>
  <c r="O191" i="4"/>
  <c r="N191" i="4"/>
  <c r="K191" i="4"/>
  <c r="J191" i="4"/>
  <c r="AB190" i="4"/>
  <c r="Y190" i="4"/>
  <c r="AD190" i="4"/>
  <c r="W190" i="4"/>
  <c r="S190" i="4"/>
  <c r="P190" i="4"/>
  <c r="R190" i="4"/>
  <c r="Q190" i="4"/>
  <c r="O190" i="4"/>
  <c r="N190" i="4"/>
  <c r="K190" i="4"/>
  <c r="J190" i="4"/>
  <c r="AB189" i="4"/>
  <c r="Y189" i="4"/>
  <c r="AD189" i="4"/>
  <c r="W189" i="4"/>
  <c r="S189" i="4"/>
  <c r="AC189" i="4"/>
  <c r="AE189" i="4"/>
  <c r="Q189" i="4"/>
  <c r="O189" i="4"/>
  <c r="N189" i="4"/>
  <c r="K189" i="4"/>
  <c r="J189" i="4"/>
  <c r="AB188" i="4"/>
  <c r="Y188" i="4"/>
  <c r="AD188" i="4"/>
  <c r="W188" i="4"/>
  <c r="S188" i="4"/>
  <c r="P188" i="4"/>
  <c r="R188" i="4"/>
  <c r="Q188" i="4"/>
  <c r="O188" i="4"/>
  <c r="N188" i="4"/>
  <c r="K188" i="4"/>
  <c r="J188" i="4"/>
  <c r="AB187" i="4"/>
  <c r="Y187" i="4"/>
  <c r="AD187" i="4"/>
  <c r="W187" i="4"/>
  <c r="S187" i="4"/>
  <c r="AC187" i="4"/>
  <c r="AE187" i="4"/>
  <c r="Q187" i="4"/>
  <c r="O187" i="4"/>
  <c r="N187" i="4"/>
  <c r="K187" i="4"/>
  <c r="J187" i="4"/>
  <c r="AB186" i="4"/>
  <c r="Y186" i="4"/>
  <c r="AD186" i="4"/>
  <c r="W186" i="4"/>
  <c r="S186" i="4"/>
  <c r="AC186" i="4"/>
  <c r="AE186" i="4"/>
  <c r="Q186" i="4"/>
  <c r="O186" i="4"/>
  <c r="N186" i="4"/>
  <c r="K186" i="4"/>
  <c r="J186" i="4"/>
  <c r="AB185" i="4"/>
  <c r="Y185" i="4"/>
  <c r="AA185" i="4"/>
  <c r="W185" i="4"/>
  <c r="S185" i="4"/>
  <c r="AC185" i="4"/>
  <c r="AE185" i="4"/>
  <c r="Q185" i="4"/>
  <c r="O185" i="4"/>
  <c r="N185" i="4"/>
  <c r="K185" i="4"/>
  <c r="J185" i="4"/>
  <c r="AB184" i="4"/>
  <c r="Y184" i="4"/>
  <c r="AA184" i="4"/>
  <c r="W184" i="4"/>
  <c r="S184" i="4"/>
  <c r="AC184" i="4"/>
  <c r="M184" i="4"/>
  <c r="N184" i="4"/>
  <c r="K184" i="4"/>
  <c r="J184" i="4"/>
  <c r="AB183" i="4"/>
  <c r="Y183" i="4"/>
  <c r="AD183" i="4"/>
  <c r="W183" i="4"/>
  <c r="S183" i="4"/>
  <c r="AC183" i="4"/>
  <c r="AE183" i="4"/>
  <c r="Q183" i="4"/>
  <c r="O183" i="4"/>
  <c r="N183" i="4"/>
  <c r="K183" i="4"/>
  <c r="J183" i="4"/>
  <c r="AB182" i="4"/>
  <c r="Y182" i="4"/>
  <c r="AD182" i="4"/>
  <c r="W182" i="4"/>
  <c r="S182" i="4"/>
  <c r="P182" i="4"/>
  <c r="R182" i="4"/>
  <c r="Q182" i="4"/>
  <c r="O182" i="4"/>
  <c r="N182" i="4"/>
  <c r="K182" i="4"/>
  <c r="J182" i="4"/>
  <c r="AB181" i="4"/>
  <c r="Y181" i="4"/>
  <c r="AA181" i="4"/>
  <c r="W181" i="4"/>
  <c r="S181" i="4"/>
  <c r="AC181" i="4"/>
  <c r="AE181" i="4"/>
  <c r="Q181" i="4"/>
  <c r="O181" i="4"/>
  <c r="N181" i="4"/>
  <c r="K181" i="4"/>
  <c r="J181" i="4"/>
  <c r="AB180" i="4"/>
  <c r="Y180" i="4"/>
  <c r="AD180" i="4"/>
  <c r="W180" i="4"/>
  <c r="S180" i="4"/>
  <c r="P180" i="4"/>
  <c r="R180" i="4"/>
  <c r="Q180" i="4"/>
  <c r="O180" i="4"/>
  <c r="N180" i="4"/>
  <c r="K180" i="4"/>
  <c r="J180" i="4"/>
  <c r="AB179" i="4"/>
  <c r="Y179" i="4"/>
  <c r="AA179" i="4"/>
  <c r="W179" i="4"/>
  <c r="S179" i="4"/>
  <c r="P179" i="4"/>
  <c r="R179" i="4"/>
  <c r="Q179" i="4"/>
  <c r="O179" i="4"/>
  <c r="N179" i="4"/>
  <c r="K179" i="4"/>
  <c r="J179" i="4"/>
  <c r="AB178" i="4"/>
  <c r="Y178" i="4"/>
  <c r="AD178" i="4"/>
  <c r="W178" i="4"/>
  <c r="S178" i="4"/>
  <c r="P178" i="4"/>
  <c r="R178" i="4"/>
  <c r="Q178" i="4"/>
  <c r="O178" i="4"/>
  <c r="N178" i="4"/>
  <c r="K178" i="4"/>
  <c r="J178" i="4"/>
  <c r="AB177" i="4"/>
  <c r="Y177" i="4"/>
  <c r="AD177" i="4"/>
  <c r="W177" i="4"/>
  <c r="S177" i="4"/>
  <c r="P177" i="4"/>
  <c r="R177" i="4"/>
  <c r="Q177" i="4"/>
  <c r="O177" i="4"/>
  <c r="N177" i="4"/>
  <c r="K177" i="4"/>
  <c r="J177" i="4"/>
  <c r="AB176" i="4"/>
  <c r="Y176" i="4"/>
  <c r="AD176" i="4"/>
  <c r="W176" i="4"/>
  <c r="S176" i="4"/>
  <c r="AC176" i="4"/>
  <c r="AE176" i="4"/>
  <c r="Q176" i="4"/>
  <c r="O176" i="4"/>
  <c r="N176" i="4"/>
  <c r="K176" i="4"/>
  <c r="J176" i="4"/>
  <c r="AB175" i="4"/>
  <c r="Y175" i="4"/>
  <c r="AA175" i="4"/>
  <c r="W175" i="4"/>
  <c r="S175" i="4"/>
  <c r="AC175" i="4"/>
  <c r="AE175" i="4"/>
  <c r="Q175" i="4"/>
  <c r="O175" i="4"/>
  <c r="N175" i="4"/>
  <c r="K175" i="4"/>
  <c r="J175" i="4"/>
  <c r="AB174" i="4"/>
  <c r="Y174" i="4"/>
  <c r="AD174" i="4"/>
  <c r="W174" i="4"/>
  <c r="S174" i="4"/>
  <c r="P174" i="4"/>
  <c r="R174" i="4"/>
  <c r="Q174" i="4"/>
  <c r="O174" i="4"/>
  <c r="N174" i="4"/>
  <c r="K174" i="4"/>
  <c r="J174" i="4"/>
  <c r="AB173" i="4"/>
  <c r="Y173" i="4"/>
  <c r="AA173" i="4"/>
  <c r="W173" i="4"/>
  <c r="S173" i="4"/>
  <c r="AC173" i="4"/>
  <c r="AE173" i="4"/>
  <c r="Q173" i="4"/>
  <c r="O173" i="4"/>
  <c r="N173" i="4"/>
  <c r="K173" i="4"/>
  <c r="J173" i="4"/>
  <c r="AB172" i="4"/>
  <c r="Y172" i="4"/>
  <c r="AA172" i="4"/>
  <c r="W172" i="4"/>
  <c r="S172" i="4"/>
  <c r="AC172" i="4"/>
  <c r="M172" i="4"/>
  <c r="O172" i="4"/>
  <c r="K172" i="4"/>
  <c r="J172" i="4"/>
  <c r="AB171" i="4"/>
  <c r="Y171" i="4"/>
  <c r="AA171" i="4"/>
  <c r="W171" i="4"/>
  <c r="S171" i="4"/>
  <c r="AC171" i="4"/>
  <c r="AE171" i="4"/>
  <c r="Q171" i="4"/>
  <c r="O171" i="4"/>
  <c r="N171" i="4"/>
  <c r="K171" i="4"/>
  <c r="J171" i="4"/>
  <c r="AB170" i="4"/>
  <c r="Y170" i="4"/>
  <c r="AD170" i="4"/>
  <c r="W170" i="4"/>
  <c r="S170" i="4"/>
  <c r="P170" i="4"/>
  <c r="R170" i="4"/>
  <c r="Q170" i="4"/>
  <c r="O170" i="4"/>
  <c r="N170" i="4"/>
  <c r="K170" i="4"/>
  <c r="J170" i="4"/>
  <c r="AB169" i="4"/>
  <c r="Y169" i="4"/>
  <c r="AA169" i="4"/>
  <c r="W169" i="4"/>
  <c r="S169" i="4"/>
  <c r="AC169" i="4"/>
  <c r="AE169" i="4"/>
  <c r="Q169" i="4"/>
  <c r="O169" i="4"/>
  <c r="N169" i="4"/>
  <c r="K169" i="4"/>
  <c r="J169" i="4"/>
  <c r="AB168" i="4"/>
  <c r="Y168" i="4"/>
  <c r="AA168" i="4"/>
  <c r="W168" i="4"/>
  <c r="S168" i="4"/>
  <c r="P168" i="4"/>
  <c r="R168" i="4"/>
  <c r="Q168" i="4"/>
  <c r="O168" i="4"/>
  <c r="N168" i="4"/>
  <c r="K168" i="4"/>
  <c r="J168" i="4"/>
  <c r="AB167" i="4"/>
  <c r="Y167" i="4"/>
  <c r="AA167" i="4"/>
  <c r="W167" i="4"/>
  <c r="S167" i="4"/>
  <c r="P167" i="4"/>
  <c r="R167" i="4"/>
  <c r="Q167" i="4"/>
  <c r="O167" i="4"/>
  <c r="N167" i="4"/>
  <c r="K167" i="4"/>
  <c r="J167" i="4"/>
  <c r="AB166" i="4"/>
  <c r="Y166" i="4"/>
  <c r="AD166" i="4"/>
  <c r="W166" i="4"/>
  <c r="S166" i="4"/>
  <c r="AC166" i="4"/>
  <c r="AE166" i="4"/>
  <c r="Q166" i="4"/>
  <c r="O166" i="4"/>
  <c r="N166" i="4"/>
  <c r="K166" i="4"/>
  <c r="J166" i="4"/>
  <c r="AB165" i="4"/>
  <c r="Y165" i="4"/>
  <c r="AD165" i="4"/>
  <c r="W165" i="4"/>
  <c r="S165" i="4"/>
  <c r="AC165" i="4"/>
  <c r="AE165" i="4"/>
  <c r="Q165" i="4"/>
  <c r="O165" i="4"/>
  <c r="N165" i="4"/>
  <c r="K165" i="4"/>
  <c r="J165" i="4"/>
  <c r="AB164" i="4"/>
  <c r="Y164" i="4"/>
  <c r="AD164" i="4"/>
  <c r="W164" i="4"/>
  <c r="S164" i="4"/>
  <c r="AC164" i="4"/>
  <c r="AE164" i="4"/>
  <c r="Q164" i="4"/>
  <c r="O164" i="4"/>
  <c r="N164" i="4"/>
  <c r="K164" i="4"/>
  <c r="J164" i="4"/>
  <c r="AB163" i="4"/>
  <c r="Y163" i="4"/>
  <c r="AA163" i="4"/>
  <c r="W163" i="4"/>
  <c r="S163" i="4"/>
  <c r="AC163" i="4"/>
  <c r="AE163" i="4"/>
  <c r="Q163" i="4"/>
  <c r="O163" i="4"/>
  <c r="N163" i="4"/>
  <c r="K163" i="4"/>
  <c r="J163" i="4"/>
  <c r="AB162" i="4"/>
  <c r="Y162" i="4"/>
  <c r="AD162" i="4"/>
  <c r="W162" i="4"/>
  <c r="S162" i="4"/>
  <c r="P162" i="4"/>
  <c r="R162" i="4"/>
  <c r="Q162" i="4"/>
  <c r="O162" i="4"/>
  <c r="N162" i="4"/>
  <c r="K162" i="4"/>
  <c r="J162" i="4"/>
  <c r="AB161" i="4"/>
  <c r="Y161" i="4"/>
  <c r="AA161" i="4"/>
  <c r="W161" i="4"/>
  <c r="S161" i="4"/>
  <c r="AC161" i="4"/>
  <c r="AE161" i="4"/>
  <c r="Q161" i="4"/>
  <c r="O161" i="4"/>
  <c r="N161" i="4"/>
  <c r="K161" i="4"/>
  <c r="J161" i="4"/>
  <c r="AB13" i="5"/>
  <c r="Y13" i="5"/>
  <c r="AA13" i="5"/>
  <c r="W13" i="5"/>
  <c r="S13" i="5"/>
  <c r="AC13" i="5"/>
  <c r="M13" i="5"/>
  <c r="O13" i="5"/>
  <c r="K13" i="5"/>
  <c r="J13" i="5"/>
  <c r="AB12" i="5"/>
  <c r="Y12" i="5"/>
  <c r="AA12" i="5"/>
  <c r="W12" i="5"/>
  <c r="S12" i="5"/>
  <c r="AC12" i="5"/>
  <c r="AE12" i="5"/>
  <c r="Q12" i="5"/>
  <c r="O12" i="5"/>
  <c r="N12" i="5"/>
  <c r="K12" i="5"/>
  <c r="J12" i="5"/>
  <c r="AB11" i="5"/>
  <c r="Y11" i="5"/>
  <c r="AD11" i="5"/>
  <c r="W11" i="5"/>
  <c r="S11" i="5"/>
  <c r="AC11" i="5"/>
  <c r="AE11" i="5"/>
  <c r="Q11" i="5"/>
  <c r="O11" i="5"/>
  <c r="N11" i="5"/>
  <c r="K11" i="5"/>
  <c r="J11" i="5"/>
  <c r="AB10" i="5"/>
  <c r="Y10" i="5"/>
  <c r="AA10" i="5"/>
  <c r="W10" i="5"/>
  <c r="S10" i="5"/>
  <c r="AC10" i="5"/>
  <c r="AE10" i="5"/>
  <c r="Q10" i="5"/>
  <c r="O10" i="5"/>
  <c r="N10" i="5"/>
  <c r="K10" i="5"/>
  <c r="J10" i="5"/>
  <c r="AB9" i="5"/>
  <c r="Y9" i="5"/>
  <c r="AA9" i="5"/>
  <c r="W9" i="5"/>
  <c r="S9" i="5"/>
  <c r="AC9" i="5"/>
  <c r="AE9" i="5"/>
  <c r="Q9" i="5"/>
  <c r="O9" i="5"/>
  <c r="N9" i="5"/>
  <c r="K9" i="5"/>
  <c r="J9" i="5"/>
  <c r="AB8" i="5"/>
  <c r="Y8" i="5"/>
  <c r="AA8" i="5"/>
  <c r="W8" i="5"/>
  <c r="S8" i="5"/>
  <c r="P8" i="5"/>
  <c r="R8" i="5"/>
  <c r="Q8" i="5"/>
  <c r="O8" i="5"/>
  <c r="N8" i="5"/>
  <c r="K8" i="5"/>
  <c r="J8" i="5"/>
  <c r="AD7" i="5"/>
  <c r="AB7" i="5"/>
  <c r="Y7" i="5"/>
  <c r="AA7" i="5"/>
  <c r="W7" i="5"/>
  <c r="S7" i="5"/>
  <c r="AC7" i="5"/>
  <c r="AE7" i="5"/>
  <c r="Q7" i="5"/>
  <c r="O7" i="5"/>
  <c r="N7" i="5"/>
  <c r="K7" i="5"/>
  <c r="J7" i="5"/>
  <c r="AB6" i="5"/>
  <c r="Y6" i="5"/>
  <c r="AD6" i="5"/>
  <c r="W6" i="5"/>
  <c r="S6" i="5"/>
  <c r="AC6" i="5"/>
  <c r="AE6" i="5"/>
  <c r="Q6" i="5"/>
  <c r="O6" i="5"/>
  <c r="N6" i="5"/>
  <c r="K6" i="5"/>
  <c r="J6" i="5"/>
  <c r="AB5" i="5"/>
  <c r="Y5" i="5"/>
  <c r="AA5" i="5"/>
  <c r="W5" i="5"/>
  <c r="S5" i="5"/>
  <c r="P5" i="5"/>
  <c r="R5" i="5"/>
  <c r="Q5" i="5"/>
  <c r="O5" i="5"/>
  <c r="N5" i="5"/>
  <c r="K5" i="5"/>
  <c r="J5" i="5"/>
  <c r="AB4" i="5"/>
  <c r="Y4" i="5"/>
  <c r="AA4" i="5"/>
  <c r="W4" i="5"/>
  <c r="S4" i="5"/>
  <c r="AC4" i="5"/>
  <c r="AE4" i="5"/>
  <c r="Q4" i="5"/>
  <c r="O4" i="5"/>
  <c r="N4" i="5"/>
  <c r="K4" i="5"/>
  <c r="J4" i="5"/>
  <c r="AB3" i="5"/>
  <c r="Y3" i="5"/>
  <c r="AD3" i="5"/>
  <c r="W3" i="5"/>
  <c r="S3" i="5"/>
  <c r="AC3" i="5"/>
  <c r="AE3" i="5"/>
  <c r="Q3" i="5"/>
  <c r="O3" i="5"/>
  <c r="N3" i="5"/>
  <c r="K3" i="5"/>
  <c r="J3" i="5"/>
  <c r="AB2" i="5"/>
  <c r="Y2" i="5"/>
  <c r="AD2" i="5"/>
  <c r="W2" i="5"/>
  <c r="S2" i="5"/>
  <c r="AC2" i="5"/>
  <c r="AE2" i="5"/>
  <c r="Q2" i="5"/>
  <c r="O2" i="5"/>
  <c r="N2" i="5"/>
  <c r="K2" i="5"/>
  <c r="J2" i="5"/>
  <c r="AB160" i="4"/>
  <c r="Y160" i="4"/>
  <c r="AA160" i="4"/>
  <c r="W160" i="4"/>
  <c r="S160" i="4"/>
  <c r="AC160" i="4"/>
  <c r="AE160" i="4"/>
  <c r="M160" i="4"/>
  <c r="K160" i="4"/>
  <c r="J160" i="4"/>
  <c r="AB159" i="4"/>
  <c r="Y159" i="4"/>
  <c r="AD159" i="4"/>
  <c r="W159" i="4"/>
  <c r="S159" i="4"/>
  <c r="AC159" i="4"/>
  <c r="AE159" i="4"/>
  <c r="Q159" i="4"/>
  <c r="O159" i="4"/>
  <c r="N159" i="4"/>
  <c r="K159" i="4"/>
  <c r="J159" i="4"/>
  <c r="AB158" i="4"/>
  <c r="Y158" i="4"/>
  <c r="AD158" i="4"/>
  <c r="W158" i="4"/>
  <c r="S158" i="4"/>
  <c r="AC158" i="4"/>
  <c r="AE158" i="4"/>
  <c r="Q158" i="4"/>
  <c r="O158" i="4"/>
  <c r="N158" i="4"/>
  <c r="K158" i="4"/>
  <c r="J158" i="4"/>
  <c r="AB157" i="4"/>
  <c r="Y157" i="4"/>
  <c r="AA157" i="4"/>
  <c r="W157" i="4"/>
  <c r="S157" i="4"/>
  <c r="AC157" i="4"/>
  <c r="AE157" i="4"/>
  <c r="Q157" i="4"/>
  <c r="O157" i="4"/>
  <c r="N157" i="4"/>
  <c r="K157" i="4"/>
  <c r="J157" i="4"/>
  <c r="AB156" i="4"/>
  <c r="Y156" i="4"/>
  <c r="AA156" i="4"/>
  <c r="W156" i="4"/>
  <c r="S156" i="4"/>
  <c r="AC156" i="4"/>
  <c r="AE156" i="4"/>
  <c r="Q156" i="4"/>
  <c r="O156" i="4"/>
  <c r="N156" i="4"/>
  <c r="K156" i="4"/>
  <c r="J156" i="4"/>
  <c r="AB155" i="4"/>
  <c r="Y155" i="4"/>
  <c r="AA155" i="4"/>
  <c r="W155" i="4"/>
  <c r="S155" i="4"/>
  <c r="AC155" i="4"/>
  <c r="AE155" i="4"/>
  <c r="Q155" i="4"/>
  <c r="O155" i="4"/>
  <c r="N155" i="4"/>
  <c r="K155" i="4"/>
  <c r="J155" i="4"/>
  <c r="AB154" i="4"/>
  <c r="Y154" i="4"/>
  <c r="AD154" i="4"/>
  <c r="W154" i="4"/>
  <c r="S154" i="4"/>
  <c r="AC154" i="4"/>
  <c r="AE154" i="4"/>
  <c r="Q154" i="4"/>
  <c r="O154" i="4"/>
  <c r="N154" i="4"/>
  <c r="K154" i="4"/>
  <c r="J154" i="4"/>
  <c r="AB153" i="4"/>
  <c r="Y153" i="4"/>
  <c r="AD153" i="4"/>
  <c r="W153" i="4"/>
  <c r="S153" i="4"/>
  <c r="P153" i="4"/>
  <c r="R153" i="4"/>
  <c r="Q153" i="4"/>
  <c r="O153" i="4"/>
  <c r="N153" i="4"/>
  <c r="K153" i="4"/>
  <c r="J153" i="4"/>
  <c r="AB152" i="4"/>
  <c r="Y152" i="4"/>
  <c r="AA152" i="4"/>
  <c r="W152" i="4"/>
  <c r="S152" i="4"/>
  <c r="AC152" i="4"/>
  <c r="AE152" i="4"/>
  <c r="Q152" i="4"/>
  <c r="O152" i="4"/>
  <c r="N152" i="4"/>
  <c r="K152" i="4"/>
  <c r="J152" i="4"/>
  <c r="AB151" i="4"/>
  <c r="Y151" i="4"/>
  <c r="AD151" i="4"/>
  <c r="W151" i="4"/>
  <c r="S151" i="4"/>
  <c r="AC151" i="4"/>
  <c r="AE151" i="4"/>
  <c r="Q151" i="4"/>
  <c r="O151" i="4"/>
  <c r="N151" i="4"/>
  <c r="K151" i="4"/>
  <c r="J151" i="4"/>
  <c r="AB150" i="4"/>
  <c r="Y150" i="4"/>
  <c r="AA150" i="4"/>
  <c r="W150" i="4"/>
  <c r="S150" i="4"/>
  <c r="AC150" i="4"/>
  <c r="AE150" i="4"/>
  <c r="Q150" i="4"/>
  <c r="O150" i="4"/>
  <c r="N150" i="4"/>
  <c r="K150" i="4"/>
  <c r="J150" i="4"/>
  <c r="AB149" i="4"/>
  <c r="Y149" i="4"/>
  <c r="AA149" i="4"/>
  <c r="W149" i="4"/>
  <c r="S149" i="4"/>
  <c r="AC149" i="4"/>
  <c r="AE149" i="4"/>
  <c r="Q149" i="4"/>
  <c r="O149" i="4"/>
  <c r="N149" i="4"/>
  <c r="K149" i="4"/>
  <c r="J149" i="4"/>
  <c r="AB148" i="4"/>
  <c r="Y148" i="4"/>
  <c r="AA148" i="4"/>
  <c r="W148" i="4"/>
  <c r="S148" i="4"/>
  <c r="AC148" i="4"/>
  <c r="M148" i="4"/>
  <c r="N148" i="4"/>
  <c r="K148" i="4"/>
  <c r="J148" i="4"/>
  <c r="AB147" i="4"/>
  <c r="Y147" i="4"/>
  <c r="AD147" i="4"/>
  <c r="W147" i="4"/>
  <c r="S147" i="4"/>
  <c r="AC147" i="4"/>
  <c r="AE147" i="4"/>
  <c r="Q147" i="4"/>
  <c r="O147" i="4"/>
  <c r="N147" i="4"/>
  <c r="K147" i="4"/>
  <c r="J147" i="4"/>
  <c r="AB146" i="4"/>
  <c r="Y146" i="4"/>
  <c r="AD146" i="4"/>
  <c r="W146" i="4"/>
  <c r="S146" i="4"/>
  <c r="AC146" i="4"/>
  <c r="AE146" i="4"/>
  <c r="Q146" i="4"/>
  <c r="O146" i="4"/>
  <c r="N146" i="4"/>
  <c r="K146" i="4"/>
  <c r="J146" i="4"/>
  <c r="AB145" i="4"/>
  <c r="Y145" i="4"/>
  <c r="AD145" i="4"/>
  <c r="W145" i="4"/>
  <c r="S145" i="4"/>
  <c r="AC145" i="4"/>
  <c r="AE145" i="4"/>
  <c r="Q145" i="4"/>
  <c r="O145" i="4"/>
  <c r="N145" i="4"/>
  <c r="K145" i="4"/>
  <c r="J145" i="4"/>
  <c r="AB144" i="4"/>
  <c r="Y144" i="4"/>
  <c r="AD144" i="4"/>
  <c r="W144" i="4"/>
  <c r="S144" i="4"/>
  <c r="AC144" i="4"/>
  <c r="AE144" i="4"/>
  <c r="Q144" i="4"/>
  <c r="O144" i="4"/>
  <c r="N144" i="4"/>
  <c r="K144" i="4"/>
  <c r="J144" i="4"/>
  <c r="AB143" i="4"/>
  <c r="Y143" i="4"/>
  <c r="AD143" i="4"/>
  <c r="W143" i="4"/>
  <c r="S143" i="4"/>
  <c r="AC143" i="4"/>
  <c r="AE143" i="4"/>
  <c r="Q143" i="4"/>
  <c r="O143" i="4"/>
  <c r="N143" i="4"/>
  <c r="K143" i="4"/>
  <c r="J143" i="4"/>
  <c r="AB142" i="4"/>
  <c r="Y142" i="4"/>
  <c r="AD142" i="4"/>
  <c r="W142" i="4"/>
  <c r="S142" i="4"/>
  <c r="P142" i="4"/>
  <c r="R142" i="4"/>
  <c r="Q142" i="4"/>
  <c r="O142" i="4"/>
  <c r="N142" i="4"/>
  <c r="K142" i="4"/>
  <c r="J142" i="4"/>
  <c r="AB141" i="4"/>
  <c r="Y141" i="4"/>
  <c r="AD141" i="4"/>
  <c r="W141" i="4"/>
  <c r="S141" i="4"/>
  <c r="AC141" i="4"/>
  <c r="AE141" i="4"/>
  <c r="Q141" i="4"/>
  <c r="O141" i="4"/>
  <c r="N141" i="4"/>
  <c r="K141" i="4"/>
  <c r="J141" i="4"/>
  <c r="AB140" i="4"/>
  <c r="Y140" i="4"/>
  <c r="AA140" i="4"/>
  <c r="W140" i="4"/>
  <c r="S140" i="4"/>
  <c r="P140" i="4"/>
  <c r="R140" i="4"/>
  <c r="Q140" i="4"/>
  <c r="O140" i="4"/>
  <c r="N140" i="4"/>
  <c r="K140" i="4"/>
  <c r="J140" i="4"/>
  <c r="AB139" i="4"/>
  <c r="Y139" i="4"/>
  <c r="AD139" i="4"/>
  <c r="W139" i="4"/>
  <c r="S139" i="4"/>
  <c r="AC139" i="4"/>
  <c r="AE139" i="4"/>
  <c r="Q139" i="4"/>
  <c r="O139" i="4"/>
  <c r="N139" i="4"/>
  <c r="K139" i="4"/>
  <c r="J139" i="4"/>
  <c r="AB138" i="4"/>
  <c r="Y138" i="4"/>
  <c r="AD138" i="4"/>
  <c r="W138" i="4"/>
  <c r="S138" i="4"/>
  <c r="AC138" i="4"/>
  <c r="AE138" i="4"/>
  <c r="Q138" i="4"/>
  <c r="O138" i="4"/>
  <c r="N138" i="4"/>
  <c r="K138" i="4"/>
  <c r="J138" i="4"/>
  <c r="AB137" i="4"/>
  <c r="Y137" i="4"/>
  <c r="AA137" i="4"/>
  <c r="W137" i="4"/>
  <c r="S137" i="4"/>
  <c r="AC137" i="4"/>
  <c r="AE137" i="4"/>
  <c r="Q137" i="4"/>
  <c r="O137" i="4"/>
  <c r="N137" i="4"/>
  <c r="K137" i="4"/>
  <c r="J137" i="4"/>
  <c r="AB136" i="4"/>
  <c r="Y136" i="4"/>
  <c r="AA136" i="4"/>
  <c r="W136" i="4"/>
  <c r="S136" i="4"/>
  <c r="AC136" i="4"/>
  <c r="M136" i="4"/>
  <c r="N136" i="4"/>
  <c r="K136" i="4"/>
  <c r="J136" i="4"/>
  <c r="AB135" i="4"/>
  <c r="Y135" i="4"/>
  <c r="AD135" i="4"/>
  <c r="W135" i="4"/>
  <c r="S135" i="4"/>
  <c r="AC135" i="4"/>
  <c r="AE135" i="4"/>
  <c r="Q135" i="4"/>
  <c r="O135" i="4"/>
  <c r="N135" i="4"/>
  <c r="K135" i="4"/>
  <c r="J135" i="4"/>
  <c r="AB134" i="4"/>
  <c r="Y134" i="4"/>
  <c r="AD134" i="4"/>
  <c r="W134" i="4"/>
  <c r="S134" i="4"/>
  <c r="P134" i="4"/>
  <c r="R134" i="4"/>
  <c r="Q134" i="4"/>
  <c r="O134" i="4"/>
  <c r="N134" i="4"/>
  <c r="K134" i="4"/>
  <c r="J134" i="4"/>
  <c r="AB133" i="4"/>
  <c r="Y133" i="4"/>
  <c r="AA133" i="4"/>
  <c r="W133" i="4"/>
  <c r="S133" i="4"/>
  <c r="AC133" i="4"/>
  <c r="AE133" i="4"/>
  <c r="Q133" i="4"/>
  <c r="O133" i="4"/>
  <c r="N133" i="4"/>
  <c r="K133" i="4"/>
  <c r="J133" i="4"/>
  <c r="AB132" i="4"/>
  <c r="Y132" i="4"/>
  <c r="AA132" i="4"/>
  <c r="W132" i="4"/>
  <c r="S132" i="4"/>
  <c r="AC132" i="4"/>
  <c r="AE132" i="4"/>
  <c r="Q132" i="4"/>
  <c r="O132" i="4"/>
  <c r="N132" i="4"/>
  <c r="K132" i="4"/>
  <c r="J132" i="4"/>
  <c r="AB131" i="4"/>
  <c r="Y131" i="4"/>
  <c r="AA131" i="4"/>
  <c r="W131" i="4"/>
  <c r="S131" i="4"/>
  <c r="AC131" i="4"/>
  <c r="AE131" i="4"/>
  <c r="Q131" i="4"/>
  <c r="O131" i="4"/>
  <c r="N131" i="4"/>
  <c r="K131" i="4"/>
  <c r="J131" i="4"/>
  <c r="AB130" i="4"/>
  <c r="Y130" i="4"/>
  <c r="AD130" i="4"/>
  <c r="W130" i="4"/>
  <c r="S130" i="4"/>
  <c r="AC130" i="4"/>
  <c r="AE130" i="4"/>
  <c r="Q130" i="4"/>
  <c r="O130" i="4"/>
  <c r="N130" i="4"/>
  <c r="K130" i="4"/>
  <c r="J130" i="4"/>
  <c r="AB129" i="4"/>
  <c r="Y129" i="4"/>
  <c r="AD129" i="4"/>
  <c r="W129" i="4"/>
  <c r="S129" i="4"/>
  <c r="P129" i="4"/>
  <c r="R129" i="4"/>
  <c r="Q129" i="4"/>
  <c r="O129" i="4"/>
  <c r="N129" i="4"/>
  <c r="K129" i="4"/>
  <c r="J129" i="4"/>
  <c r="AB128" i="4"/>
  <c r="Y128" i="4"/>
  <c r="AD128" i="4"/>
  <c r="W128" i="4"/>
  <c r="S128" i="4"/>
  <c r="P128" i="4"/>
  <c r="R128" i="4"/>
  <c r="Q128" i="4"/>
  <c r="O128" i="4"/>
  <c r="N128" i="4"/>
  <c r="K128" i="4"/>
  <c r="J128" i="4"/>
  <c r="AB127" i="4"/>
  <c r="Y127" i="4"/>
  <c r="AD127" i="4"/>
  <c r="W127" i="4"/>
  <c r="S127" i="4"/>
  <c r="AC127" i="4"/>
  <c r="AE127" i="4"/>
  <c r="Q127" i="4"/>
  <c r="O127" i="4"/>
  <c r="N127" i="4"/>
  <c r="K127" i="4"/>
  <c r="J127" i="4"/>
  <c r="AB126" i="4"/>
  <c r="Y126" i="4"/>
  <c r="AA126" i="4"/>
  <c r="W126" i="4"/>
  <c r="S126" i="4"/>
  <c r="AC126" i="4"/>
  <c r="AE126" i="4"/>
  <c r="Q126" i="4"/>
  <c r="O126" i="4"/>
  <c r="N126" i="4"/>
  <c r="K126" i="4"/>
  <c r="J126" i="4"/>
  <c r="AB125" i="4"/>
  <c r="Y125" i="4"/>
  <c r="AD125" i="4"/>
  <c r="W125" i="4"/>
  <c r="S125" i="4"/>
  <c r="AC125" i="4"/>
  <c r="AE125" i="4"/>
  <c r="Q125" i="4"/>
  <c r="O125" i="4"/>
  <c r="N125" i="4"/>
  <c r="K125" i="4"/>
  <c r="J125" i="4"/>
  <c r="AB124" i="4"/>
  <c r="Y124" i="4"/>
  <c r="W124" i="4"/>
  <c r="S124" i="4"/>
  <c r="AC124" i="4"/>
  <c r="AE124" i="4"/>
  <c r="M124" i="4"/>
  <c r="K124" i="4"/>
  <c r="J124" i="4"/>
  <c r="AB123" i="4"/>
  <c r="Y123" i="4"/>
  <c r="AD123" i="4"/>
  <c r="W123" i="4"/>
  <c r="S123" i="4"/>
  <c r="P123" i="4"/>
  <c r="R123" i="4"/>
  <c r="Q123" i="4"/>
  <c r="O123" i="4"/>
  <c r="N123" i="4"/>
  <c r="K123" i="4"/>
  <c r="J123" i="4"/>
  <c r="AB122" i="4"/>
  <c r="Y122" i="4"/>
  <c r="AA122" i="4"/>
  <c r="W122" i="4"/>
  <c r="S122" i="4"/>
  <c r="AC122" i="4"/>
  <c r="AE122" i="4"/>
  <c r="Q122" i="4"/>
  <c r="O122" i="4"/>
  <c r="N122" i="4"/>
  <c r="K122" i="4"/>
  <c r="J122" i="4"/>
  <c r="AB121" i="4"/>
  <c r="Y121" i="4"/>
  <c r="AA121" i="4"/>
  <c r="W121" i="4"/>
  <c r="S121" i="4"/>
  <c r="P121" i="4"/>
  <c r="R121" i="4"/>
  <c r="Q121" i="4"/>
  <c r="O121" i="4"/>
  <c r="N121" i="4"/>
  <c r="K121" i="4"/>
  <c r="J121" i="4"/>
  <c r="AB120" i="4"/>
  <c r="Y120" i="4"/>
  <c r="AA120" i="4"/>
  <c r="W120" i="4"/>
  <c r="S120" i="4"/>
  <c r="P120" i="4"/>
  <c r="R120" i="4"/>
  <c r="Q120" i="4"/>
  <c r="O120" i="4"/>
  <c r="N120" i="4"/>
  <c r="K120" i="4"/>
  <c r="J120" i="4"/>
  <c r="AB119" i="4"/>
  <c r="Y119" i="4"/>
  <c r="AA119" i="4"/>
  <c r="W119" i="4"/>
  <c r="S119" i="4"/>
  <c r="AC119" i="4"/>
  <c r="AE119" i="4"/>
  <c r="Q119" i="4"/>
  <c r="O119" i="4"/>
  <c r="N119" i="4"/>
  <c r="K119" i="4"/>
  <c r="J119" i="4"/>
  <c r="AB118" i="4"/>
  <c r="Y118" i="4"/>
  <c r="AD118" i="4"/>
  <c r="W118" i="4"/>
  <c r="S118" i="4"/>
  <c r="AC118" i="4"/>
  <c r="AE118" i="4"/>
  <c r="Q118" i="4"/>
  <c r="O118" i="4"/>
  <c r="N118" i="4"/>
  <c r="K118" i="4"/>
  <c r="J118" i="4"/>
  <c r="AB117" i="4"/>
  <c r="Y117" i="4"/>
  <c r="AA117" i="4"/>
  <c r="W117" i="4"/>
  <c r="S117" i="4"/>
  <c r="AC117" i="4"/>
  <c r="AE117" i="4"/>
  <c r="Q117" i="4"/>
  <c r="O117" i="4"/>
  <c r="N117" i="4"/>
  <c r="K117" i="4"/>
  <c r="J117" i="4"/>
  <c r="AB116" i="4"/>
  <c r="Y116" i="4"/>
  <c r="AD116" i="4"/>
  <c r="W116" i="4"/>
  <c r="S116" i="4"/>
  <c r="AC116" i="4"/>
  <c r="AE116" i="4"/>
  <c r="Q116" i="4"/>
  <c r="O116" i="4"/>
  <c r="N116" i="4"/>
  <c r="K116" i="4"/>
  <c r="J116" i="4"/>
  <c r="AB115" i="4"/>
  <c r="Y115" i="4"/>
  <c r="AD115" i="4"/>
  <c r="W115" i="4"/>
  <c r="S115" i="4"/>
  <c r="P115" i="4"/>
  <c r="R115" i="4"/>
  <c r="Q115" i="4"/>
  <c r="O115" i="4"/>
  <c r="N115" i="4"/>
  <c r="K115" i="4"/>
  <c r="J115" i="4"/>
  <c r="AB114" i="4"/>
  <c r="Y114" i="4"/>
  <c r="AA114" i="4"/>
  <c r="W114" i="4"/>
  <c r="S114" i="4"/>
  <c r="P114" i="4"/>
  <c r="R114" i="4"/>
  <c r="Q114" i="4"/>
  <c r="O114" i="4"/>
  <c r="N114" i="4"/>
  <c r="K114" i="4"/>
  <c r="J114" i="4"/>
  <c r="AB113" i="4"/>
  <c r="Y113" i="4"/>
  <c r="AD113" i="4"/>
  <c r="W113" i="4"/>
  <c r="S113" i="4"/>
  <c r="AC113" i="4"/>
  <c r="AE113" i="4"/>
  <c r="Q113" i="4"/>
  <c r="O113" i="4"/>
  <c r="N113" i="4"/>
  <c r="K113" i="4"/>
  <c r="J113" i="4"/>
  <c r="Y112" i="4"/>
  <c r="W112" i="4"/>
  <c r="S112" i="4"/>
  <c r="AC112" i="4"/>
  <c r="M112" i="4"/>
  <c r="K112" i="4"/>
  <c r="J112" i="4"/>
  <c r="AB111" i="4"/>
  <c r="Y111" i="4"/>
  <c r="AD111" i="4"/>
  <c r="W111" i="4"/>
  <c r="S111" i="4"/>
  <c r="P111" i="4"/>
  <c r="R111" i="4"/>
  <c r="Q111" i="4"/>
  <c r="O111" i="4"/>
  <c r="N111" i="4"/>
  <c r="K111" i="4"/>
  <c r="J111" i="4"/>
  <c r="AB110" i="4"/>
  <c r="Y110" i="4"/>
  <c r="AD110" i="4"/>
  <c r="W110" i="4"/>
  <c r="S110" i="4"/>
  <c r="AC110" i="4"/>
  <c r="AE110" i="4"/>
  <c r="Q110" i="4"/>
  <c r="O110" i="4"/>
  <c r="N110" i="4"/>
  <c r="K110" i="4"/>
  <c r="J110" i="4"/>
  <c r="AB109" i="4"/>
  <c r="Y109" i="4"/>
  <c r="AD109" i="4"/>
  <c r="W109" i="4"/>
  <c r="S109" i="4"/>
  <c r="AC109" i="4"/>
  <c r="AE109" i="4"/>
  <c r="Q109" i="4"/>
  <c r="O109" i="4"/>
  <c r="N109" i="4"/>
  <c r="K109" i="4"/>
  <c r="J109" i="4"/>
  <c r="AB108" i="4"/>
  <c r="Y108" i="4"/>
  <c r="AD108" i="4"/>
  <c r="W108" i="4"/>
  <c r="S108" i="4"/>
  <c r="AC108" i="4"/>
  <c r="AE108" i="4"/>
  <c r="Q108" i="4"/>
  <c r="O108" i="4"/>
  <c r="N108" i="4"/>
  <c r="K108" i="4"/>
  <c r="J108" i="4"/>
  <c r="AB107" i="4"/>
  <c r="Y107" i="4"/>
  <c r="AA107" i="4"/>
  <c r="W107" i="4"/>
  <c r="S107" i="4"/>
  <c r="P107" i="4"/>
  <c r="R107" i="4"/>
  <c r="Q107" i="4"/>
  <c r="O107" i="4"/>
  <c r="N107" i="4"/>
  <c r="K107" i="4"/>
  <c r="J107" i="4"/>
  <c r="AB106" i="4"/>
  <c r="Y106" i="4"/>
  <c r="AD106" i="4"/>
  <c r="W106" i="4"/>
  <c r="S106" i="4"/>
  <c r="P106" i="4"/>
  <c r="R106" i="4"/>
  <c r="Q106" i="4"/>
  <c r="O106" i="4"/>
  <c r="N106" i="4"/>
  <c r="K106" i="4"/>
  <c r="J106" i="4"/>
  <c r="AB105" i="4"/>
  <c r="Y105" i="4"/>
  <c r="AD105" i="4"/>
  <c r="W105" i="4"/>
  <c r="S105" i="4"/>
  <c r="P105" i="4"/>
  <c r="R105" i="4"/>
  <c r="Q105" i="4"/>
  <c r="O105" i="4"/>
  <c r="N105" i="4"/>
  <c r="K105" i="4"/>
  <c r="J105" i="4"/>
  <c r="AB104" i="4"/>
  <c r="Y104" i="4"/>
  <c r="AA104" i="4"/>
  <c r="W104" i="4"/>
  <c r="S104" i="4"/>
  <c r="P104" i="4"/>
  <c r="R104" i="4"/>
  <c r="Q104" i="4"/>
  <c r="O104" i="4"/>
  <c r="N104" i="4"/>
  <c r="K104" i="4"/>
  <c r="J104" i="4"/>
  <c r="AB103" i="4"/>
  <c r="Y103" i="4"/>
  <c r="AD103" i="4"/>
  <c r="W103" i="4"/>
  <c r="S103" i="4"/>
  <c r="AC103" i="4"/>
  <c r="AE103" i="4"/>
  <c r="Q103" i="4"/>
  <c r="O103" i="4"/>
  <c r="N103" i="4"/>
  <c r="K103" i="4"/>
  <c r="J103" i="4"/>
  <c r="AB102" i="4"/>
  <c r="Y102" i="4"/>
  <c r="AD102" i="4"/>
  <c r="W102" i="4"/>
  <c r="S102" i="4"/>
  <c r="AC102" i="4"/>
  <c r="AE102" i="4"/>
  <c r="Q102" i="4"/>
  <c r="O102" i="4"/>
  <c r="N102" i="4"/>
  <c r="K102" i="4"/>
  <c r="J102" i="4"/>
  <c r="AB101" i="4"/>
  <c r="Y101" i="4"/>
  <c r="AA101" i="4"/>
  <c r="W101" i="4"/>
  <c r="S101" i="4"/>
  <c r="AC101" i="4"/>
  <c r="AE101" i="4"/>
  <c r="Q101" i="4"/>
  <c r="O101" i="4"/>
  <c r="N101" i="4"/>
  <c r="K101" i="4"/>
  <c r="J101" i="4"/>
  <c r="AB100" i="4"/>
  <c r="Y100" i="4"/>
  <c r="AA100" i="4"/>
  <c r="W100" i="4"/>
  <c r="S100" i="4"/>
  <c r="AC100" i="4"/>
  <c r="AE100" i="4"/>
  <c r="M100" i="4"/>
  <c r="N100" i="4"/>
  <c r="K100" i="4"/>
  <c r="J100" i="4"/>
  <c r="AB99" i="4"/>
  <c r="Y99" i="4"/>
  <c r="AD99" i="4"/>
  <c r="W99" i="4"/>
  <c r="S99" i="4"/>
  <c r="P99" i="4"/>
  <c r="R99" i="4"/>
  <c r="Q99" i="4"/>
  <c r="O99" i="4"/>
  <c r="N99" i="4"/>
  <c r="K99" i="4"/>
  <c r="J99" i="4"/>
  <c r="AB98" i="4"/>
  <c r="Y98" i="4"/>
  <c r="AD98" i="4"/>
  <c r="W98" i="4"/>
  <c r="S98" i="4"/>
  <c r="P98" i="4"/>
  <c r="R98" i="4"/>
  <c r="Q98" i="4"/>
  <c r="O98" i="4"/>
  <c r="N98" i="4"/>
  <c r="K98" i="4"/>
  <c r="J98" i="4"/>
  <c r="AB97" i="4"/>
  <c r="Y97" i="4"/>
  <c r="AA97" i="4"/>
  <c r="W97" i="4"/>
  <c r="S97" i="4"/>
  <c r="AC97" i="4"/>
  <c r="AE97" i="4"/>
  <c r="Q97" i="4"/>
  <c r="O97" i="4"/>
  <c r="N97" i="4"/>
  <c r="K97" i="4"/>
  <c r="J97" i="4"/>
  <c r="AB96" i="4"/>
  <c r="Y96" i="4"/>
  <c r="AA96" i="4"/>
  <c r="W96" i="4"/>
  <c r="S96" i="4"/>
  <c r="AC96" i="4"/>
  <c r="AE96" i="4"/>
  <c r="Q96" i="4"/>
  <c r="O96" i="4"/>
  <c r="N96" i="4"/>
  <c r="K96" i="4"/>
  <c r="J96" i="4"/>
  <c r="AB95" i="4"/>
  <c r="Y95" i="4"/>
  <c r="AA95" i="4"/>
  <c r="W95" i="4"/>
  <c r="S95" i="4"/>
  <c r="AC95" i="4"/>
  <c r="AE95" i="4"/>
  <c r="Q95" i="4"/>
  <c r="O95" i="4"/>
  <c r="N95" i="4"/>
  <c r="K95" i="4"/>
  <c r="J95" i="4"/>
  <c r="AB94" i="4"/>
  <c r="Y94" i="4"/>
  <c r="AA94" i="4"/>
  <c r="W94" i="4"/>
  <c r="S94" i="4"/>
  <c r="P94" i="4"/>
  <c r="R94" i="4"/>
  <c r="Q94" i="4"/>
  <c r="O94" i="4"/>
  <c r="N94" i="4"/>
  <c r="K94" i="4"/>
  <c r="J94" i="4"/>
  <c r="AB93" i="4"/>
  <c r="Y93" i="4"/>
  <c r="AD93" i="4"/>
  <c r="W93" i="4"/>
  <c r="S93" i="4"/>
  <c r="AC93" i="4"/>
  <c r="AE93" i="4"/>
  <c r="Q93" i="4"/>
  <c r="O93" i="4"/>
  <c r="N93" i="4"/>
  <c r="K93" i="4"/>
  <c r="J93" i="4"/>
  <c r="AB92" i="4"/>
  <c r="Y92" i="4"/>
  <c r="AD92" i="4"/>
  <c r="W92" i="4"/>
  <c r="S92" i="4"/>
  <c r="P92" i="4"/>
  <c r="R92" i="4"/>
  <c r="Q92" i="4"/>
  <c r="O92" i="4"/>
  <c r="N92" i="4"/>
  <c r="K92" i="4"/>
  <c r="J92" i="4"/>
  <c r="AB91" i="4"/>
  <c r="Y91" i="4"/>
  <c r="AD91" i="4"/>
  <c r="W91" i="4"/>
  <c r="S91" i="4"/>
  <c r="AC91" i="4"/>
  <c r="AE91" i="4"/>
  <c r="Q91" i="4"/>
  <c r="O91" i="4"/>
  <c r="N91" i="4"/>
  <c r="K91" i="4"/>
  <c r="J91" i="4"/>
  <c r="AB90" i="4"/>
  <c r="Y90" i="4"/>
  <c r="AD90" i="4"/>
  <c r="W90" i="4"/>
  <c r="S90" i="4"/>
  <c r="AC90" i="4"/>
  <c r="AE90" i="4"/>
  <c r="Q90" i="4"/>
  <c r="O90" i="4"/>
  <c r="N90" i="4"/>
  <c r="K90" i="4"/>
  <c r="J90" i="4"/>
  <c r="AB89" i="4"/>
  <c r="Y89" i="4"/>
  <c r="AD89" i="4"/>
  <c r="W89" i="4"/>
  <c r="S89" i="4"/>
  <c r="AC89" i="4"/>
  <c r="AE89" i="4"/>
  <c r="Q89" i="4"/>
  <c r="O89" i="4"/>
  <c r="N89" i="4"/>
  <c r="K89" i="4"/>
  <c r="J89" i="4"/>
  <c r="AB88" i="4"/>
  <c r="Y88" i="4"/>
  <c r="W88" i="4"/>
  <c r="S88" i="4"/>
  <c r="AC88" i="4"/>
  <c r="AE88" i="4"/>
  <c r="M88" i="4"/>
  <c r="K88" i="4"/>
  <c r="J88" i="4"/>
  <c r="AB87" i="4"/>
  <c r="Y87" i="4"/>
  <c r="AD87" i="4"/>
  <c r="W87" i="4"/>
  <c r="S87" i="4"/>
  <c r="AC87" i="4"/>
  <c r="AE87" i="4"/>
  <c r="Q87" i="4"/>
  <c r="O87" i="4"/>
  <c r="N87" i="4"/>
  <c r="K87" i="4"/>
  <c r="J87" i="4"/>
  <c r="AB86" i="4"/>
  <c r="Y86" i="4"/>
  <c r="AD86" i="4"/>
  <c r="W86" i="4"/>
  <c r="S86" i="4"/>
  <c r="P86" i="4"/>
  <c r="R86" i="4"/>
  <c r="Q86" i="4"/>
  <c r="O86" i="4"/>
  <c r="N86" i="4"/>
  <c r="K86" i="4"/>
  <c r="J86" i="4"/>
  <c r="AB85" i="4"/>
  <c r="Y85" i="4"/>
  <c r="AD85" i="4"/>
  <c r="W85" i="4"/>
  <c r="S85" i="4"/>
  <c r="AC85" i="4"/>
  <c r="AE85" i="4"/>
  <c r="Q85" i="4"/>
  <c r="O85" i="4"/>
  <c r="N85" i="4"/>
  <c r="K85" i="4"/>
  <c r="J85" i="4"/>
  <c r="AB84" i="4"/>
  <c r="Y84" i="4"/>
  <c r="AA84" i="4"/>
  <c r="W84" i="4"/>
  <c r="S84" i="4"/>
  <c r="AC84" i="4"/>
  <c r="AE84" i="4"/>
  <c r="Q84" i="4"/>
  <c r="O84" i="4"/>
  <c r="N84" i="4"/>
  <c r="K84" i="4"/>
  <c r="J84" i="4"/>
  <c r="AB83" i="4"/>
  <c r="Y83" i="4"/>
  <c r="AA83" i="4"/>
  <c r="W83" i="4"/>
  <c r="S83" i="4"/>
  <c r="P83" i="4"/>
  <c r="R83" i="4"/>
  <c r="Q83" i="4"/>
  <c r="O83" i="4"/>
  <c r="N83" i="4"/>
  <c r="K83" i="4"/>
  <c r="J83" i="4"/>
  <c r="AB82" i="4"/>
  <c r="Y82" i="4"/>
  <c r="AA82" i="4"/>
  <c r="W82" i="4"/>
  <c r="S82" i="4"/>
  <c r="P82" i="4"/>
  <c r="R82" i="4"/>
  <c r="Q82" i="4"/>
  <c r="O82" i="4"/>
  <c r="N82" i="4"/>
  <c r="K82" i="4"/>
  <c r="J82" i="4"/>
  <c r="AB81" i="4"/>
  <c r="Y81" i="4"/>
  <c r="AD81" i="4"/>
  <c r="W81" i="4"/>
  <c r="S81" i="4"/>
  <c r="P81" i="4"/>
  <c r="R81" i="4"/>
  <c r="Q81" i="4"/>
  <c r="O81" i="4"/>
  <c r="N81" i="4"/>
  <c r="K81" i="4"/>
  <c r="J81" i="4"/>
  <c r="AB80" i="4"/>
  <c r="Y80" i="4"/>
  <c r="AD80" i="4"/>
  <c r="W80" i="4"/>
  <c r="S80" i="4"/>
  <c r="AC80" i="4"/>
  <c r="AE80" i="4"/>
  <c r="Q80" i="4"/>
  <c r="O80" i="4"/>
  <c r="N80" i="4"/>
  <c r="K80" i="4"/>
  <c r="J80" i="4"/>
  <c r="AB79" i="4"/>
  <c r="Y79" i="4"/>
  <c r="AD79" i="4"/>
  <c r="W79" i="4"/>
  <c r="S79" i="4"/>
  <c r="AC79" i="4"/>
  <c r="AE79" i="4"/>
  <c r="Q79" i="4"/>
  <c r="O79" i="4"/>
  <c r="N79" i="4"/>
  <c r="K79" i="4"/>
  <c r="J79" i="4"/>
  <c r="AB78" i="4"/>
  <c r="Y78" i="4"/>
  <c r="AD78" i="4"/>
  <c r="W78" i="4"/>
  <c r="S78" i="4"/>
  <c r="P78" i="4"/>
  <c r="R78" i="4"/>
  <c r="Q78" i="4"/>
  <c r="O78" i="4"/>
  <c r="N78" i="4"/>
  <c r="K78" i="4"/>
  <c r="J78" i="4"/>
  <c r="AB77" i="4"/>
  <c r="Y77" i="4"/>
  <c r="AA77" i="4"/>
  <c r="W77" i="4"/>
  <c r="S77" i="4"/>
  <c r="AC77" i="4"/>
  <c r="AE77" i="4"/>
  <c r="Q77" i="4"/>
  <c r="O77" i="4"/>
  <c r="N77" i="4"/>
  <c r="K77" i="4"/>
  <c r="J77" i="4"/>
  <c r="AB76" i="4"/>
  <c r="Y76" i="4"/>
  <c r="W76" i="4"/>
  <c r="S76" i="4"/>
  <c r="AC76" i="4"/>
  <c r="AE76" i="4"/>
  <c r="M76" i="4"/>
  <c r="O76" i="4"/>
  <c r="K76" i="4"/>
  <c r="J76" i="4"/>
  <c r="AB75" i="4"/>
  <c r="Y75" i="4"/>
  <c r="AD75" i="4"/>
  <c r="W75" i="4"/>
  <c r="S75" i="4"/>
  <c r="P75" i="4"/>
  <c r="R75" i="4"/>
  <c r="Q75" i="4"/>
  <c r="O75" i="4"/>
  <c r="N75" i="4"/>
  <c r="K75" i="4"/>
  <c r="J75" i="4"/>
  <c r="AB74" i="4"/>
  <c r="Y74" i="4"/>
  <c r="AD74" i="4"/>
  <c r="W74" i="4"/>
  <c r="S74" i="4"/>
  <c r="AC74" i="4"/>
  <c r="AE74" i="4"/>
  <c r="Q74" i="4"/>
  <c r="O74" i="4"/>
  <c r="N74" i="4"/>
  <c r="K74" i="4"/>
  <c r="J74" i="4"/>
  <c r="AB73" i="4"/>
  <c r="Y73" i="4"/>
  <c r="AD73" i="4"/>
  <c r="W73" i="4"/>
  <c r="S73" i="4"/>
  <c r="AC73" i="4"/>
  <c r="AE73" i="4"/>
  <c r="Q73" i="4"/>
  <c r="O73" i="4"/>
  <c r="N73" i="4"/>
  <c r="K73" i="4"/>
  <c r="J73" i="4"/>
  <c r="AB72" i="4"/>
  <c r="Y72" i="4"/>
  <c r="AA72" i="4"/>
  <c r="W72" i="4"/>
  <c r="S72" i="4"/>
  <c r="P72" i="4"/>
  <c r="R72" i="4"/>
  <c r="Q72" i="4"/>
  <c r="O72" i="4"/>
  <c r="N72" i="4"/>
  <c r="K72" i="4"/>
  <c r="J72" i="4"/>
  <c r="AB71" i="4"/>
  <c r="Y71" i="4"/>
  <c r="AA71" i="4"/>
  <c r="W71" i="4"/>
  <c r="S71" i="4"/>
  <c r="AC71" i="4"/>
  <c r="AE71" i="4"/>
  <c r="Q71" i="4"/>
  <c r="O71" i="4"/>
  <c r="N71" i="4"/>
  <c r="K71" i="4"/>
  <c r="J71" i="4"/>
  <c r="AB70" i="4"/>
  <c r="Y70" i="4"/>
  <c r="AA70" i="4"/>
  <c r="W70" i="4"/>
  <c r="S70" i="4"/>
  <c r="AC70" i="4"/>
  <c r="AE70" i="4"/>
  <c r="Q70" i="4"/>
  <c r="O70" i="4"/>
  <c r="N70" i="4"/>
  <c r="K70" i="4"/>
  <c r="J70" i="4"/>
  <c r="AB69" i="4"/>
  <c r="Y69" i="4"/>
  <c r="AD69" i="4"/>
  <c r="W69" i="4"/>
  <c r="S69" i="4"/>
  <c r="AC69" i="4"/>
  <c r="AE69" i="4"/>
  <c r="Q69" i="4"/>
  <c r="O69" i="4"/>
  <c r="N69" i="4"/>
  <c r="K69" i="4"/>
  <c r="J69" i="4"/>
  <c r="AB68" i="4"/>
  <c r="Y68" i="4"/>
  <c r="AD68" i="4"/>
  <c r="W68" i="4"/>
  <c r="S68" i="4"/>
  <c r="P68" i="4"/>
  <c r="R68" i="4"/>
  <c r="Q68" i="4"/>
  <c r="O68" i="4"/>
  <c r="N68" i="4"/>
  <c r="K68" i="4"/>
  <c r="J68" i="4"/>
  <c r="AB67" i="4"/>
  <c r="Y67" i="4"/>
  <c r="AA67" i="4"/>
  <c r="W67" i="4"/>
  <c r="S67" i="4"/>
  <c r="AC67" i="4"/>
  <c r="AE67" i="4"/>
  <c r="Q67" i="4"/>
  <c r="O67" i="4"/>
  <c r="N67" i="4"/>
  <c r="K67" i="4"/>
  <c r="J67" i="4"/>
  <c r="AB66" i="4"/>
  <c r="Y66" i="4"/>
  <c r="AD66" i="4"/>
  <c r="W66" i="4"/>
  <c r="S66" i="4"/>
  <c r="AC66" i="4"/>
  <c r="AE66" i="4"/>
  <c r="Q66" i="4"/>
  <c r="O66" i="4"/>
  <c r="N66" i="4"/>
  <c r="K66" i="4"/>
  <c r="J66" i="4"/>
  <c r="AB65" i="4"/>
  <c r="Y65" i="4"/>
  <c r="AD65" i="4"/>
  <c r="W65" i="4"/>
  <c r="S65" i="4"/>
  <c r="AC65" i="4"/>
  <c r="AE65" i="4"/>
  <c r="Q65" i="4"/>
  <c r="O65" i="4"/>
  <c r="N65" i="4"/>
  <c r="K65" i="4"/>
  <c r="J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Y64" i="4"/>
  <c r="AA64" i="4"/>
  <c r="Y63" i="4"/>
  <c r="AD63" i="4"/>
  <c r="Y62" i="4"/>
  <c r="AD62" i="4"/>
  <c r="Y61" i="4"/>
  <c r="AD61" i="4"/>
  <c r="Y60" i="4"/>
  <c r="AD60" i="4"/>
  <c r="Y59" i="4"/>
  <c r="AD59" i="4"/>
  <c r="Y58" i="4"/>
  <c r="AD58" i="4"/>
  <c r="Y57" i="4"/>
  <c r="AD57" i="4"/>
  <c r="Y56" i="4"/>
  <c r="AD56" i="4"/>
  <c r="Y55" i="4"/>
  <c r="AD55" i="4"/>
  <c r="Y54" i="4"/>
  <c r="AD54" i="4"/>
  <c r="Y53" i="4"/>
  <c r="AD53" i="4"/>
  <c r="W64" i="4"/>
  <c r="W63" i="4"/>
  <c r="W62" i="4"/>
  <c r="W61" i="4"/>
  <c r="W60" i="4"/>
  <c r="W59" i="4"/>
  <c r="W58" i="4"/>
  <c r="W57" i="4"/>
  <c r="W56" i="4"/>
  <c r="W55" i="4"/>
  <c r="W54" i="4"/>
  <c r="W53" i="4"/>
  <c r="Y52" i="4"/>
  <c r="AA52" i="4"/>
  <c r="Y51" i="4"/>
  <c r="AA51" i="4"/>
  <c r="Y50" i="4"/>
  <c r="AA50" i="4"/>
  <c r="Y49" i="4"/>
  <c r="AD49" i="4"/>
  <c r="Y48" i="4"/>
  <c r="AA48" i="4"/>
  <c r="Y47" i="4"/>
  <c r="AD47" i="4"/>
  <c r="Y46" i="4"/>
  <c r="AD46" i="4"/>
  <c r="Y45" i="4"/>
  <c r="AA45" i="4"/>
  <c r="Y44" i="4"/>
  <c r="AD44" i="4"/>
  <c r="Y43" i="4"/>
  <c r="AA43" i="4"/>
  <c r="Y42" i="4"/>
  <c r="AA42" i="4"/>
  <c r="Y41" i="4"/>
  <c r="AD41" i="4"/>
  <c r="Y40" i="4"/>
  <c r="Y39" i="4"/>
  <c r="AD39" i="4"/>
  <c r="Y38" i="4"/>
  <c r="AD38" i="4"/>
  <c r="Y37" i="4"/>
  <c r="AA37" i="4"/>
  <c r="Y36" i="4"/>
  <c r="AD36" i="4"/>
  <c r="Y35" i="4"/>
  <c r="AA35" i="4"/>
  <c r="Y34" i="4"/>
  <c r="AA34" i="4"/>
  <c r="Y33" i="4"/>
  <c r="AD33" i="4"/>
  <c r="Y32" i="4"/>
  <c r="AA32" i="4"/>
  <c r="Y31" i="4"/>
  <c r="AD31" i="4"/>
  <c r="Y30" i="4"/>
  <c r="AD30" i="4"/>
  <c r="Y29" i="4"/>
  <c r="AA29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M64" i="4"/>
  <c r="O64" i="4"/>
  <c r="S64" i="4"/>
  <c r="AC64" i="4"/>
  <c r="AE64" i="4"/>
  <c r="K64" i="4"/>
  <c r="J64" i="4"/>
  <c r="S63" i="4"/>
  <c r="P63" i="4"/>
  <c r="R63" i="4"/>
  <c r="Q63" i="4"/>
  <c r="O63" i="4"/>
  <c r="N63" i="4"/>
  <c r="K63" i="4"/>
  <c r="J63" i="4"/>
  <c r="S62" i="4"/>
  <c r="P62" i="4"/>
  <c r="R62" i="4"/>
  <c r="Q62" i="4"/>
  <c r="O62" i="4"/>
  <c r="N62" i="4"/>
  <c r="K62" i="4"/>
  <c r="J62" i="4"/>
  <c r="S61" i="4"/>
  <c r="P61" i="4"/>
  <c r="R61" i="4"/>
  <c r="Q61" i="4"/>
  <c r="O61" i="4"/>
  <c r="N61" i="4"/>
  <c r="K61" i="4"/>
  <c r="J61" i="4"/>
  <c r="S60" i="4"/>
  <c r="P60" i="4"/>
  <c r="R60" i="4"/>
  <c r="Q60" i="4"/>
  <c r="O60" i="4"/>
  <c r="N60" i="4"/>
  <c r="K60" i="4"/>
  <c r="J60" i="4"/>
  <c r="S59" i="4"/>
  <c r="P59" i="4"/>
  <c r="R59" i="4"/>
  <c r="Q59" i="4"/>
  <c r="O59" i="4"/>
  <c r="N59" i="4"/>
  <c r="K59" i="4"/>
  <c r="J59" i="4"/>
  <c r="S58" i="4"/>
  <c r="AC58" i="4"/>
  <c r="AE58" i="4"/>
  <c r="Q58" i="4"/>
  <c r="O58" i="4"/>
  <c r="N58" i="4"/>
  <c r="K58" i="4"/>
  <c r="J58" i="4"/>
  <c r="S57" i="4"/>
  <c r="P57" i="4"/>
  <c r="R57" i="4"/>
  <c r="Q57" i="4"/>
  <c r="O57" i="4"/>
  <c r="N57" i="4"/>
  <c r="K57" i="4"/>
  <c r="J57" i="4"/>
  <c r="S56" i="4"/>
  <c r="P56" i="4"/>
  <c r="R56" i="4"/>
  <c r="Q56" i="4"/>
  <c r="O56" i="4"/>
  <c r="N56" i="4"/>
  <c r="K56" i="4"/>
  <c r="J56" i="4"/>
  <c r="S55" i="4"/>
  <c r="P55" i="4"/>
  <c r="R55" i="4"/>
  <c r="Q55" i="4"/>
  <c r="O55" i="4"/>
  <c r="N55" i="4"/>
  <c r="K55" i="4"/>
  <c r="J55" i="4"/>
  <c r="S54" i="4"/>
  <c r="AC54" i="4"/>
  <c r="AE54" i="4"/>
  <c r="Q54" i="4"/>
  <c r="O54" i="4"/>
  <c r="N54" i="4"/>
  <c r="K54" i="4"/>
  <c r="J54" i="4"/>
  <c r="S53" i="4"/>
  <c r="P53" i="4"/>
  <c r="R53" i="4"/>
  <c r="Q53" i="4"/>
  <c r="O53" i="4"/>
  <c r="N53" i="4"/>
  <c r="K53" i="4"/>
  <c r="J53" i="4"/>
  <c r="S52" i="4"/>
  <c r="AC52" i="4"/>
  <c r="AE52" i="4"/>
  <c r="S51" i="4"/>
  <c r="Q51" i="4"/>
  <c r="O51" i="4"/>
  <c r="N51" i="4"/>
  <c r="S50" i="4"/>
  <c r="AC50" i="4"/>
  <c r="AE50" i="4"/>
  <c r="Q50" i="4"/>
  <c r="O50" i="4"/>
  <c r="N50" i="4"/>
  <c r="S49" i="4"/>
  <c r="P49" i="4"/>
  <c r="R49" i="4"/>
  <c r="Q49" i="4"/>
  <c r="O49" i="4"/>
  <c r="N49" i="4"/>
  <c r="S48" i="4"/>
  <c r="AC48" i="4"/>
  <c r="AE48" i="4"/>
  <c r="Q48" i="4"/>
  <c r="O48" i="4"/>
  <c r="N48" i="4"/>
  <c r="S47" i="4"/>
  <c r="Q47" i="4"/>
  <c r="O47" i="4"/>
  <c r="N47" i="4"/>
  <c r="S46" i="4"/>
  <c r="AC46" i="4"/>
  <c r="AE46" i="4"/>
  <c r="Q46" i="4"/>
  <c r="O46" i="4"/>
  <c r="N46" i="4"/>
  <c r="S45" i="4"/>
  <c r="AC45" i="4"/>
  <c r="AE45" i="4"/>
  <c r="Q45" i="4"/>
  <c r="O45" i="4"/>
  <c r="N45" i="4"/>
  <c r="S44" i="4"/>
  <c r="P44" i="4"/>
  <c r="R44" i="4"/>
  <c r="Q44" i="4"/>
  <c r="O44" i="4"/>
  <c r="N44" i="4"/>
  <c r="S43" i="4"/>
  <c r="Q43" i="4"/>
  <c r="O43" i="4"/>
  <c r="N43" i="4"/>
  <c r="S42" i="4"/>
  <c r="AC42" i="4"/>
  <c r="AE42" i="4"/>
  <c r="Q42" i="4"/>
  <c r="O42" i="4"/>
  <c r="N42" i="4"/>
  <c r="S41" i="4"/>
  <c r="P41" i="4"/>
  <c r="R41" i="4"/>
  <c r="Q41" i="4"/>
  <c r="O41" i="4"/>
  <c r="N41" i="4"/>
  <c r="S40" i="4"/>
  <c r="AC40" i="4"/>
  <c r="AE40" i="4"/>
  <c r="S39" i="4"/>
  <c r="AC39" i="4"/>
  <c r="AE39" i="4"/>
  <c r="Q39" i="4"/>
  <c r="O39" i="4"/>
  <c r="N39" i="4"/>
  <c r="S38" i="4"/>
  <c r="P38" i="4"/>
  <c r="R38" i="4"/>
  <c r="Q38" i="4"/>
  <c r="O38" i="4"/>
  <c r="N38" i="4"/>
  <c r="S37" i="4"/>
  <c r="AC37" i="4"/>
  <c r="AE37" i="4"/>
  <c r="Q37" i="4"/>
  <c r="O37" i="4"/>
  <c r="N37" i="4"/>
  <c r="S36" i="4"/>
  <c r="Q36" i="4"/>
  <c r="O36" i="4"/>
  <c r="N36" i="4"/>
  <c r="S35" i="4"/>
  <c r="AC35" i="4"/>
  <c r="AE35" i="4"/>
  <c r="Q35" i="4"/>
  <c r="O35" i="4"/>
  <c r="N35" i="4"/>
  <c r="S34" i="4"/>
  <c r="AC34" i="4"/>
  <c r="AE34" i="4"/>
  <c r="Q34" i="4"/>
  <c r="O34" i="4"/>
  <c r="N34" i="4"/>
  <c r="S33" i="4"/>
  <c r="P33" i="4"/>
  <c r="R33" i="4"/>
  <c r="Q33" i="4"/>
  <c r="O33" i="4"/>
  <c r="N33" i="4"/>
  <c r="S32" i="4"/>
  <c r="Q32" i="4"/>
  <c r="O32" i="4"/>
  <c r="N32" i="4"/>
  <c r="S31" i="4"/>
  <c r="AC31" i="4"/>
  <c r="AE31" i="4"/>
  <c r="Q31" i="4"/>
  <c r="O31" i="4"/>
  <c r="N31" i="4"/>
  <c r="S30" i="4"/>
  <c r="P30" i="4"/>
  <c r="R30" i="4"/>
  <c r="Q30" i="4"/>
  <c r="O30" i="4"/>
  <c r="N30" i="4"/>
  <c r="S29" i="4"/>
  <c r="AC29" i="4"/>
  <c r="AE29" i="4"/>
  <c r="Q29" i="4"/>
  <c r="O29" i="4"/>
  <c r="N29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M52" i="4"/>
  <c r="M40" i="4"/>
  <c r="P126" i="4"/>
  <c r="R126" i="4"/>
  <c r="AA124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AE7" i="1"/>
  <c r="AD7" i="1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Z28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Z16" i="4"/>
  <c r="AB16" i="4"/>
  <c r="AB15" i="4"/>
  <c r="AB14" i="4"/>
  <c r="AB13" i="4"/>
  <c r="AB12" i="4"/>
  <c r="AB11" i="4"/>
  <c r="AB10" i="4"/>
  <c r="AB9" i="4"/>
  <c r="AB8" i="4"/>
  <c r="AB7" i="4"/>
  <c r="AB6" i="4"/>
  <c r="AB5" i="4"/>
  <c r="Y28" i="4"/>
  <c r="Y27" i="4"/>
  <c r="AD27" i="4"/>
  <c r="Y26" i="4"/>
  <c r="AD26" i="4"/>
  <c r="Y25" i="4"/>
  <c r="AD25" i="4"/>
  <c r="Y24" i="4"/>
  <c r="AD24" i="4"/>
  <c r="Y23" i="4"/>
  <c r="AD23" i="4"/>
  <c r="Y22" i="4"/>
  <c r="AD22" i="4"/>
  <c r="Y21" i="4"/>
  <c r="AD21" i="4"/>
  <c r="Y20" i="4"/>
  <c r="AD20" i="4"/>
  <c r="Y19" i="4"/>
  <c r="AA19" i="4"/>
  <c r="Y18" i="4"/>
  <c r="AD18" i="4"/>
  <c r="Y17" i="4"/>
  <c r="AA17" i="4"/>
  <c r="Y16" i="4"/>
  <c r="Y15" i="4"/>
  <c r="AD15" i="4"/>
  <c r="Y14" i="4"/>
  <c r="AD14" i="4"/>
  <c r="Y13" i="4"/>
  <c r="AD13" i="4"/>
  <c r="Y12" i="4"/>
  <c r="AD12" i="4"/>
  <c r="Y11" i="4"/>
  <c r="AD11" i="4"/>
  <c r="Y10" i="4"/>
  <c r="AA10" i="4"/>
  <c r="Y9" i="4"/>
  <c r="AD9" i="4"/>
  <c r="Y8" i="4"/>
  <c r="AA8" i="4"/>
  <c r="Y7" i="4"/>
  <c r="AD7" i="4"/>
  <c r="Y6" i="4"/>
  <c r="AD6" i="4"/>
  <c r="Y5" i="4"/>
  <c r="AD5" i="4"/>
  <c r="AE6" i="1"/>
  <c r="F11" i="6"/>
  <c r="G11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0" i="6"/>
  <c r="G10" i="6" s="1"/>
  <c r="F9" i="6"/>
  <c r="G9" i="6" s="1"/>
  <c r="F8" i="6"/>
  <c r="E5" i="6"/>
  <c r="R15" i="4"/>
  <c r="O27" i="4"/>
  <c r="O26" i="4"/>
  <c r="O25" i="4"/>
  <c r="O24" i="4"/>
  <c r="O23" i="4"/>
  <c r="O22" i="4"/>
  <c r="O21" i="4"/>
  <c r="O20" i="4"/>
  <c r="O19" i="4"/>
  <c r="O18" i="4"/>
  <c r="O17" i="4"/>
  <c r="O15" i="4"/>
  <c r="O14" i="4"/>
  <c r="O13" i="4"/>
  <c r="O12" i="4"/>
  <c r="O11" i="4"/>
  <c r="O10" i="4"/>
  <c r="O9" i="4"/>
  <c r="O8" i="4"/>
  <c r="O7" i="4"/>
  <c r="O6" i="4"/>
  <c r="O5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S28" i="4"/>
  <c r="S27" i="4"/>
  <c r="AC27" i="4"/>
  <c r="AE27" i="4"/>
  <c r="S26" i="4"/>
  <c r="P26" i="4"/>
  <c r="R26" i="4"/>
  <c r="S25" i="4"/>
  <c r="P25" i="4"/>
  <c r="R25" i="4"/>
  <c r="S24" i="4"/>
  <c r="S23" i="4"/>
  <c r="AC23" i="4"/>
  <c r="AE23" i="4"/>
  <c r="S22" i="4"/>
  <c r="P22" i="4"/>
  <c r="R22" i="4"/>
  <c r="S21" i="4"/>
  <c r="P21" i="4"/>
  <c r="R21" i="4"/>
  <c r="S20" i="4"/>
  <c r="P20" i="4"/>
  <c r="R20" i="4"/>
  <c r="S19" i="4"/>
  <c r="AC19" i="4"/>
  <c r="AE19" i="4"/>
  <c r="S18" i="4"/>
  <c r="P18" i="4"/>
  <c r="R18" i="4"/>
  <c r="S17" i="4"/>
  <c r="P17" i="4"/>
  <c r="R17" i="4"/>
  <c r="S16" i="4"/>
  <c r="S15" i="4"/>
  <c r="AC15" i="4"/>
  <c r="AE15" i="4"/>
  <c r="S14" i="4"/>
  <c r="P14" i="4"/>
  <c r="R14" i="4"/>
  <c r="S13" i="4"/>
  <c r="AC13" i="4"/>
  <c r="AE13" i="4"/>
  <c r="S12" i="4"/>
  <c r="P12" i="4"/>
  <c r="R12" i="4"/>
  <c r="S11" i="4"/>
  <c r="P11" i="4"/>
  <c r="R11" i="4"/>
  <c r="S10" i="4"/>
  <c r="S9" i="4"/>
  <c r="P9" i="4"/>
  <c r="R9" i="4"/>
  <c r="S8" i="4"/>
  <c r="P8" i="4"/>
  <c r="R8" i="4"/>
  <c r="S7" i="4"/>
  <c r="P7" i="4"/>
  <c r="R7" i="4"/>
  <c r="S6" i="4"/>
  <c r="P6" i="4"/>
  <c r="R6" i="4"/>
  <c r="S5" i="4"/>
  <c r="AC5" i="4"/>
  <c r="AE5" i="4"/>
  <c r="Q27" i="4"/>
  <c r="Q26" i="4"/>
  <c r="Q25" i="4"/>
  <c r="Q24" i="4"/>
  <c r="Q23" i="4"/>
  <c r="Q22" i="4"/>
  <c r="Q21" i="4"/>
  <c r="Q20" i="4"/>
  <c r="Q19" i="4"/>
  <c r="Q18" i="4"/>
  <c r="Q17" i="4"/>
  <c r="Q15" i="4"/>
  <c r="Q14" i="4"/>
  <c r="Q13" i="4"/>
  <c r="Q12" i="4"/>
  <c r="Q11" i="4"/>
  <c r="Q10" i="4"/>
  <c r="Q9" i="4"/>
  <c r="Q8" i="4"/>
  <c r="Q7" i="4"/>
  <c r="Q6" i="4"/>
  <c r="Q5" i="4"/>
  <c r="N27" i="4"/>
  <c r="N26" i="4"/>
  <c r="N25" i="4"/>
  <c r="N24" i="4"/>
  <c r="N23" i="4"/>
  <c r="N22" i="4"/>
  <c r="N21" i="4"/>
  <c r="N20" i="4"/>
  <c r="N19" i="4"/>
  <c r="N18" i="4"/>
  <c r="N17" i="4"/>
  <c r="N15" i="4"/>
  <c r="N14" i="4"/>
  <c r="N13" i="4"/>
  <c r="N12" i="4"/>
  <c r="N11" i="4"/>
  <c r="N10" i="4"/>
  <c r="N9" i="4"/>
  <c r="N8" i="4"/>
  <c r="N7" i="4"/>
  <c r="N6" i="4"/>
  <c r="N5" i="4"/>
  <c r="M28" i="4"/>
  <c r="N28" i="4"/>
  <c r="M16" i="4"/>
  <c r="X4" i="3"/>
  <c r="X6" i="3"/>
  <c r="X8" i="3"/>
  <c r="X10" i="3"/>
  <c r="X12" i="3"/>
  <c r="X14" i="3"/>
  <c r="X16" i="3"/>
  <c r="X18" i="3"/>
  <c r="X20" i="3"/>
  <c r="X22" i="3"/>
  <c r="X24" i="3"/>
  <c r="X26" i="3"/>
  <c r="X28" i="3"/>
  <c r="X30" i="3"/>
  <c r="X32" i="3"/>
  <c r="X34" i="3"/>
  <c r="X36" i="3"/>
  <c r="AD12" i="5"/>
  <c r="AC404" i="9"/>
  <c r="AE404" i="9" s="1"/>
  <c r="AA264" i="9"/>
  <c r="AD313" i="9"/>
  <c r="AD303" i="9"/>
  <c r="P287" i="9"/>
  <c r="R287" i="9" s="1"/>
  <c r="Z74" i="10"/>
  <c r="AA406" i="9"/>
  <c r="AC405" i="9"/>
  <c r="AE405" i="9" s="1"/>
  <c r="AC86" i="4"/>
  <c r="AE86" i="4"/>
  <c r="AC143" i="9"/>
  <c r="AE143" i="9" s="1"/>
  <c r="AC249" i="9"/>
  <c r="AE249" i="9" s="1"/>
  <c r="P11" i="5"/>
  <c r="R11" i="5"/>
  <c r="Y73" i="10"/>
  <c r="AB75" i="10"/>
  <c r="AC75" i="10"/>
  <c r="AA75" i="10"/>
  <c r="AB76" i="10"/>
  <c r="AC76" i="10"/>
  <c r="AA76" i="10"/>
  <c r="AB73" i="10"/>
  <c r="AC73" i="10"/>
  <c r="AA73" i="10"/>
  <c r="AA72" i="10"/>
  <c r="AB72" i="10"/>
  <c r="AC72" i="10"/>
  <c r="AB77" i="10"/>
  <c r="AC77" i="10"/>
  <c r="AA77" i="10"/>
  <c r="AB69" i="10"/>
  <c r="AC69" i="10"/>
  <c r="AA69" i="10"/>
  <c r="AB71" i="10"/>
  <c r="AC71" i="10"/>
  <c r="AA71" i="10"/>
  <c r="AB70" i="10"/>
  <c r="AC70" i="10"/>
  <c r="AA70" i="10"/>
  <c r="AB68" i="10"/>
  <c r="AC68" i="10"/>
  <c r="AA68" i="10"/>
  <c r="AB74" i="10"/>
  <c r="AC74" i="10"/>
  <c r="AA74" i="10"/>
  <c r="AB78" i="10"/>
  <c r="AC78" i="10"/>
  <c r="AA78" i="10"/>
  <c r="AD305" i="9"/>
  <c r="AD351" i="9"/>
  <c r="AD361" i="9"/>
  <c r="AC257" i="9"/>
  <c r="AE257" i="9" s="1"/>
  <c r="AC335" i="9"/>
  <c r="AE335" i="9" s="1"/>
  <c r="AC396" i="9"/>
  <c r="AE396" i="9" s="1"/>
  <c r="AD257" i="9"/>
  <c r="AD275" i="9"/>
  <c r="AD215" i="9"/>
  <c r="P409" i="9"/>
  <c r="R409" i="9" s="1"/>
  <c r="P355" i="9"/>
  <c r="R355" i="9" s="1"/>
  <c r="P363" i="9"/>
  <c r="R363" i="9" s="1"/>
  <c r="AA112" i="4"/>
  <c r="AC344" i="4"/>
  <c r="AE344" i="4"/>
  <c r="N328" i="9"/>
  <c r="O328" i="9"/>
  <c r="P317" i="9"/>
  <c r="R317" i="9" s="1"/>
  <c r="P325" i="9"/>
  <c r="R325" i="9" s="1"/>
  <c r="P85" i="4"/>
  <c r="R85" i="4"/>
  <c r="AD288" i="4"/>
  <c r="AD337" i="4"/>
  <c r="P146" i="4"/>
  <c r="R146" i="4"/>
  <c r="AA365" i="4"/>
  <c r="AD312" i="4"/>
  <c r="AC115" i="4"/>
  <c r="AE115" i="4"/>
  <c r="AD192" i="4"/>
  <c r="P307" i="9"/>
  <c r="R307" i="9" s="1"/>
  <c r="P315" i="9"/>
  <c r="R315" i="9" s="1"/>
  <c r="P297" i="9"/>
  <c r="R297" i="9" s="1"/>
  <c r="P305" i="9"/>
  <c r="R305" i="9" s="1"/>
  <c r="AA285" i="9"/>
  <c r="N280" i="9"/>
  <c r="O280" i="9"/>
  <c r="P277" i="9"/>
  <c r="R277" i="9" s="1"/>
  <c r="P259" i="9"/>
  <c r="R259" i="9" s="1"/>
  <c r="P267" i="9"/>
  <c r="R267" i="9" s="1"/>
  <c r="AA247" i="9"/>
  <c r="AA255" i="9"/>
  <c r="P255" i="9"/>
  <c r="R255" i="9" s="1"/>
  <c r="P239" i="4"/>
  <c r="R239" i="4"/>
  <c r="AC359" i="4"/>
  <c r="AE359" i="4"/>
  <c r="AA283" i="4"/>
  <c r="P70" i="4"/>
  <c r="R70" i="4"/>
  <c r="AD329" i="4"/>
  <c r="P40" i="4"/>
  <c r="Q40" i="4"/>
  <c r="AD388" i="4"/>
  <c r="AA356" i="4"/>
  <c r="AA370" i="4"/>
  <c r="P103" i="4"/>
  <c r="R103" i="4"/>
  <c r="P240" i="4"/>
  <c r="R240" i="4"/>
  <c r="AD286" i="4"/>
  <c r="AD383" i="4"/>
  <c r="AD358" i="4"/>
  <c r="P369" i="4"/>
  <c r="R369" i="4"/>
  <c r="P383" i="4"/>
  <c r="R383" i="4"/>
  <c r="P29" i="4"/>
  <c r="R29" i="4"/>
  <c r="AC248" i="4"/>
  <c r="AE248" i="4"/>
  <c r="AD265" i="4"/>
  <c r="AD323" i="4"/>
  <c r="AD204" i="4"/>
  <c r="AA334" i="4"/>
  <c r="P308" i="4"/>
  <c r="R308" i="4"/>
  <c r="AC310" i="4"/>
  <c r="AE310" i="4"/>
  <c r="AA378" i="4"/>
  <c r="AA236" i="4"/>
  <c r="AA275" i="4"/>
  <c r="AD359" i="4"/>
  <c r="P364" i="4"/>
  <c r="R364" i="4"/>
  <c r="AD377" i="4"/>
  <c r="AD324" i="4"/>
  <c r="AD348" i="4"/>
  <c r="P135" i="4"/>
  <c r="R135" i="4"/>
  <c r="AC11" i="4"/>
  <c r="AE11" i="4"/>
  <c r="AC61" i="4"/>
  <c r="AE61" i="4"/>
  <c r="P137" i="4"/>
  <c r="R137" i="4"/>
  <c r="AA223" i="4"/>
  <c r="AD229" i="4"/>
  <c r="AA238" i="4"/>
  <c r="AA308" i="4"/>
  <c r="AD341" i="4"/>
  <c r="P348" i="4"/>
  <c r="R348" i="4"/>
  <c r="AD349" i="4"/>
  <c r="AD361" i="4"/>
  <c r="AD372" i="4"/>
  <c r="AC8" i="4"/>
  <c r="AE8" i="4"/>
  <c r="P89" i="4"/>
  <c r="R89" i="4"/>
  <c r="P220" i="4"/>
  <c r="R220" i="4"/>
  <c r="AD252" i="4"/>
  <c r="P320" i="4"/>
  <c r="R320" i="4"/>
  <c r="AA322" i="4"/>
  <c r="AC346" i="4"/>
  <c r="AE346" i="4"/>
  <c r="P148" i="4"/>
  <c r="R148" i="4"/>
  <c r="AC216" i="4"/>
  <c r="AE216" i="4"/>
  <c r="AC277" i="4"/>
  <c r="AE277" i="4"/>
  <c r="AD346" i="4"/>
  <c r="P372" i="4"/>
  <c r="R372" i="4"/>
  <c r="AD373" i="4"/>
  <c r="O148" i="4"/>
  <c r="AD216" i="4"/>
  <c r="P321" i="4"/>
  <c r="R321" i="4"/>
  <c r="AD353" i="4"/>
  <c r="AA382" i="4"/>
  <c r="AA326" i="4"/>
  <c r="AA212" i="4"/>
  <c r="P228" i="4"/>
  <c r="R228" i="4"/>
  <c r="AD241" i="4"/>
  <c r="AA269" i="4"/>
  <c r="AA320" i="4"/>
  <c r="P334" i="4"/>
  <c r="R334" i="4"/>
  <c r="AA335" i="4"/>
  <c r="AD338" i="4"/>
  <c r="AA368" i="4"/>
  <c r="AC380" i="4"/>
  <c r="AE380" i="4"/>
  <c r="P382" i="4"/>
  <c r="R382" i="4"/>
  <c r="AA332" i="4"/>
  <c r="AA344" i="4"/>
  <c r="AC16" i="4"/>
  <c r="AE16" i="4"/>
  <c r="AD262" i="4"/>
  <c r="AA274" i="4"/>
  <c r="P288" i="4"/>
  <c r="R288" i="4"/>
  <c r="AD289" i="4"/>
  <c r="AD311" i="4"/>
  <c r="AC347" i="4"/>
  <c r="AE347" i="4"/>
  <c r="AA360" i="4"/>
  <c r="AC362" i="4"/>
  <c r="AE362" i="4"/>
  <c r="AC371" i="4"/>
  <c r="AE371" i="4"/>
  <c r="AC384" i="4"/>
  <c r="AE384" i="4"/>
  <c r="P388" i="4"/>
  <c r="R388" i="4"/>
  <c r="P73" i="4"/>
  <c r="R73" i="4"/>
  <c r="P101" i="4"/>
  <c r="R101" i="4"/>
  <c r="AA190" i="4"/>
  <c r="P237" i="4"/>
  <c r="R237" i="4"/>
  <c r="AA250" i="4"/>
  <c r="AC269" i="4"/>
  <c r="AE269" i="4"/>
  <c r="P304" i="4"/>
  <c r="R304" i="4"/>
  <c r="AD347" i="4"/>
  <c r="AD371" i="4"/>
  <c r="AD384" i="4"/>
  <c r="P249" i="4"/>
  <c r="R249" i="4"/>
  <c r="AD263" i="4"/>
  <c r="P273" i="4"/>
  <c r="R273" i="4"/>
  <c r="AD281" i="4"/>
  <c r="AC333" i="4"/>
  <c r="AE333" i="4"/>
  <c r="P335" i="4"/>
  <c r="R335" i="4"/>
  <c r="AC360" i="4"/>
  <c r="AE360" i="4"/>
  <c r="AC381" i="4"/>
  <c r="AE381" i="4"/>
  <c r="P189" i="4"/>
  <c r="R189" i="4"/>
  <c r="P238" i="4"/>
  <c r="R238" i="4"/>
  <c r="AA260" i="4"/>
  <c r="AD270" i="4"/>
  <c r="AD293" i="4"/>
  <c r="AA318" i="4"/>
  <c r="AC324" i="4"/>
  <c r="AE324" i="4"/>
  <c r="P328" i="4"/>
  <c r="R328" i="4"/>
  <c r="AD336" i="4"/>
  <c r="AC354" i="4"/>
  <c r="AE354" i="4"/>
  <c r="AD385" i="4"/>
  <c r="N76" i="4"/>
  <c r="AC26" i="4"/>
  <c r="AE26" i="4"/>
  <c r="P196" i="4"/>
  <c r="R196" i="4"/>
  <c r="AD215" i="4"/>
  <c r="P226" i="4"/>
  <c r="R226" i="4"/>
  <c r="P250" i="4"/>
  <c r="R250" i="4"/>
  <c r="AD301" i="4"/>
  <c r="AD321" i="4"/>
  <c r="AD330" i="4"/>
  <c r="AC370" i="4"/>
  <c r="AE370" i="4"/>
  <c r="P376" i="4"/>
  <c r="R376" i="4"/>
  <c r="AC358" i="4"/>
  <c r="AE358" i="4"/>
  <c r="AA380" i="4"/>
  <c r="AA379" i="4"/>
  <c r="AA387" i="4"/>
  <c r="N388" i="4"/>
  <c r="AA388" i="4"/>
  <c r="AD381" i="4"/>
  <c r="AA386" i="4"/>
  <c r="O388" i="4"/>
  <c r="P379" i="4"/>
  <c r="R379" i="4"/>
  <c r="P387" i="4"/>
  <c r="R387" i="4"/>
  <c r="P378" i="4"/>
  <c r="R378" i="4"/>
  <c r="P386" i="4"/>
  <c r="R386" i="4"/>
  <c r="P377" i="4"/>
  <c r="R377" i="4"/>
  <c r="P385" i="4"/>
  <c r="R385" i="4"/>
  <c r="Q376" i="4"/>
  <c r="AD376" i="4"/>
  <c r="AA369" i="4"/>
  <c r="AA367" i="4"/>
  <c r="AA375" i="4"/>
  <c r="N376" i="4"/>
  <c r="AA376" i="4"/>
  <c r="AA366" i="4"/>
  <c r="P368" i="4"/>
  <c r="R368" i="4"/>
  <c r="AA374" i="4"/>
  <c r="O376" i="4"/>
  <c r="P367" i="4"/>
  <c r="R367" i="4"/>
  <c r="P375" i="4"/>
  <c r="R375" i="4"/>
  <c r="P366" i="4"/>
  <c r="R366" i="4"/>
  <c r="P374" i="4"/>
  <c r="R374" i="4"/>
  <c r="P365" i="4"/>
  <c r="R365" i="4"/>
  <c r="P373" i="4"/>
  <c r="R373" i="4"/>
  <c r="P352" i="4"/>
  <c r="R352" i="4"/>
  <c r="AC345" i="4"/>
  <c r="AE345" i="4"/>
  <c r="AD364" i="4"/>
  <c r="AA357" i="4"/>
  <c r="AA355" i="4"/>
  <c r="P357" i="4"/>
  <c r="R357" i="4"/>
  <c r="AA363" i="4"/>
  <c r="N364" i="4"/>
  <c r="AA364" i="4"/>
  <c r="AA354" i="4"/>
  <c r="P356" i="4"/>
  <c r="R356" i="4"/>
  <c r="AA362" i="4"/>
  <c r="O364" i="4"/>
  <c r="P355" i="4"/>
  <c r="R355" i="4"/>
  <c r="P363" i="4"/>
  <c r="R363" i="4"/>
  <c r="P353" i="4"/>
  <c r="R353" i="4"/>
  <c r="P361" i="4"/>
  <c r="R361" i="4"/>
  <c r="AD352" i="4"/>
  <c r="AA345" i="4"/>
  <c r="AA343" i="4"/>
  <c r="AA351" i="4"/>
  <c r="N352" i="4"/>
  <c r="AA352" i="4"/>
  <c r="AA342" i="4"/>
  <c r="AA350" i="4"/>
  <c r="O352" i="4"/>
  <c r="P343" i="4"/>
  <c r="R343" i="4"/>
  <c r="P351" i="4"/>
  <c r="R351" i="4"/>
  <c r="P342" i="4"/>
  <c r="R342" i="4"/>
  <c r="P350" i="4"/>
  <c r="R350" i="4"/>
  <c r="P341" i="4"/>
  <c r="R341" i="4"/>
  <c r="P349" i="4"/>
  <c r="R349" i="4"/>
  <c r="P322" i="4"/>
  <c r="R322" i="4"/>
  <c r="AC336" i="4"/>
  <c r="AE336" i="4"/>
  <c r="P340" i="4"/>
  <c r="R340" i="4"/>
  <c r="AD340" i="4"/>
  <c r="AA333" i="4"/>
  <c r="AA331" i="4"/>
  <c r="AA339" i="4"/>
  <c r="N340" i="4"/>
  <c r="AA340" i="4"/>
  <c r="P332" i="4"/>
  <c r="R332" i="4"/>
  <c r="O340" i="4"/>
  <c r="P331" i="4"/>
  <c r="R331" i="4"/>
  <c r="P339" i="4"/>
  <c r="R339" i="4"/>
  <c r="P330" i="4"/>
  <c r="R330" i="4"/>
  <c r="P338" i="4"/>
  <c r="R338" i="4"/>
  <c r="P329" i="4"/>
  <c r="R329" i="4"/>
  <c r="P337" i="4"/>
  <c r="R337" i="4"/>
  <c r="AD328" i="4"/>
  <c r="AD317" i="4"/>
  <c r="AD325" i="4"/>
  <c r="P323" i="4"/>
  <c r="R323" i="4"/>
  <c r="AA319" i="4"/>
  <c r="AA327" i="4"/>
  <c r="N328" i="4"/>
  <c r="AA328" i="4"/>
  <c r="P319" i="4"/>
  <c r="R319" i="4"/>
  <c r="P327" i="4"/>
  <c r="R327" i="4"/>
  <c r="P318" i="4"/>
  <c r="R318" i="4"/>
  <c r="P326" i="4"/>
  <c r="R326" i="4"/>
  <c r="P317" i="4"/>
  <c r="R317" i="4"/>
  <c r="P325" i="4"/>
  <c r="R325" i="4"/>
  <c r="AC300" i="4"/>
  <c r="AE300" i="4"/>
  <c r="AC312" i="4"/>
  <c r="AE312" i="4"/>
  <c r="AC298" i="4"/>
  <c r="AE298" i="4"/>
  <c r="P139" i="4"/>
  <c r="R139" i="4"/>
  <c r="P76" i="4"/>
  <c r="R76" i="4"/>
  <c r="AC202" i="4"/>
  <c r="AE202" i="4"/>
  <c r="AD221" i="4"/>
  <c r="AA226" i="4"/>
  <c r="AD228" i="4"/>
  <c r="AD240" i="4"/>
  <c r="AA248" i="4"/>
  <c r="P252" i="4"/>
  <c r="R252" i="4"/>
  <c r="AD253" i="4"/>
  <c r="AD264" i="4"/>
  <c r="AA277" i="4"/>
  <c r="AC296" i="4"/>
  <c r="AE296" i="4"/>
  <c r="AD298" i="4"/>
  <c r="AD300" i="4"/>
  <c r="P309" i="4"/>
  <c r="R309" i="4"/>
  <c r="AA310" i="4"/>
  <c r="P311" i="4"/>
  <c r="R311" i="4"/>
  <c r="AD185" i="4"/>
  <c r="AC200" i="4"/>
  <c r="AE200" i="4"/>
  <c r="AD202" i="4"/>
  <c r="AD205" i="4"/>
  <c r="AC287" i="4"/>
  <c r="AE287" i="4"/>
  <c r="AD193" i="4"/>
  <c r="AD287" i="4"/>
  <c r="P316" i="4"/>
  <c r="R316" i="4"/>
  <c r="AC59" i="4"/>
  <c r="AE59" i="4"/>
  <c r="AA214" i="4"/>
  <c r="AD251" i="4"/>
  <c r="AD257" i="4"/>
  <c r="AC262" i="4"/>
  <c r="AE262" i="4"/>
  <c r="AC297" i="4"/>
  <c r="AE297" i="4"/>
  <c r="AC299" i="4"/>
  <c r="AE299" i="4"/>
  <c r="AC55" i="4"/>
  <c r="AE55" i="4"/>
  <c r="P80" i="4"/>
  <c r="R80" i="4"/>
  <c r="AD181" i="4"/>
  <c r="AC201" i="4"/>
  <c r="AE201" i="4"/>
  <c r="AC203" i="4"/>
  <c r="AE203" i="4"/>
  <c r="AD209" i="4"/>
  <c r="AC227" i="4"/>
  <c r="AE227" i="4"/>
  <c r="P236" i="4"/>
  <c r="R236" i="4"/>
  <c r="AD299" i="4"/>
  <c r="P37" i="4"/>
  <c r="R37" i="4"/>
  <c r="AA188" i="4"/>
  <c r="AD197" i="4"/>
  <c r="AD203" i="4"/>
  <c r="P213" i="4"/>
  <c r="R213" i="4"/>
  <c r="AD217" i="4"/>
  <c r="AD227" i="4"/>
  <c r="AD233" i="4"/>
  <c r="AD239" i="4"/>
  <c r="AD245" i="4"/>
  <c r="AC276" i="4"/>
  <c r="AE276" i="4"/>
  <c r="AD278" i="4"/>
  <c r="AD305" i="4"/>
  <c r="AD313" i="4"/>
  <c r="AC182" i="4"/>
  <c r="AE182" i="4"/>
  <c r="P186" i="4"/>
  <c r="R186" i="4"/>
  <c r="AD191" i="4"/>
  <c r="P208" i="4"/>
  <c r="R208" i="4"/>
  <c r="AC225" i="4"/>
  <c r="AE225" i="4"/>
  <c r="AD276" i="4"/>
  <c r="AA296" i="4"/>
  <c r="P284" i="4"/>
  <c r="R284" i="4"/>
  <c r="AC285" i="4"/>
  <c r="AE285" i="4"/>
  <c r="AC286" i="4"/>
  <c r="AE286" i="4"/>
  <c r="P292" i="4"/>
  <c r="R292" i="4"/>
  <c r="AD316" i="4"/>
  <c r="AA309" i="4"/>
  <c r="AA307" i="4"/>
  <c r="AA315" i="4"/>
  <c r="N316" i="4"/>
  <c r="AA316" i="4"/>
  <c r="AA306" i="4"/>
  <c r="AA314" i="4"/>
  <c r="O316" i="4"/>
  <c r="P307" i="4"/>
  <c r="R307" i="4"/>
  <c r="P315" i="4"/>
  <c r="R315" i="4"/>
  <c r="P306" i="4"/>
  <c r="R306" i="4"/>
  <c r="P314" i="4"/>
  <c r="R314" i="4"/>
  <c r="P305" i="4"/>
  <c r="R305" i="4"/>
  <c r="P313" i="4"/>
  <c r="R313" i="4"/>
  <c r="AD304" i="4"/>
  <c r="AA297" i="4"/>
  <c r="AA295" i="4"/>
  <c r="AA303" i="4"/>
  <c r="N304" i="4"/>
  <c r="AA304" i="4"/>
  <c r="AA294" i="4"/>
  <c r="AA302" i="4"/>
  <c r="O304" i="4"/>
  <c r="P295" i="4"/>
  <c r="R295" i="4"/>
  <c r="P303" i="4"/>
  <c r="R303" i="4"/>
  <c r="P294" i="4"/>
  <c r="R294" i="4"/>
  <c r="P302" i="4"/>
  <c r="R302" i="4"/>
  <c r="P293" i="4"/>
  <c r="R293" i="4"/>
  <c r="P301" i="4"/>
  <c r="R301" i="4"/>
  <c r="AD292" i="4"/>
  <c r="AA285" i="4"/>
  <c r="AA284" i="4"/>
  <c r="AA291" i="4"/>
  <c r="N292" i="4"/>
  <c r="AA292" i="4"/>
  <c r="AA282" i="4"/>
  <c r="AA290" i="4"/>
  <c r="O292" i="4"/>
  <c r="P283" i="4"/>
  <c r="R283" i="4"/>
  <c r="P291" i="4"/>
  <c r="R291" i="4"/>
  <c r="P282" i="4"/>
  <c r="R282" i="4"/>
  <c r="P290" i="4"/>
  <c r="R290" i="4"/>
  <c r="P281" i="4"/>
  <c r="R281" i="4"/>
  <c r="P289" i="4"/>
  <c r="R289" i="4"/>
  <c r="AC260" i="4"/>
  <c r="AE260" i="4"/>
  <c r="P264" i="4"/>
  <c r="R264" i="4"/>
  <c r="AC275" i="4"/>
  <c r="AE275" i="4"/>
  <c r="AC261" i="4"/>
  <c r="AE261" i="4"/>
  <c r="P263" i="4"/>
  <c r="R263" i="4"/>
  <c r="P268" i="4"/>
  <c r="R268" i="4"/>
  <c r="AD280" i="4"/>
  <c r="AA272" i="4"/>
  <c r="P274" i="4"/>
  <c r="R274" i="4"/>
  <c r="AA273" i="4"/>
  <c r="AA271" i="4"/>
  <c r="AA279" i="4"/>
  <c r="N280" i="4"/>
  <c r="AA280" i="4"/>
  <c r="P272" i="4"/>
  <c r="R272" i="4"/>
  <c r="P271" i="4"/>
  <c r="R271" i="4"/>
  <c r="P279" i="4"/>
  <c r="R279" i="4"/>
  <c r="P280" i="4"/>
  <c r="P270" i="4"/>
  <c r="R270" i="4"/>
  <c r="P278" i="4"/>
  <c r="R278" i="4"/>
  <c r="AD268" i="4"/>
  <c r="AA261" i="4"/>
  <c r="AA259" i="4"/>
  <c r="AA267" i="4"/>
  <c r="N268" i="4"/>
  <c r="AA268" i="4"/>
  <c r="AA258" i="4"/>
  <c r="AA266" i="4"/>
  <c r="O268" i="4"/>
  <c r="P259" i="4"/>
  <c r="R259" i="4"/>
  <c r="P267" i="4"/>
  <c r="R267" i="4"/>
  <c r="P258" i="4"/>
  <c r="R258" i="4"/>
  <c r="P266" i="4"/>
  <c r="R266" i="4"/>
  <c r="P257" i="4"/>
  <c r="R257" i="4"/>
  <c r="P265" i="4"/>
  <c r="R265" i="4"/>
  <c r="P232" i="4"/>
  <c r="Q232" i="4"/>
  <c r="P256" i="4"/>
  <c r="R256" i="4"/>
  <c r="AC224" i="4"/>
  <c r="AE224" i="4"/>
  <c r="P244" i="4"/>
  <c r="Q244" i="4"/>
  <c r="AC251" i="4"/>
  <c r="AE251" i="4"/>
  <c r="AD256" i="4"/>
  <c r="AA249" i="4"/>
  <c r="N256" i="4"/>
  <c r="AA246" i="4"/>
  <c r="AA254" i="4"/>
  <c r="O256" i="4"/>
  <c r="AA256" i="4"/>
  <c r="P247" i="4"/>
  <c r="R247" i="4"/>
  <c r="P255" i="4"/>
  <c r="R255" i="4"/>
  <c r="AA247" i="4"/>
  <c r="AA255" i="4"/>
  <c r="P246" i="4"/>
  <c r="R246" i="4"/>
  <c r="P254" i="4"/>
  <c r="R254" i="4"/>
  <c r="P245" i="4"/>
  <c r="R245" i="4"/>
  <c r="P253" i="4"/>
  <c r="R253" i="4"/>
  <c r="AD244" i="4"/>
  <c r="AA237" i="4"/>
  <c r="AA235" i="4"/>
  <c r="AA243" i="4"/>
  <c r="N244" i="4"/>
  <c r="AA244" i="4"/>
  <c r="AA234" i="4"/>
  <c r="AA242" i="4"/>
  <c r="O244" i="4"/>
  <c r="P235" i="4"/>
  <c r="R235" i="4"/>
  <c r="P243" i="4"/>
  <c r="R243" i="4"/>
  <c r="P234" i="4"/>
  <c r="R234" i="4"/>
  <c r="P242" i="4"/>
  <c r="R242" i="4"/>
  <c r="P233" i="4"/>
  <c r="R233" i="4"/>
  <c r="P241" i="4"/>
  <c r="R241" i="4"/>
  <c r="AC214" i="4"/>
  <c r="AE214" i="4"/>
  <c r="P212" i="4"/>
  <c r="R212" i="4"/>
  <c r="AC204" i="4"/>
  <c r="AE204" i="4"/>
  <c r="AC188" i="4"/>
  <c r="AE188" i="4"/>
  <c r="AC190" i="4"/>
  <c r="AE190" i="4"/>
  <c r="AD232" i="4"/>
  <c r="AA225" i="4"/>
  <c r="AA224" i="4"/>
  <c r="AA231" i="4"/>
  <c r="N232" i="4"/>
  <c r="AA232" i="4"/>
  <c r="AA222" i="4"/>
  <c r="AA230" i="4"/>
  <c r="O232" i="4"/>
  <c r="P223" i="4"/>
  <c r="R223" i="4"/>
  <c r="P231" i="4"/>
  <c r="R231" i="4"/>
  <c r="P222" i="4"/>
  <c r="R222" i="4"/>
  <c r="P230" i="4"/>
  <c r="R230" i="4"/>
  <c r="P221" i="4"/>
  <c r="R221" i="4"/>
  <c r="P229" i="4"/>
  <c r="R229" i="4"/>
  <c r="AD220" i="4"/>
  <c r="AA213" i="4"/>
  <c r="P215" i="4"/>
  <c r="R215" i="4"/>
  <c r="AA211" i="4"/>
  <c r="AA219" i="4"/>
  <c r="N220" i="4"/>
  <c r="AA220" i="4"/>
  <c r="AA210" i="4"/>
  <c r="AA218" i="4"/>
  <c r="O220" i="4"/>
  <c r="P211" i="4"/>
  <c r="R211" i="4"/>
  <c r="P219" i="4"/>
  <c r="R219" i="4"/>
  <c r="P210" i="4"/>
  <c r="R210" i="4"/>
  <c r="P218" i="4"/>
  <c r="R218" i="4"/>
  <c r="P209" i="4"/>
  <c r="R209" i="4"/>
  <c r="P217" i="4"/>
  <c r="R217" i="4"/>
  <c r="AD208" i="4"/>
  <c r="AA201" i="4"/>
  <c r="AA200" i="4"/>
  <c r="AA199" i="4"/>
  <c r="AA207" i="4"/>
  <c r="N208" i="4"/>
  <c r="AA208" i="4"/>
  <c r="AA198" i="4"/>
  <c r="AA206" i="4"/>
  <c r="O208" i="4"/>
  <c r="P199" i="4"/>
  <c r="R199" i="4"/>
  <c r="P207" i="4"/>
  <c r="R207" i="4"/>
  <c r="P198" i="4"/>
  <c r="R198" i="4"/>
  <c r="P206" i="4"/>
  <c r="R206" i="4"/>
  <c r="P197" i="4"/>
  <c r="R197" i="4"/>
  <c r="P205" i="4"/>
  <c r="R205" i="4"/>
  <c r="AD196" i="4"/>
  <c r="P192" i="4"/>
  <c r="R192" i="4"/>
  <c r="AA187" i="4"/>
  <c r="AA189" i="4"/>
  <c r="P191" i="4"/>
  <c r="R191" i="4"/>
  <c r="AA195" i="4"/>
  <c r="N196" i="4"/>
  <c r="AA196" i="4"/>
  <c r="AA186" i="4"/>
  <c r="AA194" i="4"/>
  <c r="O196" i="4"/>
  <c r="P187" i="4"/>
  <c r="R187" i="4"/>
  <c r="P195" i="4"/>
  <c r="R195" i="4"/>
  <c r="P194" i="4"/>
  <c r="R194" i="4"/>
  <c r="P185" i="4"/>
  <c r="R185" i="4"/>
  <c r="P193" i="4"/>
  <c r="R193" i="4"/>
  <c r="AC14" i="4"/>
  <c r="AE14" i="4"/>
  <c r="P95" i="4"/>
  <c r="R95" i="4"/>
  <c r="AD175" i="4"/>
  <c r="AA180" i="4"/>
  <c r="AC21" i="4"/>
  <c r="AE21" i="4"/>
  <c r="AC94" i="4"/>
  <c r="AE94" i="4"/>
  <c r="AC111" i="4"/>
  <c r="AE111" i="4"/>
  <c r="AC177" i="4"/>
  <c r="AE177" i="4"/>
  <c r="AC72" i="4"/>
  <c r="AE72" i="4"/>
  <c r="P124" i="4"/>
  <c r="R124" i="4"/>
  <c r="AC179" i="4"/>
  <c r="AE179" i="4"/>
  <c r="P5" i="4"/>
  <c r="R5" i="4"/>
  <c r="AC106" i="4"/>
  <c r="AE106" i="4"/>
  <c r="AA178" i="4"/>
  <c r="P184" i="4"/>
  <c r="R184" i="4"/>
  <c r="AD173" i="4"/>
  <c r="P13" i="4"/>
  <c r="R13" i="4"/>
  <c r="AA74" i="4"/>
  <c r="AA176" i="4"/>
  <c r="AC178" i="4"/>
  <c r="AE178" i="4"/>
  <c r="AA69" i="4"/>
  <c r="P131" i="4"/>
  <c r="R131" i="4"/>
  <c r="AC180" i="4"/>
  <c r="AE180" i="4"/>
  <c r="AA183" i="4"/>
  <c r="AC25" i="4"/>
  <c r="AE25" i="4"/>
  <c r="P42" i="4"/>
  <c r="R42" i="4"/>
  <c r="AC104" i="4"/>
  <c r="AE104" i="4"/>
  <c r="AC123" i="4"/>
  <c r="AE123" i="4"/>
  <c r="P127" i="4"/>
  <c r="R127" i="4"/>
  <c r="P119" i="4"/>
  <c r="R119" i="4"/>
  <c r="AC121" i="4"/>
  <c r="AE121" i="4"/>
  <c r="AC129" i="4"/>
  <c r="AE129" i="4"/>
  <c r="P132" i="4"/>
  <c r="R132" i="4"/>
  <c r="AC174" i="4"/>
  <c r="AE174" i="4"/>
  <c r="P23" i="4"/>
  <c r="R23" i="4"/>
  <c r="AC98" i="4"/>
  <c r="AE98" i="4"/>
  <c r="P112" i="4"/>
  <c r="Q112" i="4"/>
  <c r="AE184" i="4"/>
  <c r="AD184" i="4"/>
  <c r="AA177" i="4"/>
  <c r="AD179" i="4"/>
  <c r="AA174" i="4"/>
  <c r="P176" i="4"/>
  <c r="R176" i="4"/>
  <c r="AA182" i="4"/>
  <c r="O184" i="4"/>
  <c r="P175" i="4"/>
  <c r="R175" i="4"/>
  <c r="P183" i="4"/>
  <c r="R183" i="4"/>
  <c r="P173" i="4"/>
  <c r="R173" i="4"/>
  <c r="P181" i="4"/>
  <c r="R181" i="4"/>
  <c r="P109" i="4"/>
  <c r="R109" i="4"/>
  <c r="N124" i="4"/>
  <c r="AA108" i="4"/>
  <c r="P97" i="4"/>
  <c r="R97" i="4"/>
  <c r="AC9" i="4"/>
  <c r="AE9" i="4"/>
  <c r="AA129" i="4"/>
  <c r="P151" i="4"/>
  <c r="R151" i="4"/>
  <c r="P74" i="4"/>
  <c r="R74" i="4"/>
  <c r="P79" i="4"/>
  <c r="R79" i="4"/>
  <c r="AC53" i="4"/>
  <c r="AE53" i="4"/>
  <c r="N112" i="4"/>
  <c r="P113" i="4"/>
  <c r="R113" i="4"/>
  <c r="AC167" i="4"/>
  <c r="AE167" i="4"/>
  <c r="P90" i="4"/>
  <c r="R90" i="4"/>
  <c r="P77" i="4"/>
  <c r="R77" i="4"/>
  <c r="AC57" i="4"/>
  <c r="AE57" i="4"/>
  <c r="P65" i="4"/>
  <c r="R65" i="4"/>
  <c r="AA91" i="4"/>
  <c r="AA141" i="4"/>
  <c r="AC7" i="4"/>
  <c r="AE7" i="4"/>
  <c r="P66" i="4"/>
  <c r="R66" i="4"/>
  <c r="AC63" i="4"/>
  <c r="AE63" i="4"/>
  <c r="P145" i="4"/>
  <c r="R145" i="4"/>
  <c r="AC33" i="4"/>
  <c r="AE33" i="4"/>
  <c r="AC68" i="4"/>
  <c r="AE68" i="4"/>
  <c r="AC99" i="4"/>
  <c r="AE99" i="4"/>
  <c r="AC134" i="4"/>
  <c r="AE134" i="4"/>
  <c r="P19" i="4"/>
  <c r="R19" i="4"/>
  <c r="AC62" i="4"/>
  <c r="AE62" i="4"/>
  <c r="P133" i="4"/>
  <c r="R133" i="4"/>
  <c r="AC38" i="4"/>
  <c r="AE38" i="4"/>
  <c r="AC49" i="4"/>
  <c r="AE49" i="4"/>
  <c r="AC56" i="4"/>
  <c r="AE56" i="4"/>
  <c r="P67" i="4"/>
  <c r="R67" i="4"/>
  <c r="P71" i="4"/>
  <c r="R71" i="4"/>
  <c r="P88" i="4"/>
  <c r="R88" i="4"/>
  <c r="P91" i="4"/>
  <c r="R91" i="4"/>
  <c r="AC105" i="4"/>
  <c r="AE105" i="4"/>
  <c r="P130" i="4"/>
  <c r="R130" i="4"/>
  <c r="AC18" i="4"/>
  <c r="AE18" i="4"/>
  <c r="P87" i="4"/>
  <c r="R87" i="4"/>
  <c r="P39" i="4"/>
  <c r="R39" i="4"/>
  <c r="AC44" i="4"/>
  <c r="AE44" i="4"/>
  <c r="P102" i="4"/>
  <c r="R102" i="4"/>
  <c r="AC114" i="4"/>
  <c r="AE114" i="4"/>
  <c r="O124" i="4"/>
  <c r="AC128" i="4"/>
  <c r="AE128" i="4"/>
  <c r="AC20" i="4"/>
  <c r="AE20" i="4"/>
  <c r="AC22" i="4"/>
  <c r="AE22" i="4"/>
  <c r="P28" i="4"/>
  <c r="R28" i="4"/>
  <c r="P46" i="4"/>
  <c r="R46" i="4"/>
  <c r="AC153" i="4"/>
  <c r="AE153" i="4"/>
  <c r="AC17" i="4"/>
  <c r="AE17" i="4"/>
  <c r="P69" i="4"/>
  <c r="R69" i="4"/>
  <c r="P31" i="4"/>
  <c r="R31" i="4"/>
  <c r="P50" i="4"/>
  <c r="R50" i="4"/>
  <c r="AC81" i="4"/>
  <c r="AE81" i="4"/>
  <c r="AC82" i="4"/>
  <c r="AE82" i="4"/>
  <c r="P100" i="4"/>
  <c r="R100" i="4"/>
  <c r="P117" i="4"/>
  <c r="R117" i="4"/>
  <c r="P143" i="4"/>
  <c r="R143" i="4"/>
  <c r="AC6" i="4"/>
  <c r="AE6" i="4"/>
  <c r="N64" i="4"/>
  <c r="AC75" i="4"/>
  <c r="AE75" i="4"/>
  <c r="AC30" i="4"/>
  <c r="AE30" i="4"/>
  <c r="AC41" i="4"/>
  <c r="AE41" i="4"/>
  <c r="AC60" i="4"/>
  <c r="AE60" i="4"/>
  <c r="AC140" i="4"/>
  <c r="AE140" i="4"/>
  <c r="P27" i="4"/>
  <c r="R27" i="4"/>
  <c r="P35" i="4"/>
  <c r="R35" i="4"/>
  <c r="AC92" i="4"/>
  <c r="AE92" i="4"/>
  <c r="P96" i="4"/>
  <c r="R96" i="4"/>
  <c r="P64" i="4"/>
  <c r="Q64" i="4"/>
  <c r="O28" i="4"/>
  <c r="O136" i="4"/>
  <c r="O40" i="4"/>
  <c r="P136" i="4"/>
  <c r="AD161" i="4"/>
  <c r="AA99" i="4"/>
  <c r="AD77" i="4"/>
  <c r="AD133" i="4"/>
  <c r="R40" i="4"/>
  <c r="AA22" i="4"/>
  <c r="P32" i="4"/>
  <c r="R32" i="4"/>
  <c r="AC32" i="4"/>
  <c r="AE32" i="4"/>
  <c r="AC43" i="4"/>
  <c r="AE43" i="4"/>
  <c r="P43" i="4"/>
  <c r="R43" i="4"/>
  <c r="AE136" i="4"/>
  <c r="AD136" i="4"/>
  <c r="P47" i="4"/>
  <c r="R47" i="4"/>
  <c r="AC47" i="4"/>
  <c r="AE47" i="4"/>
  <c r="P36" i="4"/>
  <c r="R36" i="4"/>
  <c r="AC36" i="4"/>
  <c r="AE36" i="4"/>
  <c r="AC51" i="4"/>
  <c r="AE51" i="4"/>
  <c r="P51" i="4"/>
  <c r="R51" i="4"/>
  <c r="N16" i="4"/>
  <c r="O16" i="4"/>
  <c r="P52" i="4"/>
  <c r="O52" i="4"/>
  <c r="N52" i="4"/>
  <c r="P10" i="4"/>
  <c r="R10" i="4"/>
  <c r="AC10" i="4"/>
  <c r="AE10" i="4"/>
  <c r="P16" i="4"/>
  <c r="P24" i="4"/>
  <c r="R24" i="4"/>
  <c r="AC24" i="4"/>
  <c r="AE24" i="4"/>
  <c r="AD112" i="4"/>
  <c r="AE112" i="4"/>
  <c r="P138" i="4"/>
  <c r="R138" i="4"/>
  <c r="P34" i="4"/>
  <c r="R34" i="4"/>
  <c r="P45" i="4"/>
  <c r="R45" i="4"/>
  <c r="AD163" i="4"/>
  <c r="AC12" i="4"/>
  <c r="AE12" i="4"/>
  <c r="AC28" i="4"/>
  <c r="AE28" i="4"/>
  <c r="O88" i="4"/>
  <c r="P118" i="4"/>
  <c r="R118" i="4"/>
  <c r="P147" i="4"/>
  <c r="R147" i="4"/>
  <c r="N40" i="4"/>
  <c r="P54" i="4"/>
  <c r="R54" i="4"/>
  <c r="P58" i="4"/>
  <c r="R58" i="4"/>
  <c r="P93" i="4"/>
  <c r="R93" i="4"/>
  <c r="AC142" i="4"/>
  <c r="AE142" i="4"/>
  <c r="P125" i="4"/>
  <c r="R125" i="4"/>
  <c r="AA86" i="4"/>
  <c r="AA89" i="4"/>
  <c r="AD76" i="4"/>
  <c r="P84" i="4"/>
  <c r="R84" i="4"/>
  <c r="O100" i="4"/>
  <c r="P108" i="4"/>
  <c r="R108" i="4"/>
  <c r="P110" i="4"/>
  <c r="R110" i="4"/>
  <c r="AD169" i="4"/>
  <c r="N88" i="4"/>
  <c r="O112" i="4"/>
  <c r="P48" i="4"/>
  <c r="R48" i="4"/>
  <c r="AD88" i="4"/>
  <c r="AA166" i="4"/>
  <c r="AA102" i="4"/>
  <c r="P122" i="4"/>
  <c r="R122" i="4"/>
  <c r="AD40" i="4"/>
  <c r="AC83" i="4"/>
  <c r="AE83" i="4"/>
  <c r="AC107" i="4"/>
  <c r="AE107" i="4"/>
  <c r="AC170" i="4"/>
  <c r="AE170" i="4"/>
  <c r="AC78" i="4"/>
  <c r="AE78" i="4"/>
  <c r="P116" i="4"/>
  <c r="R116" i="4"/>
  <c r="AA127" i="4"/>
  <c r="AA146" i="4"/>
  <c r="AC120" i="4"/>
  <c r="AE120" i="4"/>
  <c r="AD124" i="4"/>
  <c r="P155" i="4"/>
  <c r="R155" i="4"/>
  <c r="AA164" i="4"/>
  <c r="AD171" i="4"/>
  <c r="P160" i="4"/>
  <c r="R160" i="4"/>
  <c r="AC162" i="4"/>
  <c r="AE162" i="4"/>
  <c r="AC168" i="4"/>
  <c r="AE168" i="4"/>
  <c r="AE172" i="4"/>
  <c r="AD172" i="4"/>
  <c r="AA165" i="4"/>
  <c r="AD168" i="4"/>
  <c r="P166" i="4"/>
  <c r="R166" i="4"/>
  <c r="AD167" i="4"/>
  <c r="P165" i="4"/>
  <c r="R165" i="4"/>
  <c r="N172" i="4"/>
  <c r="AA162" i="4"/>
  <c r="P164" i="4"/>
  <c r="R164" i="4"/>
  <c r="AA170" i="4"/>
  <c r="P163" i="4"/>
  <c r="R163" i="4"/>
  <c r="P171" i="4"/>
  <c r="R171" i="4"/>
  <c r="P172" i="4"/>
  <c r="P161" i="4"/>
  <c r="R161" i="4"/>
  <c r="P169" i="4"/>
  <c r="R169" i="4"/>
  <c r="P3" i="5"/>
  <c r="R3" i="5"/>
  <c r="AD4" i="5"/>
  <c r="P9" i="5"/>
  <c r="R9" i="5"/>
  <c r="AD10" i="5"/>
  <c r="AC5" i="5"/>
  <c r="AE5" i="5"/>
  <c r="AD5" i="5"/>
  <c r="AC8" i="5"/>
  <c r="AE8" i="5"/>
  <c r="AA25" i="4"/>
  <c r="AA103" i="4"/>
  <c r="AA2" i="5"/>
  <c r="AE13" i="5"/>
  <c r="AD13" i="5"/>
  <c r="AA6" i="5"/>
  <c r="AD9" i="5"/>
  <c r="P7" i="5"/>
  <c r="R7" i="5"/>
  <c r="AD8" i="5"/>
  <c r="P6" i="5"/>
  <c r="R6" i="5"/>
  <c r="N13" i="5"/>
  <c r="AA3" i="5"/>
  <c r="AA11" i="5"/>
  <c r="P4" i="5"/>
  <c r="R4" i="5"/>
  <c r="P12" i="5"/>
  <c r="R12" i="5"/>
  <c r="P13" i="5"/>
  <c r="P2" i="5"/>
  <c r="R2" i="5"/>
  <c r="P10" i="5"/>
  <c r="R10" i="5"/>
  <c r="AA147" i="4"/>
  <c r="AD120" i="4"/>
  <c r="AA118" i="4"/>
  <c r="AD100" i="4"/>
  <c r="AA78" i="4"/>
  <c r="AD52" i="4"/>
  <c r="AD83" i="4"/>
  <c r="AA105" i="4"/>
  <c r="AA87" i="4"/>
  <c r="AA110" i="4"/>
  <c r="AD157" i="4"/>
  <c r="AD17" i="4"/>
  <c r="AA79" i="4"/>
  <c r="AA123" i="4"/>
  <c r="AA16" i="4"/>
  <c r="AA66" i="4"/>
  <c r="AA111" i="4"/>
  <c r="AD117" i="4"/>
  <c r="AA92" i="4"/>
  <c r="AD126" i="4"/>
  <c r="AD132" i="4"/>
  <c r="AA11" i="4"/>
  <c r="AD72" i="4"/>
  <c r="AA62" i="4"/>
  <c r="AA139" i="4"/>
  <c r="AA18" i="4"/>
  <c r="AA80" i="4"/>
  <c r="AA6" i="4"/>
  <c r="AA23" i="4"/>
  <c r="AA88" i="4"/>
  <c r="AD101" i="4"/>
  <c r="AD19" i="4"/>
  <c r="AA14" i="4"/>
  <c r="AA26" i="4"/>
  <c r="AA58" i="4"/>
  <c r="AA76" i="4"/>
  <c r="AA81" i="4"/>
  <c r="AA130" i="4"/>
  <c r="AA59" i="4"/>
  <c r="AA128" i="4"/>
  <c r="AA47" i="4"/>
  <c r="AA20" i="4"/>
  <c r="AD67" i="4"/>
  <c r="AA113" i="4"/>
  <c r="AA73" i="4"/>
  <c r="AD51" i="4"/>
  <c r="AD149" i="4"/>
  <c r="AA28" i="4"/>
  <c r="AA55" i="4"/>
  <c r="AA115" i="4"/>
  <c r="AA15" i="4"/>
  <c r="AA135" i="4"/>
  <c r="AA142" i="4"/>
  <c r="AD8" i="4"/>
  <c r="AD71" i="4"/>
  <c r="AA63" i="4"/>
  <c r="AD35" i="4"/>
  <c r="AA68" i="4"/>
  <c r="AA12" i="4"/>
  <c r="AD64" i="4"/>
  <c r="AA31" i="4"/>
  <c r="AD84" i="4"/>
  <c r="AA134" i="4"/>
  <c r="AA151" i="4"/>
  <c r="AD121" i="4"/>
  <c r="AA27" i="4"/>
  <c r="AA7" i="4"/>
  <c r="AD82" i="4"/>
  <c r="AD95" i="4"/>
  <c r="AD131" i="4"/>
  <c r="AA39" i="4"/>
  <c r="AD43" i="4"/>
  <c r="AD97" i="4"/>
  <c r="AD155" i="4"/>
  <c r="AA24" i="4"/>
  <c r="AA60" i="4"/>
  <c r="AA65" i="4"/>
  <c r="AD94" i="4"/>
  <c r="AD152" i="4"/>
  <c r="AD10" i="4"/>
  <c r="AA21" i="4"/>
  <c r="AA98" i="4"/>
  <c r="AD32" i="4"/>
  <c r="AA56" i="4"/>
  <c r="AA53" i="4"/>
  <c r="AA54" i="4"/>
  <c r="AD29" i="4"/>
  <c r="AA36" i="4"/>
  <c r="AD37" i="4"/>
  <c r="AA44" i="4"/>
  <c r="AD45" i="4"/>
  <c r="AD48" i="4"/>
  <c r="AA106" i="4"/>
  <c r="AD107" i="4"/>
  <c r="AA109" i="4"/>
  <c r="AD114" i="4"/>
  <c r="AA145" i="4"/>
  <c r="AA13" i="4"/>
  <c r="AA33" i="4"/>
  <c r="AA41" i="4"/>
  <c r="AA49" i="4"/>
  <c r="AD70" i="4"/>
  <c r="AD119" i="4"/>
  <c r="AA125" i="4"/>
  <c r="AD150" i="4"/>
  <c r="AD96" i="4"/>
  <c r="AD122" i="4"/>
  <c r="AA30" i="4"/>
  <c r="AD34" i="4"/>
  <c r="AA38" i="4"/>
  <c r="AD42" i="4"/>
  <c r="AA46" i="4"/>
  <c r="AD50" i="4"/>
  <c r="AA9" i="4"/>
  <c r="AA90" i="4"/>
  <c r="AA93" i="4"/>
  <c r="AA85" i="4"/>
  <c r="AD104" i="4"/>
  <c r="AA143" i="4"/>
  <c r="AA154" i="4"/>
  <c r="AA116" i="4"/>
  <c r="AA40" i="4"/>
  <c r="AA57" i="4"/>
  <c r="AA5" i="4"/>
  <c r="AA138" i="4"/>
  <c r="AA159" i="4"/>
  <c r="AA75" i="4"/>
  <c r="AA61" i="4"/>
  <c r="AD137" i="4"/>
  <c r="N160" i="4"/>
  <c r="AD160" i="4"/>
  <c r="P154" i="4"/>
  <c r="R154" i="4"/>
  <c r="P149" i="4"/>
  <c r="R149" i="4"/>
  <c r="P156" i="4"/>
  <c r="R156" i="4"/>
  <c r="AA153" i="4"/>
  <c r="AD156" i="4"/>
  <c r="P152" i="4"/>
  <c r="R152" i="4"/>
  <c r="AA158" i="4"/>
  <c r="O160" i="4"/>
  <c r="P159" i="4"/>
  <c r="R159" i="4"/>
  <c r="P150" i="4"/>
  <c r="R150" i="4"/>
  <c r="P158" i="4"/>
  <c r="R158" i="4"/>
  <c r="P157" i="4"/>
  <c r="R157" i="4"/>
  <c r="AD140" i="4"/>
  <c r="AA144" i="4"/>
  <c r="AD148" i="4"/>
  <c r="AE148" i="4"/>
  <c r="P141" i="4"/>
  <c r="R141" i="4"/>
  <c r="P144" i="4"/>
  <c r="R144" i="4"/>
  <c r="Q220" i="4"/>
  <c r="R244" i="4"/>
  <c r="Q208" i="4"/>
  <c r="AD16" i="4"/>
  <c r="Q328" i="4"/>
  <c r="Q148" i="4"/>
  <c r="R232" i="4"/>
  <c r="Q364" i="4"/>
  <c r="Q292" i="4"/>
  <c r="Q76" i="4"/>
  <c r="Q388" i="4"/>
  <c r="Q196" i="4"/>
  <c r="Q340" i="4"/>
  <c r="Q124" i="4"/>
  <c r="Q256" i="4"/>
  <c r="Q304" i="4"/>
  <c r="Q352" i="4"/>
  <c r="Q28" i="4"/>
  <c r="Q316" i="4"/>
  <c r="R112" i="4"/>
  <c r="Q184" i="4"/>
  <c r="Q268" i="4"/>
  <c r="R280" i="4"/>
  <c r="Q280" i="4"/>
  <c r="Q88" i="4"/>
  <c r="Q100" i="4"/>
  <c r="R64" i="4"/>
  <c r="Q160" i="4"/>
  <c r="Q136" i="4"/>
  <c r="R136" i="4"/>
  <c r="AD28" i="4"/>
  <c r="Q16" i="4"/>
  <c r="R16" i="4"/>
  <c r="R52" i="4"/>
  <c r="Q52" i="4"/>
  <c r="R172" i="4"/>
  <c r="Q172" i="4"/>
  <c r="R13" i="5"/>
  <c r="Q13" i="5"/>
  <c r="H186" i="11"/>
  <c r="K186" i="11"/>
  <c r="E148" i="11"/>
  <c r="E197" i="11"/>
  <c r="E159" i="11"/>
  <c r="H197" i="11"/>
  <c r="H159" i="11"/>
  <c r="K148" i="11"/>
  <c r="K197" i="11"/>
  <c r="K159" i="11"/>
  <c r="H148" i="11"/>
  <c r="AC322" i="9" l="1"/>
  <c r="AE322" i="9" s="1"/>
  <c r="P61" i="9"/>
  <c r="R61" i="9" s="1"/>
  <c r="AD122" i="9"/>
  <c r="N172" i="9"/>
  <c r="AC330" i="9"/>
  <c r="AE330" i="9" s="1"/>
  <c r="AC272" i="9"/>
  <c r="AE272" i="9" s="1"/>
  <c r="F5" i="6"/>
  <c r="AA95" i="9"/>
  <c r="AA404" i="9"/>
  <c r="N340" i="9"/>
  <c r="AD396" i="9"/>
  <c r="P233" i="9"/>
  <c r="R233" i="9" s="1"/>
  <c r="P120" i="9"/>
  <c r="R120" i="9" s="1"/>
  <c r="AD335" i="9"/>
  <c r="O412" i="9"/>
  <c r="AC203" i="9"/>
  <c r="AE203" i="9" s="1"/>
  <c r="P281" i="9"/>
  <c r="R281" i="9" s="1"/>
  <c r="AA268" i="9"/>
  <c r="AD267" i="9"/>
  <c r="P231" i="9"/>
  <c r="R231" i="9" s="1"/>
  <c r="AA153" i="9"/>
  <c r="P185" i="9"/>
  <c r="R185" i="9" s="1"/>
  <c r="P319" i="9"/>
  <c r="R319" i="9" s="1"/>
  <c r="AD325" i="9"/>
  <c r="P201" i="9"/>
  <c r="R201" i="9" s="1"/>
  <c r="P279" i="9"/>
  <c r="R279" i="9" s="1"/>
  <c r="AA211" i="9"/>
  <c r="P271" i="9"/>
  <c r="R271" i="9" s="1"/>
  <c r="P390" i="9"/>
  <c r="R390" i="9" s="1"/>
  <c r="AC54" i="9"/>
  <c r="AE54" i="9" s="1"/>
  <c r="AD221" i="9"/>
  <c r="AD400" i="9"/>
  <c r="AD443" i="9"/>
  <c r="P471" i="9"/>
  <c r="R471" i="9" s="1"/>
  <c r="AA175" i="9"/>
  <c r="AA398" i="9"/>
  <c r="AA400" i="9"/>
  <c r="AA337" i="9"/>
  <c r="P157" i="9"/>
  <c r="R157" i="9" s="1"/>
  <c r="O160" i="9"/>
  <c r="AA261" i="9"/>
  <c r="AA309" i="9"/>
  <c r="P411" i="9"/>
  <c r="R411" i="9" s="1"/>
  <c r="AC349" i="9"/>
  <c r="AE349" i="9" s="1"/>
  <c r="AC273" i="9"/>
  <c r="AE273" i="9" s="1"/>
  <c r="AD408" i="9"/>
  <c r="O352" i="9"/>
  <c r="AD289" i="9"/>
  <c r="P293" i="9"/>
  <c r="R293" i="9" s="1"/>
  <c r="AD281" i="9"/>
  <c r="P291" i="9"/>
  <c r="R291" i="9" s="1"/>
  <c r="P339" i="9"/>
  <c r="R339" i="9" s="1"/>
  <c r="P403" i="9"/>
  <c r="R403" i="9" s="1"/>
  <c r="AC407" i="9"/>
  <c r="AE407" i="9" s="1"/>
  <c r="AD347" i="9"/>
  <c r="AD132" i="9"/>
  <c r="AA279" i="9"/>
  <c r="AC392" i="9"/>
  <c r="AE392" i="9" s="1"/>
  <c r="P11" i="9"/>
  <c r="R11" i="9" s="1"/>
  <c r="P217" i="9"/>
  <c r="R217" i="9" s="1"/>
  <c r="AA273" i="9"/>
  <c r="AD193" i="9"/>
  <c r="AC227" i="9"/>
  <c r="AE227" i="9" s="1"/>
  <c r="AD241" i="9"/>
  <c r="AC263" i="9"/>
  <c r="AE263" i="9" s="1"/>
  <c r="AD165" i="9"/>
  <c r="P243" i="9"/>
  <c r="R243" i="9" s="1"/>
  <c r="P253" i="9"/>
  <c r="R253" i="9" s="1"/>
  <c r="P283" i="9"/>
  <c r="R283" i="9" s="1"/>
  <c r="AC359" i="9"/>
  <c r="AE359" i="9" s="1"/>
  <c r="AA113" i="9"/>
  <c r="AD114" i="9"/>
  <c r="P523" i="9"/>
  <c r="R523" i="9" s="1"/>
  <c r="AD197" i="9"/>
  <c r="AA195" i="9"/>
  <c r="P58" i="9"/>
  <c r="R58" i="9" s="1"/>
  <c r="AA187" i="9"/>
  <c r="P124" i="9"/>
  <c r="R124" i="9" s="1"/>
  <c r="AD466" i="9"/>
  <c r="P78" i="9"/>
  <c r="R78" i="9" s="1"/>
  <c r="P199" i="9"/>
  <c r="R199" i="9" s="1"/>
  <c r="AC189" i="9"/>
  <c r="AE189" i="9" s="1"/>
  <c r="AD157" i="9"/>
  <c r="AC526" i="9"/>
  <c r="AE526" i="9" s="1"/>
  <c r="AD37" i="9"/>
  <c r="AA140" i="9"/>
  <c r="P182" i="9"/>
  <c r="R182" i="9" s="1"/>
  <c r="AA210" i="9"/>
  <c r="AA26" i="9"/>
  <c r="AD360" i="9"/>
  <c r="AA77" i="9"/>
  <c r="AA393" i="9"/>
  <c r="AC142" i="9"/>
  <c r="AE142" i="9" s="1"/>
  <c r="AD86" i="9"/>
  <c r="P21" i="9"/>
  <c r="R21" i="9" s="1"/>
  <c r="AA150" i="9"/>
  <c r="P278" i="9"/>
  <c r="R278" i="9" s="1"/>
  <c r="P362" i="9"/>
  <c r="R362" i="9" s="1"/>
  <c r="P190" i="9"/>
  <c r="R190" i="9" s="1"/>
  <c r="AC395" i="9"/>
  <c r="AE395" i="9" s="1"/>
  <c r="AD10" i="9"/>
  <c r="P186" i="9"/>
  <c r="R186" i="9" s="1"/>
  <c r="AC358" i="9"/>
  <c r="AE358" i="9" s="1"/>
  <c r="AC478" i="9"/>
  <c r="AE478" i="9" s="1"/>
  <c r="AD336" i="9"/>
  <c r="AC83" i="9"/>
  <c r="AE83" i="9" s="1"/>
  <c r="AA146" i="9"/>
  <c r="P226" i="9"/>
  <c r="R226" i="9" s="1"/>
  <c r="AC310" i="9"/>
  <c r="AE310" i="9" s="1"/>
  <c r="AC274" i="9"/>
  <c r="AE274" i="9" s="1"/>
  <c r="P40" i="9"/>
  <c r="R40" i="9" s="1"/>
  <c r="AD358" i="9"/>
  <c r="AA450" i="9"/>
  <c r="AC468" i="9"/>
  <c r="AE468" i="9" s="1"/>
  <c r="AC350" i="9"/>
  <c r="AE350" i="9" s="1"/>
  <c r="AA356" i="9"/>
  <c r="AC140" i="9"/>
  <c r="AE140" i="9" s="1"/>
  <c r="AC134" i="9"/>
  <c r="AE134" i="9" s="1"/>
  <c r="AC216" i="9"/>
  <c r="AE216" i="9" s="1"/>
  <c r="AD338" i="9"/>
  <c r="AA290" i="9"/>
  <c r="AA300" i="9"/>
  <c r="AA326" i="9"/>
  <c r="AC95" i="9"/>
  <c r="AE95" i="9" s="1"/>
  <c r="P158" i="9"/>
  <c r="R158" i="9" s="1"/>
  <c r="AA282" i="9"/>
  <c r="P391" i="9"/>
  <c r="R391" i="9" s="1"/>
  <c r="AC123" i="9"/>
  <c r="AE123" i="9" s="1"/>
  <c r="AD252" i="9"/>
  <c r="AC280" i="9"/>
  <c r="AE280" i="9" s="1"/>
  <c r="P328" i="9"/>
  <c r="Q328" i="9" s="1"/>
  <c r="AD397" i="9"/>
  <c r="AA17" i="9"/>
  <c r="P150" i="9"/>
  <c r="R150" i="9" s="1"/>
  <c r="AC115" i="9"/>
  <c r="AE115" i="9" s="1"/>
  <c r="P543" i="9"/>
  <c r="R543" i="9" s="1"/>
  <c r="AA414" i="9"/>
  <c r="P12" i="9"/>
  <c r="R12" i="9" s="1"/>
  <c r="AC434" i="9"/>
  <c r="AE434" i="9" s="1"/>
  <c r="AA190" i="9"/>
  <c r="AA170" i="9"/>
  <c r="AC288" i="9"/>
  <c r="AE288" i="9" s="1"/>
  <c r="P65" i="9"/>
  <c r="R65" i="9" s="1"/>
  <c r="P113" i="9"/>
  <c r="R113" i="9" s="1"/>
  <c r="P149" i="9"/>
  <c r="R149" i="9" s="1"/>
  <c r="P175" i="9"/>
  <c r="R175" i="9" s="1"/>
  <c r="P242" i="9"/>
  <c r="R242" i="9" s="1"/>
  <c r="P298" i="9"/>
  <c r="R298" i="9" s="1"/>
  <c r="AA318" i="9"/>
  <c r="AD277" i="9"/>
  <c r="AD317" i="9"/>
  <c r="AD14" i="9"/>
  <c r="P114" i="9"/>
  <c r="R114" i="9" s="1"/>
  <c r="AA24" i="9"/>
  <c r="P102" i="9"/>
  <c r="R102" i="9" s="1"/>
  <c r="AA162" i="9"/>
  <c r="AA182" i="9"/>
  <c r="AA260" i="9"/>
  <c r="AA270" i="9"/>
  <c r="AA306" i="9"/>
  <c r="P347" i="9"/>
  <c r="R347" i="9" s="1"/>
  <c r="AD269" i="9"/>
  <c r="AA61" i="9"/>
  <c r="P8" i="9"/>
  <c r="R8" i="9" s="1"/>
  <c r="AD296" i="9"/>
  <c r="AA50" i="9"/>
  <c r="P111" i="9"/>
  <c r="R111" i="9" s="1"/>
  <c r="P145" i="9"/>
  <c r="R145" i="9" s="1"/>
  <c r="P176" i="9"/>
  <c r="R176" i="9" s="1"/>
  <c r="P261" i="9"/>
  <c r="R261" i="9" s="1"/>
  <c r="AA315" i="9"/>
  <c r="P329" i="9"/>
  <c r="R329" i="9" s="1"/>
  <c r="AA345" i="9"/>
  <c r="AC252" i="9"/>
  <c r="AE252" i="9" s="1"/>
  <c r="AD259" i="9"/>
  <c r="P223" i="9"/>
  <c r="R223" i="9" s="1"/>
  <c r="AC308" i="9"/>
  <c r="AE308" i="9" s="1"/>
  <c r="AC299" i="9"/>
  <c r="AE299" i="9" s="1"/>
  <c r="AD287" i="9"/>
  <c r="P320" i="9"/>
  <c r="R320" i="9" s="1"/>
  <c r="P166" i="9"/>
  <c r="R166" i="9" s="1"/>
  <c r="AC452" i="9"/>
  <c r="AE452" i="9" s="1"/>
  <c r="P174" i="9"/>
  <c r="R174" i="9" s="1"/>
  <c r="P397" i="9"/>
  <c r="R397" i="9" s="1"/>
  <c r="AA71" i="9"/>
  <c r="AA44" i="9"/>
  <c r="P63" i="9"/>
  <c r="R63" i="9" s="1"/>
  <c r="P94" i="9"/>
  <c r="R94" i="9" s="1"/>
  <c r="P147" i="9"/>
  <c r="R147" i="9" s="1"/>
  <c r="AA298" i="9"/>
  <c r="P340" i="9"/>
  <c r="R340" i="9" s="1"/>
  <c r="AC348" i="9"/>
  <c r="AE348" i="9" s="1"/>
  <c r="AC104" i="9"/>
  <c r="AE104" i="9" s="1"/>
  <c r="P230" i="9"/>
  <c r="R230" i="9" s="1"/>
  <c r="AC74" i="9"/>
  <c r="AE74" i="9" s="1"/>
  <c r="AA250" i="9"/>
  <c r="P156" i="9"/>
  <c r="R156" i="9" s="1"/>
  <c r="AC240" i="9"/>
  <c r="AE240" i="9" s="1"/>
  <c r="AD239" i="9"/>
  <c r="P430" i="9"/>
  <c r="R430" i="9" s="1"/>
  <c r="AD502" i="9"/>
  <c r="AC484" i="9"/>
  <c r="AE484" i="9" s="1"/>
  <c r="N520" i="9"/>
  <c r="AD276" i="9"/>
  <c r="P389" i="9"/>
  <c r="R389" i="9" s="1"/>
  <c r="AA54" i="9"/>
  <c r="P125" i="9"/>
  <c r="R125" i="9" s="1"/>
  <c r="AA164" i="9"/>
  <c r="AA218" i="9"/>
  <c r="AA308" i="9"/>
  <c r="P327" i="9"/>
  <c r="R327" i="9" s="1"/>
  <c r="AA354" i="9"/>
  <c r="P280" i="9"/>
  <c r="R280" i="9" s="1"/>
  <c r="AC56" i="9"/>
  <c r="AE56" i="9" s="1"/>
  <c r="AD240" i="9"/>
  <c r="AC338" i="9"/>
  <c r="AE338" i="9" s="1"/>
  <c r="AD395" i="9"/>
  <c r="AD92" i="9"/>
  <c r="P154" i="9"/>
  <c r="R154" i="9" s="1"/>
  <c r="AA458" i="9"/>
  <c r="AA508" i="9"/>
  <c r="AC268" i="9"/>
  <c r="AD268" i="9" s="1"/>
  <c r="AC44" i="9"/>
  <c r="AE44" i="9" s="1"/>
  <c r="P162" i="9"/>
  <c r="R162" i="9" s="1"/>
  <c r="AA206" i="9"/>
  <c r="AB508" i="9"/>
  <c r="AD12" i="9"/>
  <c r="AA207" i="9"/>
  <c r="AA254" i="9"/>
  <c r="AC265" i="9"/>
  <c r="AE265" i="9" s="1"/>
  <c r="AD168" i="9"/>
  <c r="AA434" i="9"/>
  <c r="AA470" i="9"/>
  <c r="AA489" i="9"/>
  <c r="AA199" i="9"/>
  <c r="AA246" i="9"/>
  <c r="O268" i="9"/>
  <c r="AA236" i="9"/>
  <c r="AC248" i="9"/>
  <c r="AE248" i="9" s="1"/>
  <c r="AD341" i="9"/>
  <c r="AD407" i="9"/>
  <c r="AD68" i="9"/>
  <c r="P153" i="9"/>
  <c r="R153" i="9" s="1"/>
  <c r="P428" i="9"/>
  <c r="R428" i="9" s="1"/>
  <c r="AA463" i="9"/>
  <c r="P464" i="9"/>
  <c r="R464" i="9" s="1"/>
  <c r="AD483" i="9"/>
  <c r="P522" i="9"/>
  <c r="R522" i="9" s="1"/>
  <c r="O580" i="9"/>
  <c r="P180" i="9"/>
  <c r="R180" i="9" s="1"/>
  <c r="P118" i="9"/>
  <c r="R118" i="9" s="1"/>
  <c r="P333" i="9"/>
  <c r="R333" i="9" s="1"/>
  <c r="AA391" i="9"/>
  <c r="AC229" i="9"/>
  <c r="AE229" i="9" s="1"/>
  <c r="AD209" i="9"/>
  <c r="P482" i="9"/>
  <c r="R482" i="9" s="1"/>
  <c r="AA507" i="9"/>
  <c r="AD437" i="9"/>
  <c r="AD263" i="9"/>
  <c r="AA117" i="9"/>
  <c r="P210" i="9"/>
  <c r="R210" i="9" s="1"/>
  <c r="O316" i="9"/>
  <c r="AD311" i="9"/>
  <c r="AD331" i="9"/>
  <c r="AA280" i="9"/>
  <c r="P449" i="9"/>
  <c r="R449" i="9" s="1"/>
  <c r="P474" i="9"/>
  <c r="R474" i="9" s="1"/>
  <c r="AA499" i="9"/>
  <c r="AA496" i="9"/>
  <c r="O532" i="9"/>
  <c r="P219" i="9"/>
  <c r="R219" i="9" s="1"/>
  <c r="AD339" i="9"/>
  <c r="AC258" i="9"/>
  <c r="AE258" i="9" s="1"/>
  <c r="AD245" i="9"/>
  <c r="P483" i="9"/>
  <c r="R483" i="9" s="1"/>
  <c r="AA500" i="9"/>
  <c r="P247" i="9"/>
  <c r="R247" i="9" s="1"/>
  <c r="P491" i="9"/>
  <c r="R491" i="9" s="1"/>
  <c r="P130" i="9"/>
  <c r="R130" i="9" s="1"/>
  <c r="AA188" i="9"/>
  <c r="AA243" i="9"/>
  <c r="P343" i="9"/>
  <c r="R343" i="9" s="1"/>
  <c r="AC406" i="9"/>
  <c r="AE406" i="9" s="1"/>
  <c r="AD135" i="9"/>
  <c r="AC221" i="9"/>
  <c r="AE221" i="9" s="1"/>
  <c r="AC208" i="9"/>
  <c r="AE208" i="9" s="1"/>
  <c r="AC501" i="9"/>
  <c r="AE501" i="9" s="1"/>
  <c r="AD591" i="9"/>
  <c r="AD40" i="9"/>
  <c r="P101" i="9"/>
  <c r="R101" i="9" s="1"/>
  <c r="P195" i="9"/>
  <c r="R195" i="9" s="1"/>
  <c r="AC91" i="9"/>
  <c r="AE91" i="9" s="1"/>
  <c r="AD149" i="9"/>
  <c r="P178" i="9"/>
  <c r="R178" i="9" s="1"/>
  <c r="P421" i="9"/>
  <c r="R421" i="9" s="1"/>
  <c r="P579" i="9"/>
  <c r="R579" i="9" s="1"/>
  <c r="AD587" i="9"/>
  <c r="P49" i="9"/>
  <c r="R49" i="9" s="1"/>
  <c r="AD302" i="9"/>
  <c r="P42" i="9"/>
  <c r="R42" i="9" s="1"/>
  <c r="N100" i="9"/>
  <c r="P241" i="9"/>
  <c r="R241" i="9" s="1"/>
  <c r="AD166" i="9"/>
  <c r="AD223" i="9"/>
  <c r="P436" i="9"/>
  <c r="Q436" i="9" s="1"/>
  <c r="P489" i="9"/>
  <c r="R489" i="9" s="1"/>
  <c r="P571" i="9"/>
  <c r="R571" i="9" s="1"/>
  <c r="AD535" i="9"/>
  <c r="AA213" i="9"/>
  <c r="P22" i="9"/>
  <c r="R22" i="9" s="1"/>
  <c r="AD20" i="9"/>
  <c r="P34" i="9"/>
  <c r="R34" i="9" s="1"/>
  <c r="AD232" i="9"/>
  <c r="P276" i="9"/>
  <c r="R276" i="9" s="1"/>
  <c r="AD342" i="9"/>
  <c r="AD592" i="9"/>
  <c r="P5" i="9"/>
  <c r="R5" i="9" s="1"/>
  <c r="O52" i="9"/>
  <c r="P334" i="9"/>
  <c r="R334" i="9" s="1"/>
  <c r="N364" i="9"/>
  <c r="AA399" i="9"/>
  <c r="AC97" i="9"/>
  <c r="AE97" i="9" s="1"/>
  <c r="AD185" i="9"/>
  <c r="P232" i="9"/>
  <c r="R232" i="9" s="1"/>
  <c r="P541" i="9"/>
  <c r="R541" i="9" s="1"/>
  <c r="AD47" i="9"/>
  <c r="AD350" i="9"/>
  <c r="AA13" i="9"/>
  <c r="AA87" i="9"/>
  <c r="AA105" i="9"/>
  <c r="P205" i="9"/>
  <c r="R205" i="9" s="1"/>
  <c r="P234" i="9"/>
  <c r="R234" i="9" s="1"/>
  <c r="P296" i="9"/>
  <c r="R296" i="9" s="1"/>
  <c r="AA38" i="9"/>
  <c r="AC141" i="9"/>
  <c r="AE141" i="9" s="1"/>
  <c r="P589" i="9"/>
  <c r="R589" i="9" s="1"/>
  <c r="P197" i="9"/>
  <c r="R197" i="9" s="1"/>
  <c r="P225" i="9"/>
  <c r="R225" i="9" s="1"/>
  <c r="P306" i="9"/>
  <c r="R306" i="9" s="1"/>
  <c r="AC394" i="9"/>
  <c r="AE394" i="9" s="1"/>
  <c r="AD230" i="9"/>
  <c r="AA332" i="9"/>
  <c r="AC168" i="9"/>
  <c r="AE168" i="9" s="1"/>
  <c r="AA139" i="9"/>
  <c r="AC107" i="9"/>
  <c r="AE107" i="9" s="1"/>
  <c r="AA69" i="9"/>
  <c r="P431" i="9"/>
  <c r="R431" i="9" s="1"/>
  <c r="AC414" i="9"/>
  <c r="AE414" i="9" s="1"/>
  <c r="AD569" i="9"/>
  <c r="P10" i="9"/>
  <c r="R10" i="9" s="1"/>
  <c r="AA51" i="9"/>
  <c r="AA134" i="9"/>
  <c r="AA159" i="9"/>
  <c r="P290" i="9"/>
  <c r="R290" i="9" s="1"/>
  <c r="AA297" i="9"/>
  <c r="P361" i="9"/>
  <c r="R361" i="9" s="1"/>
  <c r="AD324" i="9"/>
  <c r="P136" i="9"/>
  <c r="Q136" i="9" s="1"/>
  <c r="AA421" i="9"/>
  <c r="AA511" i="9"/>
  <c r="AD541" i="9"/>
  <c r="AA8" i="9"/>
  <c r="AA126" i="9"/>
  <c r="N208" i="9"/>
  <c r="AD244" i="9"/>
  <c r="AC29" i="9"/>
  <c r="AE29" i="9" s="1"/>
  <c r="AD161" i="9"/>
  <c r="AC72" i="9"/>
  <c r="AE72" i="9" s="1"/>
  <c r="AD108" i="9"/>
  <c r="P82" i="9"/>
  <c r="R82" i="9" s="1"/>
  <c r="AA219" i="9"/>
  <c r="P254" i="9"/>
  <c r="R254" i="9" s="1"/>
  <c r="AA278" i="9"/>
  <c r="P354" i="9"/>
  <c r="R354" i="9" s="1"/>
  <c r="AA405" i="9"/>
  <c r="P412" i="9"/>
  <c r="R412" i="9" s="1"/>
  <c r="AA392" i="9"/>
  <c r="AA208" i="9"/>
  <c r="AA328" i="9"/>
  <c r="AD430" i="9"/>
  <c r="AD438" i="9"/>
  <c r="AC472" i="9"/>
  <c r="AE472" i="9" s="1"/>
  <c r="AC508" i="9"/>
  <c r="AE508" i="9" s="1"/>
  <c r="AA80" i="9"/>
  <c r="N112" i="9"/>
  <c r="N136" i="9"/>
  <c r="P138" i="9"/>
  <c r="R138" i="9" s="1"/>
  <c r="P246" i="9"/>
  <c r="R246" i="9" s="1"/>
  <c r="AA262" i="9"/>
  <c r="AA272" i="9"/>
  <c r="AC408" i="9"/>
  <c r="AE408" i="9" s="1"/>
  <c r="AD359" i="9"/>
  <c r="P62" i="9"/>
  <c r="R62" i="9" s="1"/>
  <c r="AD204" i="9"/>
  <c r="AA116" i="9"/>
  <c r="AC590" i="9"/>
  <c r="AE590" i="9" s="1"/>
  <c r="AC453" i="9"/>
  <c r="AE453" i="9" s="1"/>
  <c r="AA427" i="9"/>
  <c r="AD464" i="9"/>
  <c r="AA16" i="9"/>
  <c r="AC264" i="9"/>
  <c r="AE264" i="9" s="1"/>
  <c r="AD60" i="9"/>
  <c r="P206" i="9"/>
  <c r="R206" i="9" s="1"/>
  <c r="AC220" i="9"/>
  <c r="AE220" i="9" s="1"/>
  <c r="P326" i="9"/>
  <c r="R326" i="9" s="1"/>
  <c r="AA333" i="9"/>
  <c r="P393" i="9"/>
  <c r="R393" i="9" s="1"/>
  <c r="AD53" i="9"/>
  <c r="P467" i="9"/>
  <c r="R467" i="9" s="1"/>
  <c r="P399" i="9"/>
  <c r="R399" i="9" s="1"/>
  <c r="AD288" i="9"/>
  <c r="AD409" i="9"/>
  <c r="P19" i="9"/>
  <c r="R19" i="9" s="1"/>
  <c r="P135" i="9"/>
  <c r="R135" i="9" s="1"/>
  <c r="AA194" i="9"/>
  <c r="P198" i="9"/>
  <c r="R198" i="9" s="1"/>
  <c r="P318" i="9"/>
  <c r="R318" i="9" s="1"/>
  <c r="AA124" i="9"/>
  <c r="AA475" i="9"/>
  <c r="AD465" i="9"/>
  <c r="P458" i="9"/>
  <c r="R458" i="9" s="1"/>
  <c r="P502" i="9"/>
  <c r="R502" i="9" s="1"/>
  <c r="AC527" i="9"/>
  <c r="AE527" i="9" s="1"/>
  <c r="P546" i="9"/>
  <c r="R546" i="9" s="1"/>
  <c r="AA7" i="9"/>
  <c r="O28" i="9"/>
  <c r="P32" i="9"/>
  <c r="R32" i="9" s="1"/>
  <c r="P86" i="9"/>
  <c r="R86" i="9" s="1"/>
  <c r="P93" i="9"/>
  <c r="R93" i="9" s="1"/>
  <c r="P133" i="9"/>
  <c r="R133" i="9" s="1"/>
  <c r="AA120" i="9"/>
  <c r="P207" i="9"/>
  <c r="R207" i="9" s="1"/>
  <c r="P218" i="9"/>
  <c r="R218" i="9" s="1"/>
  <c r="N220" i="9"/>
  <c r="P224" i="9"/>
  <c r="R224" i="9" s="1"/>
  <c r="AA225" i="9"/>
  <c r="AC292" i="9"/>
  <c r="AD292" i="9" s="1"/>
  <c r="P77" i="9"/>
  <c r="R77" i="9" s="1"/>
  <c r="AA248" i="9"/>
  <c r="AC84" i="9"/>
  <c r="AE84" i="9" s="1"/>
  <c r="AD85" i="9"/>
  <c r="P286" i="9"/>
  <c r="R286" i="9" s="1"/>
  <c r="AC164" i="9"/>
  <c r="AE164" i="9" s="1"/>
  <c r="AD266" i="9"/>
  <c r="AD90" i="9"/>
  <c r="P285" i="9"/>
  <c r="R285" i="9" s="1"/>
  <c r="AA265" i="9"/>
  <c r="P268" i="9"/>
  <c r="P459" i="9"/>
  <c r="R459" i="9" s="1"/>
  <c r="AA495" i="9"/>
  <c r="AD505" i="9"/>
  <c r="AA490" i="9"/>
  <c r="AC413" i="9"/>
  <c r="AE413" i="9" s="1"/>
  <c r="AA512" i="9"/>
  <c r="P548" i="9"/>
  <c r="R548" i="9" s="1"/>
  <c r="P544" i="9"/>
  <c r="Q544" i="9" s="1"/>
  <c r="AA533" i="9"/>
  <c r="AA539" i="9"/>
  <c r="AA563" i="9"/>
  <c r="P43" i="9"/>
  <c r="R43" i="9" s="1"/>
  <c r="P79" i="9"/>
  <c r="R79" i="9" s="1"/>
  <c r="AA152" i="9"/>
  <c r="P194" i="9"/>
  <c r="R194" i="9" s="1"/>
  <c r="P269" i="9"/>
  <c r="R269" i="9" s="1"/>
  <c r="AA177" i="9"/>
  <c r="AD91" i="9"/>
  <c r="AD222" i="9"/>
  <c r="AC67" i="9"/>
  <c r="AE67" i="9" s="1"/>
  <c r="P48" i="9"/>
  <c r="R48" i="9" s="1"/>
  <c r="P204" i="9"/>
  <c r="R204" i="9" s="1"/>
  <c r="AD75" i="9"/>
  <c r="P28" i="9"/>
  <c r="Q28" i="9" s="1"/>
  <c r="AA83" i="9"/>
  <c r="N16" i="9"/>
  <c r="P80" i="9"/>
  <c r="R80" i="9" s="1"/>
  <c r="P109" i="9"/>
  <c r="R109" i="9" s="1"/>
  <c r="AA93" i="9"/>
  <c r="P127" i="9"/>
  <c r="R127" i="9" s="1"/>
  <c r="AA212" i="9"/>
  <c r="AD167" i="9"/>
  <c r="AD84" i="9"/>
  <c r="AA30" i="9"/>
  <c r="AC117" i="9"/>
  <c r="AE117" i="9" s="1"/>
  <c r="AA320" i="9"/>
  <c r="P438" i="9"/>
  <c r="R438" i="9" s="1"/>
  <c r="AA482" i="9"/>
  <c r="P507" i="9"/>
  <c r="R507" i="9" s="1"/>
  <c r="O544" i="9"/>
  <c r="AD553" i="9"/>
  <c r="P121" i="9"/>
  <c r="R121" i="9" s="1"/>
  <c r="P169" i="9"/>
  <c r="R169" i="9" s="1"/>
  <c r="P211" i="9"/>
  <c r="R211" i="9" s="1"/>
  <c r="P220" i="9"/>
  <c r="R220" i="9" s="1"/>
  <c r="P38" i="9"/>
  <c r="R38" i="9" s="1"/>
  <c r="AC250" i="9"/>
  <c r="AE250" i="9" s="1"/>
  <c r="AD67" i="9"/>
  <c r="AC192" i="9"/>
  <c r="AE192" i="9" s="1"/>
  <c r="AA284" i="9"/>
  <c r="P16" i="9"/>
  <c r="AC105" i="9"/>
  <c r="AE105" i="9" s="1"/>
  <c r="P256" i="9"/>
  <c r="R256" i="9" s="1"/>
  <c r="AC212" i="9"/>
  <c r="AE212" i="9" s="1"/>
  <c r="AC60" i="9"/>
  <c r="AE60" i="9" s="1"/>
  <c r="AA310" i="9"/>
  <c r="AD216" i="9"/>
  <c r="AA141" i="9"/>
  <c r="P177" i="9"/>
  <c r="R177" i="9" s="1"/>
  <c r="AD143" i="9"/>
  <c r="AC302" i="9"/>
  <c r="AE302" i="9" s="1"/>
  <c r="AA28" i="9"/>
  <c r="AA220" i="9"/>
  <c r="P423" i="9"/>
  <c r="R423" i="9" s="1"/>
  <c r="AA453" i="9"/>
  <c r="P499" i="9"/>
  <c r="R499" i="9" s="1"/>
  <c r="AD457" i="9"/>
  <c r="AD461" i="9"/>
  <c r="AC466" i="9"/>
  <c r="AE466" i="9" s="1"/>
  <c r="P144" i="9"/>
  <c r="R144" i="9" s="1"/>
  <c r="AD561" i="9"/>
  <c r="AC119" i="9"/>
  <c r="AE119" i="9" s="1"/>
  <c r="P235" i="9"/>
  <c r="R235" i="9" s="1"/>
  <c r="AA292" i="9"/>
  <c r="P172" i="9"/>
  <c r="R172" i="9" s="1"/>
  <c r="AD21" i="9"/>
  <c r="AD169" i="9"/>
  <c r="AA33" i="9"/>
  <c r="AA57" i="9"/>
  <c r="AA81" i="9"/>
  <c r="AA103" i="9"/>
  <c r="P163" i="9"/>
  <c r="R163" i="9" s="1"/>
  <c r="AD172" i="9"/>
  <c r="P187" i="9"/>
  <c r="R187" i="9" s="1"/>
  <c r="AA200" i="9"/>
  <c r="AA283" i="9"/>
  <c r="AA346" i="9"/>
  <c r="AA355" i="9"/>
  <c r="AD109" i="9"/>
  <c r="AD145" i="9"/>
  <c r="AD99" i="9"/>
  <c r="AD192" i="9"/>
  <c r="AC155" i="9"/>
  <c r="AE155" i="9" s="1"/>
  <c r="AA394" i="9"/>
  <c r="AD31" i="9"/>
  <c r="P492" i="9"/>
  <c r="R492" i="9" s="1"/>
  <c r="P476" i="9"/>
  <c r="R476" i="9" s="1"/>
  <c r="AA522" i="9"/>
  <c r="P550" i="9"/>
  <c r="R550" i="9" s="1"/>
  <c r="AC323" i="9"/>
  <c r="AE323" i="9" s="1"/>
  <c r="AC26" i="9"/>
  <c r="AE26" i="9" s="1"/>
  <c r="P26" i="9"/>
  <c r="R26" i="9" s="1"/>
  <c r="P36" i="9"/>
  <c r="R36" i="9" s="1"/>
  <c r="AC36" i="9"/>
  <c r="AE36" i="9" s="1"/>
  <c r="AD42" i="9"/>
  <c r="AA42" i="9"/>
  <c r="AD58" i="9"/>
  <c r="AA58" i="9"/>
  <c r="AD129" i="9"/>
  <c r="AA129" i="9"/>
  <c r="AD183" i="9"/>
  <c r="AA183" i="9"/>
  <c r="AC260" i="9"/>
  <c r="AE260" i="9" s="1"/>
  <c r="P260" i="9"/>
  <c r="R260" i="9" s="1"/>
  <c r="P275" i="9"/>
  <c r="R275" i="9" s="1"/>
  <c r="AC275" i="9"/>
  <c r="AE275" i="9" s="1"/>
  <c r="P295" i="9"/>
  <c r="R295" i="9" s="1"/>
  <c r="AC295" i="9"/>
  <c r="AE295" i="9" s="1"/>
  <c r="AD329" i="9"/>
  <c r="AA329" i="9"/>
  <c r="AC331" i="9"/>
  <c r="AE331" i="9" s="1"/>
  <c r="P331" i="9"/>
  <c r="R331" i="9" s="1"/>
  <c r="AC402" i="9"/>
  <c r="AE402" i="9" s="1"/>
  <c r="P402" i="9"/>
  <c r="R402" i="9" s="1"/>
  <c r="AD524" i="9"/>
  <c r="AA524" i="9"/>
  <c r="AD538" i="9"/>
  <c r="AA538" i="9"/>
  <c r="AA79" i="9"/>
  <c r="AC136" i="9"/>
  <c r="AE136" i="9" s="1"/>
  <c r="P181" i="9"/>
  <c r="R181" i="9" s="1"/>
  <c r="O256" i="9"/>
  <c r="AA327" i="9"/>
  <c r="P401" i="9"/>
  <c r="R401" i="9" s="1"/>
  <c r="AC321" i="9"/>
  <c r="AE321" i="9" s="1"/>
  <c r="AA173" i="9"/>
  <c r="AA137" i="9"/>
  <c r="AD18" i="9"/>
  <c r="AA18" i="9"/>
  <c r="AC20" i="9"/>
  <c r="AE20" i="9" s="1"/>
  <c r="AD25" i="9"/>
  <c r="AA25" i="9"/>
  <c r="AC27" i="9"/>
  <c r="AE27" i="9" s="1"/>
  <c r="P27" i="9"/>
  <c r="R27" i="9" s="1"/>
  <c r="P89" i="9"/>
  <c r="R89" i="9" s="1"/>
  <c r="AC89" i="9"/>
  <c r="AE89" i="9" s="1"/>
  <c r="AD94" i="9"/>
  <c r="AA94" i="9"/>
  <c r="AD104" i="9"/>
  <c r="AA104" i="9"/>
  <c r="P106" i="9"/>
  <c r="R106" i="9" s="1"/>
  <c r="AC106" i="9"/>
  <c r="AE106" i="9" s="1"/>
  <c r="AD111" i="9"/>
  <c r="AA111" i="9"/>
  <c r="N124" i="9"/>
  <c r="O124" i="9"/>
  <c r="AC171" i="9"/>
  <c r="AE171" i="9" s="1"/>
  <c r="P171" i="9"/>
  <c r="R171" i="9" s="1"/>
  <c r="AC173" i="9"/>
  <c r="AE173" i="9" s="1"/>
  <c r="P173" i="9"/>
  <c r="R173" i="9" s="1"/>
  <c r="AD186" i="9"/>
  <c r="AA186" i="9"/>
  <c r="P244" i="9"/>
  <c r="O244" i="9"/>
  <c r="AD249" i="9"/>
  <c r="AA249" i="9"/>
  <c r="P251" i="9"/>
  <c r="R251" i="9" s="1"/>
  <c r="AC251" i="9"/>
  <c r="AE251" i="9" s="1"/>
  <c r="AC270" i="9"/>
  <c r="AE270" i="9" s="1"/>
  <c r="P270" i="9"/>
  <c r="R270" i="9" s="1"/>
  <c r="P470" i="9"/>
  <c r="R470" i="9" s="1"/>
  <c r="AC470" i="9"/>
  <c r="AE470" i="9" s="1"/>
  <c r="AD572" i="9"/>
  <c r="AA572" i="9"/>
  <c r="P237" i="9"/>
  <c r="R237" i="9" s="1"/>
  <c r="AC237" i="9"/>
  <c r="AE237" i="9" s="1"/>
  <c r="P262" i="9"/>
  <c r="R262" i="9" s="1"/>
  <c r="AC262" i="9"/>
  <c r="AE262" i="9" s="1"/>
  <c r="AA205" i="9"/>
  <c r="AD205" i="9"/>
  <c r="AA251" i="9"/>
  <c r="AD251" i="9"/>
  <c r="AC351" i="9"/>
  <c r="AE351" i="9" s="1"/>
  <c r="P351" i="9"/>
  <c r="R351" i="9" s="1"/>
  <c r="P53" i="9"/>
  <c r="R53" i="9" s="1"/>
  <c r="P245" i="9"/>
  <c r="R245" i="9" s="1"/>
  <c r="P208" i="9"/>
  <c r="Q208" i="9" s="1"/>
  <c r="O76" i="9"/>
  <c r="N76" i="9"/>
  <c r="AD97" i="9"/>
  <c r="AA97" i="9"/>
  <c r="P99" i="9"/>
  <c r="R99" i="9" s="1"/>
  <c r="AC99" i="9"/>
  <c r="AE99" i="9" s="1"/>
  <c r="P152" i="9"/>
  <c r="R152" i="9" s="1"/>
  <c r="AC152" i="9"/>
  <c r="AE152" i="9" s="1"/>
  <c r="AA156" i="9"/>
  <c r="AD156" i="9"/>
  <c r="AD198" i="9"/>
  <c r="AA198" i="9"/>
  <c r="P200" i="9"/>
  <c r="R200" i="9" s="1"/>
  <c r="AC200" i="9"/>
  <c r="AE200" i="9" s="1"/>
  <c r="AC222" i="9"/>
  <c r="AE222" i="9" s="1"/>
  <c r="P222" i="9"/>
  <c r="R222" i="9" s="1"/>
  <c r="AD237" i="9"/>
  <c r="AA237" i="9"/>
  <c r="P239" i="9"/>
  <c r="R239" i="9" s="1"/>
  <c r="AC239" i="9"/>
  <c r="AE239" i="9" s="1"/>
  <c r="AC289" i="9"/>
  <c r="AE289" i="9" s="1"/>
  <c r="P289" i="9"/>
  <c r="R289" i="9" s="1"/>
  <c r="P292" i="9"/>
  <c r="N292" i="9"/>
  <c r="AC344" i="9"/>
  <c r="AE344" i="9" s="1"/>
  <c r="P344" i="9"/>
  <c r="R344" i="9" s="1"/>
  <c r="AC353" i="9"/>
  <c r="AE353" i="9" s="1"/>
  <c r="P353" i="9"/>
  <c r="R353" i="9" s="1"/>
  <c r="AA514" i="9"/>
  <c r="AD514" i="9"/>
  <c r="AC516" i="9"/>
  <c r="AE516" i="9" s="1"/>
  <c r="P516" i="9"/>
  <c r="R516" i="9" s="1"/>
  <c r="AA19" i="9"/>
  <c r="AD19" i="9"/>
  <c r="AA121" i="9"/>
  <c r="AD121" i="9"/>
  <c r="AD226" i="9"/>
  <c r="AA226" i="9"/>
  <c r="AD235" i="9"/>
  <c r="AA235" i="9"/>
  <c r="AC332" i="9"/>
  <c r="AE332" i="9" s="1"/>
  <c r="P332" i="9"/>
  <c r="R332" i="9" s="1"/>
  <c r="AA389" i="9"/>
  <c r="AD389" i="9"/>
  <c r="AA89" i="9"/>
  <c r="AD89" i="9"/>
  <c r="P98" i="9"/>
  <c r="R98" i="9" s="1"/>
  <c r="AC98" i="9"/>
  <c r="AE98" i="9" s="1"/>
  <c r="AC316" i="9"/>
  <c r="P316" i="9"/>
  <c r="Q316" i="9" s="1"/>
  <c r="O400" i="9"/>
  <c r="P400" i="9"/>
  <c r="R400" i="9" s="1"/>
  <c r="N400" i="9"/>
  <c r="P139" i="9"/>
  <c r="R139" i="9" s="1"/>
  <c r="AA242" i="9"/>
  <c r="P398" i="9"/>
  <c r="R398" i="9" s="1"/>
  <c r="AD295" i="9"/>
  <c r="AA293" i="9"/>
  <c r="AA34" i="9"/>
  <c r="AA62" i="9"/>
  <c r="AD62" i="9"/>
  <c r="AD72" i="9"/>
  <c r="AA72" i="9"/>
  <c r="AD82" i="9"/>
  <c r="AA82" i="9"/>
  <c r="AD142" i="9"/>
  <c r="AA142" i="9"/>
  <c r="AC160" i="9"/>
  <c r="AD160" i="9" s="1"/>
  <c r="P160" i="9"/>
  <c r="Q160" i="9" s="1"/>
  <c r="AC209" i="9"/>
  <c r="AE209" i="9" s="1"/>
  <c r="P209" i="9"/>
  <c r="R209" i="9" s="1"/>
  <c r="P215" i="9"/>
  <c r="R215" i="9" s="1"/>
  <c r="AC215" i="9"/>
  <c r="AE215" i="9" s="1"/>
  <c r="AC282" i="9"/>
  <c r="AE282" i="9" s="1"/>
  <c r="P282" i="9"/>
  <c r="R282" i="9" s="1"/>
  <c r="AD307" i="9"/>
  <c r="AA307" i="9"/>
  <c r="AC309" i="9"/>
  <c r="AE309" i="9" s="1"/>
  <c r="P309" i="9"/>
  <c r="R309" i="9" s="1"/>
  <c r="AC445" i="9"/>
  <c r="AE445" i="9" s="1"/>
  <c r="P445" i="9"/>
  <c r="R445" i="9" s="1"/>
  <c r="AD452" i="9"/>
  <c r="AA452" i="9"/>
  <c r="P509" i="9"/>
  <c r="R509" i="9" s="1"/>
  <c r="AC228" i="9"/>
  <c r="AE228" i="9" s="1"/>
  <c r="P228" i="9"/>
  <c r="R228" i="9" s="1"/>
  <c r="AC313" i="9"/>
  <c r="AE313" i="9" s="1"/>
  <c r="P313" i="9"/>
  <c r="R313" i="9" s="1"/>
  <c r="AD402" i="9"/>
  <c r="AA402" i="9"/>
  <c r="AA469" i="9"/>
  <c r="AD469" i="9"/>
  <c r="P51" i="9"/>
  <c r="R51" i="9" s="1"/>
  <c r="AD171" i="9"/>
  <c r="AA171" i="9"/>
  <c r="P314" i="9"/>
  <c r="R314" i="9" s="1"/>
  <c r="AC314" i="9"/>
  <c r="AE314" i="9" s="1"/>
  <c r="P116" i="9"/>
  <c r="R116" i="9" s="1"/>
  <c r="AA136" i="9"/>
  <c r="AA163" i="9"/>
  <c r="AD349" i="9"/>
  <c r="AA63" i="9"/>
  <c r="AD63" i="9"/>
  <c r="AD65" i="9"/>
  <c r="AA65" i="9"/>
  <c r="AC129" i="9"/>
  <c r="AE129" i="9" s="1"/>
  <c r="P129" i="9"/>
  <c r="R129" i="9" s="1"/>
  <c r="AD133" i="9"/>
  <c r="AA133" i="9"/>
  <c r="AC137" i="9"/>
  <c r="AE137" i="9" s="1"/>
  <c r="P137" i="9"/>
  <c r="R137" i="9" s="1"/>
  <c r="AA191" i="9"/>
  <c r="AD191" i="9"/>
  <c r="P202" i="9"/>
  <c r="R202" i="9" s="1"/>
  <c r="AC202" i="9"/>
  <c r="AE202" i="9" s="1"/>
  <c r="AD334" i="9"/>
  <c r="AA334" i="9"/>
  <c r="P524" i="9"/>
  <c r="R524" i="9" s="1"/>
  <c r="AC524" i="9"/>
  <c r="AE524" i="9" s="1"/>
  <c r="AD542" i="9"/>
  <c r="AA542" i="9"/>
  <c r="P553" i="9"/>
  <c r="R553" i="9" s="1"/>
  <c r="AC553" i="9"/>
  <c r="AE553" i="9" s="1"/>
  <c r="AD357" i="9"/>
  <c r="AA357" i="9"/>
  <c r="P559" i="9"/>
  <c r="R559" i="9" s="1"/>
  <c r="AC559" i="9"/>
  <c r="AE559" i="9" s="1"/>
  <c r="AC165" i="9"/>
  <c r="AE165" i="9" s="1"/>
  <c r="P7" i="9"/>
  <c r="R7" i="9" s="1"/>
  <c r="AC7" i="9"/>
  <c r="AE7" i="9" s="1"/>
  <c r="AD96" i="9"/>
  <c r="AA96" i="9"/>
  <c r="AC352" i="9"/>
  <c r="P352" i="9"/>
  <c r="AA390" i="9"/>
  <c r="AD390" i="9"/>
  <c r="AA403" i="9"/>
  <c r="AD49" i="9"/>
  <c r="P100" i="9"/>
  <c r="Q100" i="9" s="1"/>
  <c r="AD312" i="9"/>
  <c r="AA39" i="9"/>
  <c r="AD39" i="9"/>
  <c r="AA41" i="9"/>
  <c r="AD41" i="9"/>
  <c r="AA48" i="9"/>
  <c r="AD48" i="9"/>
  <c r="AC50" i="9"/>
  <c r="AE50" i="9" s="1"/>
  <c r="P50" i="9"/>
  <c r="R50" i="9" s="1"/>
  <c r="AC59" i="9"/>
  <c r="AE59" i="9" s="1"/>
  <c r="AA128" i="9"/>
  <c r="AD128" i="9"/>
  <c r="N148" i="9"/>
  <c r="P148" i="9"/>
  <c r="R148" i="9" s="1"/>
  <c r="O196" i="9"/>
  <c r="P196" i="9"/>
  <c r="AC266" i="9"/>
  <c r="AE266" i="9" s="1"/>
  <c r="P266" i="9"/>
  <c r="R266" i="9" s="1"/>
  <c r="AD299" i="9"/>
  <c r="AA299" i="9"/>
  <c r="AC301" i="9"/>
  <c r="AE301" i="9" s="1"/>
  <c r="P301" i="9"/>
  <c r="R301" i="9" s="1"/>
  <c r="O304" i="9"/>
  <c r="N304" i="9"/>
  <c r="P304" i="9"/>
  <c r="AC337" i="9"/>
  <c r="AE337" i="9" s="1"/>
  <c r="P337" i="9"/>
  <c r="R337" i="9" s="1"/>
  <c r="P439" i="9"/>
  <c r="R439" i="9" s="1"/>
  <c r="AC439" i="9"/>
  <c r="AE439" i="9" s="1"/>
  <c r="AA523" i="9"/>
  <c r="AD523" i="9"/>
  <c r="P547" i="9"/>
  <c r="R547" i="9" s="1"/>
  <c r="AC547" i="9"/>
  <c r="AE547" i="9" s="1"/>
  <c r="AD115" i="9"/>
  <c r="AA130" i="9"/>
  <c r="P446" i="9"/>
  <c r="R446" i="9" s="1"/>
  <c r="N472" i="9"/>
  <c r="P504" i="9"/>
  <c r="R504" i="9" s="1"/>
  <c r="AD518" i="9"/>
  <c r="AC555" i="9"/>
  <c r="AE555" i="9" s="1"/>
  <c r="AA477" i="9"/>
  <c r="AD107" i="9"/>
  <c r="AD144" i="9"/>
  <c r="P13" i="9"/>
  <c r="R13" i="9" s="1"/>
  <c r="P146" i="9"/>
  <c r="R146" i="9" s="1"/>
  <c r="AD201" i="9"/>
  <c r="AD101" i="9"/>
  <c r="AD180" i="9"/>
  <c r="AD56" i="9"/>
  <c r="AA148" i="9"/>
  <c r="P481" i="9"/>
  <c r="R481" i="9" s="1"/>
  <c r="AD455" i="9"/>
  <c r="AD415" i="9"/>
  <c r="AA520" i="9"/>
  <c r="P539" i="9"/>
  <c r="R539" i="9" s="1"/>
  <c r="O568" i="9"/>
  <c r="AC586" i="9"/>
  <c r="AE586" i="9" s="1"/>
  <c r="AC28" i="9"/>
  <c r="AE28" i="9" s="1"/>
  <c r="AC37" i="9"/>
  <c r="AE37" i="9" s="1"/>
  <c r="AA73" i="9"/>
  <c r="AA446" i="9"/>
  <c r="P494" i="9"/>
  <c r="R494" i="9" s="1"/>
  <c r="P560" i="9"/>
  <c r="R560" i="9" s="1"/>
  <c r="AA214" i="9"/>
  <c r="AD214" i="9"/>
  <c r="AA229" i="9"/>
  <c r="AD229" i="9"/>
  <c r="P303" i="9"/>
  <c r="R303" i="9" s="1"/>
  <c r="AC303" i="9"/>
  <c r="AE303" i="9" s="1"/>
  <c r="P64" i="9"/>
  <c r="AD88" i="9"/>
  <c r="AD78" i="9"/>
  <c r="AD102" i="9"/>
  <c r="AA102" i="9"/>
  <c r="P128" i="9"/>
  <c r="R128" i="9" s="1"/>
  <c r="AC128" i="9"/>
  <c r="AE128" i="9" s="1"/>
  <c r="AD322" i="9"/>
  <c r="AA322" i="9"/>
  <c r="AC324" i="9"/>
  <c r="AE324" i="9" s="1"/>
  <c r="P324" i="9"/>
  <c r="R324" i="9" s="1"/>
  <c r="P364" i="9"/>
  <c r="AD423" i="9"/>
  <c r="AA423" i="9"/>
  <c r="P479" i="9"/>
  <c r="R479" i="9" s="1"/>
  <c r="AC479" i="9"/>
  <c r="AE479" i="9" s="1"/>
  <c r="AC517" i="9"/>
  <c r="AE517" i="9" s="1"/>
  <c r="P517" i="9"/>
  <c r="R517" i="9" s="1"/>
  <c r="P525" i="9"/>
  <c r="R525" i="9" s="1"/>
  <c r="AC525" i="9"/>
  <c r="AE525" i="9" s="1"/>
  <c r="AA545" i="9"/>
  <c r="AD545" i="9"/>
  <c r="AA573" i="9"/>
  <c r="AD573" i="9"/>
  <c r="AC575" i="9"/>
  <c r="AE575" i="9" s="1"/>
  <c r="P575" i="9"/>
  <c r="R575" i="9" s="1"/>
  <c r="P103" i="9"/>
  <c r="R103" i="9" s="1"/>
  <c r="P410" i="9"/>
  <c r="R410" i="9" s="1"/>
  <c r="AA411" i="9"/>
  <c r="AA119" i="9"/>
  <c r="AD119" i="9"/>
  <c r="AA127" i="9"/>
  <c r="AD127" i="9"/>
  <c r="AD154" i="9"/>
  <c r="AA154" i="9"/>
  <c r="AD189" i="9"/>
  <c r="AA189" i="9"/>
  <c r="P191" i="9"/>
  <c r="R191" i="9" s="1"/>
  <c r="AC191" i="9"/>
  <c r="AE191" i="9" s="1"/>
  <c r="AD203" i="9"/>
  <c r="AA203" i="9"/>
  <c r="AD314" i="9"/>
  <c r="AA314" i="9"/>
  <c r="AC341" i="9"/>
  <c r="AE341" i="9" s="1"/>
  <c r="P341" i="9"/>
  <c r="R341" i="9" s="1"/>
  <c r="AD410" i="9"/>
  <c r="AA410" i="9"/>
  <c r="AE412" i="9"/>
  <c r="AD412" i="9"/>
  <c r="P432" i="9"/>
  <c r="R432" i="9" s="1"/>
  <c r="AC432" i="9"/>
  <c r="AE432" i="9" s="1"/>
  <c r="AD478" i="9"/>
  <c r="AA478" i="9"/>
  <c r="AD486" i="9"/>
  <c r="AA486" i="9"/>
  <c r="AD509" i="9"/>
  <c r="AA509" i="9"/>
  <c r="AC511" i="9"/>
  <c r="AE511" i="9" s="1"/>
  <c r="P511" i="9"/>
  <c r="R511" i="9" s="1"/>
  <c r="AC47" i="9"/>
  <c r="AE47" i="9" s="1"/>
  <c r="AD301" i="9"/>
  <c r="AA11" i="9"/>
  <c r="AD11" i="9"/>
  <c r="P35" i="9"/>
  <c r="R35" i="9" s="1"/>
  <c r="AC35" i="9"/>
  <c r="AE35" i="9" s="1"/>
  <c r="AD147" i="9"/>
  <c r="AA147" i="9"/>
  <c r="AD176" i="9"/>
  <c r="AA176" i="9"/>
  <c r="AA224" i="9"/>
  <c r="AD224" i="9"/>
  <c r="AD271" i="9"/>
  <c r="AA271" i="9"/>
  <c r="AC311" i="9"/>
  <c r="AE311" i="9" s="1"/>
  <c r="P311" i="9"/>
  <c r="R311" i="9" s="1"/>
  <c r="AA340" i="9"/>
  <c r="AD340" i="9"/>
  <c r="AC473" i="9"/>
  <c r="AE473" i="9" s="1"/>
  <c r="P473" i="9"/>
  <c r="R473" i="9" s="1"/>
  <c r="AC469" i="9"/>
  <c r="AE469" i="9" s="1"/>
  <c r="P469" i="9"/>
  <c r="R469" i="9" s="1"/>
  <c r="AA22" i="9"/>
  <c r="AD131" i="9"/>
  <c r="AA138" i="9"/>
  <c r="AA234" i="9"/>
  <c r="AD234" i="9"/>
  <c r="AD286" i="9"/>
  <c r="AA286" i="9"/>
  <c r="AD291" i="9"/>
  <c r="AA291" i="9"/>
  <c r="P312" i="9"/>
  <c r="R312" i="9" s="1"/>
  <c r="AC312" i="9"/>
  <c r="AE312" i="9" s="1"/>
  <c r="P357" i="9"/>
  <c r="R357" i="9" s="1"/>
  <c r="AC357" i="9"/>
  <c r="AE357" i="9" s="1"/>
  <c r="AD362" i="9"/>
  <c r="AA362" i="9"/>
  <c r="AC415" i="9"/>
  <c r="AE415" i="9" s="1"/>
  <c r="P415" i="9"/>
  <c r="R415" i="9" s="1"/>
  <c r="P562" i="9"/>
  <c r="R562" i="9" s="1"/>
  <c r="AC562" i="9"/>
  <c r="AE562" i="9" s="1"/>
  <c r="AC24" i="9"/>
  <c r="AE24" i="9" s="1"/>
  <c r="N64" i="9"/>
  <c r="AD123" i="9"/>
  <c r="P30" i="9"/>
  <c r="R30" i="9" s="1"/>
  <c r="AC30" i="9"/>
  <c r="AE30" i="9" s="1"/>
  <c r="P131" i="9"/>
  <c r="R131" i="9" s="1"/>
  <c r="AC131" i="9"/>
  <c r="AE131" i="9" s="1"/>
  <c r="AD178" i="9"/>
  <c r="AA178" i="9"/>
  <c r="P442" i="9"/>
  <c r="R442" i="9" s="1"/>
  <c r="AC442" i="9"/>
  <c r="AE442" i="9" s="1"/>
  <c r="AA471" i="9"/>
  <c r="AD471" i="9"/>
  <c r="AA472" i="9"/>
  <c r="AB472" i="9"/>
  <c r="AD540" i="9"/>
  <c r="AA540" i="9"/>
  <c r="AC284" i="9"/>
  <c r="AE284" i="9" s="1"/>
  <c r="P284" i="9"/>
  <c r="R284" i="9" s="1"/>
  <c r="AC465" i="9"/>
  <c r="AE465" i="9" s="1"/>
  <c r="P465" i="9"/>
  <c r="R465" i="9" s="1"/>
  <c r="AA321" i="9"/>
  <c r="AD29" i="9"/>
  <c r="AA29" i="9"/>
  <c r="AC69" i="9"/>
  <c r="AE69" i="9" s="1"/>
  <c r="P69" i="9"/>
  <c r="R69" i="9" s="1"/>
  <c r="AD74" i="9"/>
  <c r="AA74" i="9"/>
  <c r="AC238" i="9"/>
  <c r="AE238" i="9" s="1"/>
  <c r="P238" i="9"/>
  <c r="R238" i="9" s="1"/>
  <c r="AB328" i="9"/>
  <c r="AC328" i="9"/>
  <c r="AD491" i="9"/>
  <c r="AD441" i="9"/>
  <c r="AA441" i="9"/>
  <c r="AC443" i="9"/>
  <c r="AE443" i="9" s="1"/>
  <c r="P443" i="9"/>
  <c r="R443" i="9" s="1"/>
  <c r="P581" i="9"/>
  <c r="R581" i="9" s="1"/>
  <c r="AC581" i="9"/>
  <c r="AE581" i="9" s="1"/>
  <c r="AA238" i="9"/>
  <c r="AD238" i="9"/>
  <c r="AA425" i="9"/>
  <c r="AD425" i="9"/>
  <c r="AC486" i="9"/>
  <c r="AE486" i="9" s="1"/>
  <c r="P486" i="9"/>
  <c r="R486" i="9" s="1"/>
  <c r="AC552" i="9"/>
  <c r="AE552" i="9" s="1"/>
  <c r="P552" i="9"/>
  <c r="R552" i="9" s="1"/>
  <c r="P18" i="9"/>
  <c r="R18" i="9" s="1"/>
  <c r="AA45" i="9"/>
  <c r="P71" i="9"/>
  <c r="R71" i="9" s="1"/>
  <c r="AC132" i="9"/>
  <c r="AE132" i="9" s="1"/>
  <c r="AA98" i="9"/>
  <c r="AD98" i="9"/>
  <c r="P126" i="9"/>
  <c r="R126" i="9" s="1"/>
  <c r="AC126" i="9"/>
  <c r="AE126" i="9" s="1"/>
  <c r="AD228" i="9"/>
  <c r="AA228" i="9"/>
  <c r="O232" i="9"/>
  <c r="N232" i="9"/>
  <c r="AD330" i="9"/>
  <c r="AA330" i="9"/>
  <c r="P336" i="9"/>
  <c r="R336" i="9" s="1"/>
  <c r="AC336" i="9"/>
  <c r="AE336" i="9" s="1"/>
  <c r="AC345" i="9"/>
  <c r="AE345" i="9" s="1"/>
  <c r="P345" i="9"/>
  <c r="R345" i="9" s="1"/>
  <c r="P530" i="9"/>
  <c r="R530" i="9" s="1"/>
  <c r="AC530" i="9"/>
  <c r="AE530" i="9" s="1"/>
  <c r="AC532" i="9"/>
  <c r="AD532" i="9" s="1"/>
  <c r="P532" i="9"/>
  <c r="R532" i="9" s="1"/>
  <c r="AC460" i="9"/>
  <c r="AE460" i="9" s="1"/>
  <c r="AC496" i="9"/>
  <c r="AA513" i="9"/>
  <c r="AD528" i="9"/>
  <c r="AD564" i="9"/>
  <c r="P557" i="9"/>
  <c r="R557" i="9" s="1"/>
  <c r="P529" i="9"/>
  <c r="R529" i="9" s="1"/>
  <c r="AD577" i="9"/>
  <c r="AC436" i="9"/>
  <c r="AE436" i="9" s="1"/>
  <c r="P498" i="9"/>
  <c r="R498" i="9" s="1"/>
  <c r="AA436" i="9"/>
  <c r="AD432" i="9"/>
  <c r="AD516" i="9"/>
  <c r="P521" i="9"/>
  <c r="R521" i="9" s="1"/>
  <c r="AC577" i="9"/>
  <c r="AE577" i="9" s="1"/>
  <c r="AA581" i="9"/>
  <c r="AD449" i="9"/>
  <c r="AD413" i="9"/>
  <c r="AD417" i="9"/>
  <c r="AC520" i="9"/>
  <c r="AE520" i="9" s="1"/>
  <c r="P565" i="9"/>
  <c r="R565" i="9" s="1"/>
  <c r="AC549" i="9"/>
  <c r="AE549" i="9" s="1"/>
  <c r="AC16" i="9"/>
  <c r="AD16" i="9" s="1"/>
  <c r="AC45" i="9"/>
  <c r="AE45" i="9" s="1"/>
  <c r="AC124" i="9"/>
  <c r="AE124" i="9" s="1"/>
  <c r="P184" i="9"/>
  <c r="Q184" i="9" s="1"/>
  <c r="AD504" i="9"/>
  <c r="AD456" i="9"/>
  <c r="AD480" i="9"/>
  <c r="P448" i="9"/>
  <c r="R448" i="9" s="1"/>
  <c r="AA460" i="9"/>
  <c r="AA519" i="9"/>
  <c r="AA543" i="9"/>
  <c r="AD534" i="9"/>
  <c r="AD556" i="9"/>
  <c r="AD76" i="9"/>
  <c r="AA583" i="9"/>
  <c r="P580" i="9"/>
  <c r="Q580" i="9" s="1"/>
  <c r="AC535" i="9"/>
  <c r="AE535" i="9" s="1"/>
  <c r="AC545" i="9"/>
  <c r="AE545" i="9" s="1"/>
  <c r="AE184" i="9"/>
  <c r="AD184" i="9"/>
  <c r="AC440" i="9"/>
  <c r="AE440" i="9" s="1"/>
  <c r="P440" i="9"/>
  <c r="R440" i="9" s="1"/>
  <c r="AA462" i="9"/>
  <c r="AD462" i="9"/>
  <c r="P551" i="9"/>
  <c r="R551" i="9" s="1"/>
  <c r="AC551" i="9"/>
  <c r="AE551" i="9" s="1"/>
  <c r="AA589" i="9"/>
  <c r="AD589" i="9"/>
  <c r="Q40" i="9"/>
  <c r="AA151" i="9"/>
  <c r="P193" i="9"/>
  <c r="R193" i="9" s="1"/>
  <c r="AA319" i="9"/>
  <c r="AD155" i="9"/>
  <c r="AE76" i="9"/>
  <c r="P342" i="9"/>
  <c r="R342" i="9" s="1"/>
  <c r="AD258" i="9"/>
  <c r="AA433" i="9"/>
  <c r="AD433" i="9"/>
  <c r="AC108" i="9"/>
  <c r="AE108" i="9" s="1"/>
  <c r="AD52" i="9"/>
  <c r="N88" i="9"/>
  <c r="P151" i="9"/>
  <c r="R151" i="9" s="1"/>
  <c r="AC196" i="9"/>
  <c r="AC39" i="9"/>
  <c r="AE39" i="9" s="1"/>
  <c r="AD323" i="9"/>
  <c r="AC96" i="9"/>
  <c r="AE96" i="9" s="1"/>
  <c r="AA23" i="9"/>
  <c r="AD202" i="9"/>
  <c r="AA202" i="9"/>
  <c r="AC427" i="9"/>
  <c r="AE427" i="9" s="1"/>
  <c r="P427" i="9"/>
  <c r="R427" i="9" s="1"/>
  <c r="AA454" i="9"/>
  <c r="AD454" i="9"/>
  <c r="AC493" i="9"/>
  <c r="AE493" i="9" s="1"/>
  <c r="P493" i="9"/>
  <c r="R493" i="9" s="1"/>
  <c r="N496" i="9"/>
  <c r="O496" i="9"/>
  <c r="P496" i="9"/>
  <c r="R496" i="9" s="1"/>
  <c r="AD501" i="9"/>
  <c r="AA501" i="9"/>
  <c r="P503" i="9"/>
  <c r="R503" i="9" s="1"/>
  <c r="AC503" i="9"/>
  <c r="AE503" i="9" s="1"/>
  <c r="AC533" i="9"/>
  <c r="AE533" i="9" s="1"/>
  <c r="P533" i="9"/>
  <c r="R533" i="9" s="1"/>
  <c r="AD536" i="9"/>
  <c r="AA536" i="9"/>
  <c r="AD566" i="9"/>
  <c r="AA566" i="9"/>
  <c r="AA5" i="9"/>
  <c r="AD459" i="9"/>
  <c r="AA459" i="9"/>
  <c r="AC567" i="9"/>
  <c r="AE567" i="9" s="1"/>
  <c r="P567" i="9"/>
  <c r="R567" i="9" s="1"/>
  <c r="N40" i="9"/>
  <c r="P88" i="9"/>
  <c r="N184" i="9"/>
  <c r="AD256" i="9"/>
  <c r="P122" i="9"/>
  <c r="R122" i="9" s="1"/>
  <c r="AC300" i="9"/>
  <c r="AE300" i="9" s="1"/>
  <c r="AA6" i="9"/>
  <c r="AA66" i="9"/>
  <c r="AD426" i="9"/>
  <c r="AA426" i="9"/>
  <c r="P480" i="9"/>
  <c r="R480" i="9" s="1"/>
  <c r="AC480" i="9"/>
  <c r="AE480" i="9" s="1"/>
  <c r="AD485" i="9"/>
  <c r="AA485" i="9"/>
  <c r="AA492" i="9"/>
  <c r="AD492" i="9"/>
  <c r="AA530" i="9"/>
  <c r="P23" i="9"/>
  <c r="R23" i="9" s="1"/>
  <c r="P9" i="9"/>
  <c r="R9" i="9" s="1"/>
  <c r="P87" i="9"/>
  <c r="R87" i="9" s="1"/>
  <c r="P73" i="9"/>
  <c r="R73" i="9" s="1"/>
  <c r="P92" i="9"/>
  <c r="R92" i="9" s="1"/>
  <c r="P183" i="9"/>
  <c r="R183" i="9" s="1"/>
  <c r="AA196" i="9"/>
  <c r="AC188" i="9"/>
  <c r="AE188" i="9" s="1"/>
  <c r="P81" i="9"/>
  <c r="R81" i="9" s="1"/>
  <c r="P236" i="9"/>
  <c r="R236" i="9" s="1"/>
  <c r="AB424" i="9"/>
  <c r="AA424" i="9"/>
  <c r="AC424" i="9"/>
  <c r="AC475" i="9"/>
  <c r="AE475" i="9" s="1"/>
  <c r="P475" i="9"/>
  <c r="R475" i="9" s="1"/>
  <c r="AC561" i="9"/>
  <c r="AE561" i="9" s="1"/>
  <c r="P561" i="9"/>
  <c r="R561" i="9" s="1"/>
  <c r="AD59" i="9"/>
  <c r="P14" i="9"/>
  <c r="R14" i="9" s="1"/>
  <c r="P55" i="9"/>
  <c r="R55" i="9" s="1"/>
  <c r="AD64" i="9"/>
  <c r="AA70" i="9"/>
  <c r="P110" i="9"/>
  <c r="R110" i="9" s="1"/>
  <c r="AC167" i="9"/>
  <c r="AE167" i="9" s="1"/>
  <c r="AC214" i="9"/>
  <c r="AE214" i="9" s="1"/>
  <c r="P52" i="9"/>
  <c r="AC66" i="9"/>
  <c r="AE66" i="9" s="1"/>
  <c r="AD231" i="9"/>
  <c r="P76" i="9"/>
  <c r="Q76" i="9" s="1"/>
  <c r="AA468" i="9"/>
  <c r="AD468" i="9"/>
  <c r="AD474" i="9"/>
  <c r="AA474" i="9"/>
  <c r="AD560" i="9"/>
  <c r="AA560" i="9"/>
  <c r="AB448" i="9"/>
  <c r="AA448" i="9"/>
  <c r="AC448" i="9"/>
  <c r="AD304" i="9"/>
  <c r="P6" i="9"/>
  <c r="R6" i="9" s="1"/>
  <c r="AD100" i="9"/>
  <c r="P161" i="9"/>
  <c r="R161" i="9" s="1"/>
  <c r="AD55" i="9"/>
  <c r="P25" i="9"/>
  <c r="R25" i="9" s="1"/>
  <c r="AA32" i="9"/>
  <c r="AC444" i="9"/>
  <c r="AE444" i="9" s="1"/>
  <c r="P444" i="9"/>
  <c r="R444" i="9" s="1"/>
  <c r="P447" i="9"/>
  <c r="R447" i="9" s="1"/>
  <c r="AD493" i="9"/>
  <c r="P472" i="9"/>
  <c r="P418" i="9"/>
  <c r="R418" i="9" s="1"/>
  <c r="AC418" i="9"/>
  <c r="AE418" i="9" s="1"/>
  <c r="P422" i="9"/>
  <c r="R422" i="9" s="1"/>
  <c r="AC422" i="9"/>
  <c r="AE422" i="9" s="1"/>
  <c r="P441" i="9"/>
  <c r="R441" i="9" s="1"/>
  <c r="AC441" i="9"/>
  <c r="AE441" i="9" s="1"/>
  <c r="AC450" i="9"/>
  <c r="AE450" i="9" s="1"/>
  <c r="P450" i="9"/>
  <c r="R450" i="9" s="1"/>
  <c r="AA479" i="9"/>
  <c r="AD479" i="9"/>
  <c r="P488" i="9"/>
  <c r="R488" i="9" s="1"/>
  <c r="AC488" i="9"/>
  <c r="AE488" i="9" s="1"/>
  <c r="AD517" i="9"/>
  <c r="AC518" i="9"/>
  <c r="AE518" i="9" s="1"/>
  <c r="P518" i="9"/>
  <c r="R518" i="9" s="1"/>
  <c r="AC528" i="9"/>
  <c r="AE528" i="9" s="1"/>
  <c r="P558" i="9"/>
  <c r="R558" i="9" s="1"/>
  <c r="P564" i="9"/>
  <c r="R564" i="9" s="1"/>
  <c r="AD537" i="9"/>
  <c r="AD555" i="9"/>
  <c r="AA555" i="9"/>
  <c r="AD585" i="9"/>
  <c r="AC419" i="9"/>
  <c r="AE419" i="9" s="1"/>
  <c r="P419" i="9"/>
  <c r="R419" i="9" s="1"/>
  <c r="N424" i="9"/>
  <c r="P424" i="9"/>
  <c r="O424" i="9"/>
  <c r="AC437" i="9"/>
  <c r="AE437" i="9" s="1"/>
  <c r="P437" i="9"/>
  <c r="R437" i="9" s="1"/>
  <c r="AC497" i="9"/>
  <c r="AE497" i="9" s="1"/>
  <c r="P497" i="9"/>
  <c r="R497" i="9" s="1"/>
  <c r="AA503" i="9"/>
  <c r="AD503" i="9"/>
  <c r="P508" i="9"/>
  <c r="N508" i="9"/>
  <c r="O508" i="9"/>
  <c r="AC510" i="9"/>
  <c r="AE510" i="9" s="1"/>
  <c r="P510" i="9"/>
  <c r="R510" i="9" s="1"/>
  <c r="AA526" i="9"/>
  <c r="AD526" i="9"/>
  <c r="AA567" i="9"/>
  <c r="AD567" i="9"/>
  <c r="AD574" i="9"/>
  <c r="AA574" i="9"/>
  <c r="P451" i="9"/>
  <c r="R451" i="9" s="1"/>
  <c r="AC477" i="9"/>
  <c r="AE477" i="9" s="1"/>
  <c r="P477" i="9"/>
  <c r="R477" i="9" s="1"/>
  <c r="AD488" i="9"/>
  <c r="AA488" i="9"/>
  <c r="AC514" i="9"/>
  <c r="AE514" i="9" s="1"/>
  <c r="AD557" i="9"/>
  <c r="AD551" i="9"/>
  <c r="AD547" i="9"/>
  <c r="AA547" i="9"/>
  <c r="AD575" i="9"/>
  <c r="AA575" i="9"/>
  <c r="P505" i="9"/>
  <c r="R505" i="9" s="1"/>
  <c r="AD444" i="9"/>
  <c r="AA435" i="9"/>
  <c r="AA419" i="9"/>
  <c r="AC420" i="9"/>
  <c r="AE420" i="9" s="1"/>
  <c r="P420" i="9"/>
  <c r="R420" i="9" s="1"/>
  <c r="AA451" i="9"/>
  <c r="AD451" i="9"/>
  <c r="P460" i="9"/>
  <c r="N460" i="9"/>
  <c r="AA467" i="9"/>
  <c r="AD476" i="9"/>
  <c r="AA476" i="9"/>
  <c r="O484" i="9"/>
  <c r="P484" i="9"/>
  <c r="P519" i="9"/>
  <c r="R519" i="9" s="1"/>
  <c r="AD510" i="9"/>
  <c r="P515" i="9"/>
  <c r="R515" i="9" s="1"/>
  <c r="AC515" i="9"/>
  <c r="AE515" i="9" s="1"/>
  <c r="AA592" i="9"/>
  <c r="AC582" i="9"/>
  <c r="AE582" i="9" s="1"/>
  <c r="AA558" i="9"/>
  <c r="AD558" i="9"/>
  <c r="AD570" i="9"/>
  <c r="AA570" i="9"/>
  <c r="AA576" i="9"/>
  <c r="AD576" i="9"/>
  <c r="P588" i="9"/>
  <c r="R588" i="9" s="1"/>
  <c r="AC588" i="9"/>
  <c r="AE588" i="9" s="1"/>
  <c r="P426" i="9"/>
  <c r="R426" i="9" s="1"/>
  <c r="AC426" i="9"/>
  <c r="AE426" i="9" s="1"/>
  <c r="AD506" i="9"/>
  <c r="AA506" i="9"/>
  <c r="P520" i="9"/>
  <c r="AC554" i="9"/>
  <c r="AE554" i="9" s="1"/>
  <c r="P554" i="9"/>
  <c r="R554" i="9" s="1"/>
  <c r="AC566" i="9"/>
  <c r="AE566" i="9" s="1"/>
  <c r="AD571" i="9"/>
  <c r="AA274" i="9"/>
  <c r="P462" i="9"/>
  <c r="R462" i="9" s="1"/>
  <c r="AA487" i="9"/>
  <c r="AA418" i="9"/>
  <c r="AA416" i="9"/>
  <c r="P417" i="9"/>
  <c r="R417" i="9" s="1"/>
  <c r="AA428" i="9"/>
  <c r="AD428" i="9"/>
  <c r="P454" i="9"/>
  <c r="R454" i="9" s="1"/>
  <c r="AC454" i="9"/>
  <c r="AE454" i="9" s="1"/>
  <c r="P485" i="9"/>
  <c r="R485" i="9" s="1"/>
  <c r="AC485" i="9"/>
  <c r="AE485" i="9" s="1"/>
  <c r="P512" i="9"/>
  <c r="R512" i="9" s="1"/>
  <c r="AC512" i="9"/>
  <c r="AE512" i="9" s="1"/>
  <c r="AA515" i="9"/>
  <c r="AA559" i="9"/>
  <c r="AD559" i="9"/>
  <c r="AD565" i="9"/>
  <c r="AA565" i="9"/>
  <c r="AC573" i="9"/>
  <c r="AE573" i="9" s="1"/>
  <c r="P573" i="9"/>
  <c r="R573" i="9" s="1"/>
  <c r="AD447" i="9"/>
  <c r="AA447" i="9"/>
  <c r="P455" i="9"/>
  <c r="R455" i="9" s="1"/>
  <c r="AC455" i="9"/>
  <c r="AE455" i="9" s="1"/>
  <c r="AC463" i="9"/>
  <c r="AE463" i="9" s="1"/>
  <c r="P463" i="9"/>
  <c r="R463" i="9" s="1"/>
  <c r="AA579" i="9"/>
  <c r="P531" i="9"/>
  <c r="R531" i="9" s="1"/>
  <c r="AC531" i="9"/>
  <c r="AE531" i="9" s="1"/>
  <c r="AC537" i="9"/>
  <c r="AE537" i="9" s="1"/>
  <c r="P537" i="9"/>
  <c r="R537" i="9" s="1"/>
  <c r="P585" i="9"/>
  <c r="R585" i="9" s="1"/>
  <c r="AC585" i="9"/>
  <c r="AE585" i="9" s="1"/>
  <c r="O448" i="9"/>
  <c r="P461" i="9"/>
  <c r="R461" i="9" s="1"/>
  <c r="N436" i="9"/>
  <c r="P569" i="9"/>
  <c r="R569" i="9" s="1"/>
  <c r="P584" i="9"/>
  <c r="R584" i="9" s="1"/>
  <c r="P457" i="9"/>
  <c r="R457" i="9" s="1"/>
  <c r="AD442" i="9"/>
  <c r="AC513" i="9"/>
  <c r="AE513" i="9" s="1"/>
  <c r="G8" i="6"/>
  <c r="P41" i="9"/>
  <c r="R41" i="9" s="1"/>
  <c r="P70" i="9"/>
  <c r="R70" i="9" s="1"/>
  <c r="AD353" i="9"/>
  <c r="AD217" i="9"/>
  <c r="P75" i="9"/>
  <c r="R75" i="9" s="1"/>
  <c r="AD125" i="9"/>
  <c r="P68" i="9"/>
  <c r="R68" i="9" s="1"/>
  <c r="AC68" i="9"/>
  <c r="AE68" i="9" s="1"/>
  <c r="AD118" i="9"/>
  <c r="P360" i="9"/>
  <c r="R360" i="9" s="1"/>
  <c r="AC360" i="9"/>
  <c r="AE360" i="9" s="1"/>
  <c r="AA181" i="9"/>
  <c r="AD181" i="9"/>
  <c r="P33" i="9"/>
  <c r="R33" i="9" s="1"/>
  <c r="AA43" i="9"/>
  <c r="AA110" i="9"/>
  <c r="AD364" i="9"/>
  <c r="AA227" i="9"/>
  <c r="AC213" i="9"/>
  <c r="AE213" i="9" s="1"/>
  <c r="AC17" i="9"/>
  <c r="AE17" i="9" s="1"/>
  <c r="AA9" i="9"/>
  <c r="P356" i="9"/>
  <c r="R356" i="9" s="1"/>
  <c r="AC356" i="9"/>
  <c r="AE356" i="9" s="1"/>
  <c r="P456" i="9"/>
  <c r="R456" i="9" s="1"/>
  <c r="AC456" i="9"/>
  <c r="AE456" i="9" s="1"/>
  <c r="AD348" i="9"/>
  <c r="AA348" i="9"/>
  <c r="P159" i="9"/>
  <c r="R159" i="9" s="1"/>
  <c r="P112" i="9"/>
  <c r="AC179" i="9"/>
  <c r="AE179" i="9" s="1"/>
  <c r="P179" i="9"/>
  <c r="R179" i="9" s="1"/>
  <c r="P294" i="9"/>
  <c r="R294" i="9" s="1"/>
  <c r="AC294" i="9"/>
  <c r="AE294" i="9" s="1"/>
  <c r="AA35" i="9"/>
  <c r="P57" i="9"/>
  <c r="R57" i="9" s="1"/>
  <c r="P346" i="9"/>
  <c r="R346" i="9" s="1"/>
  <c r="AA179" i="9"/>
  <c r="AD179" i="9"/>
  <c r="AA15" i="9"/>
  <c r="AD112" i="9"/>
  <c r="AD27" i="9"/>
  <c r="AA174" i="9"/>
  <c r="AA363" i="9"/>
  <c r="AD233" i="9"/>
  <c r="AC31" i="9"/>
  <c r="AE31" i="9" s="1"/>
  <c r="AA106" i="9"/>
  <c r="AD106" i="9"/>
  <c r="AA401" i="9"/>
  <c r="AD401" i="9"/>
  <c r="P170" i="9"/>
  <c r="R170" i="9" s="1"/>
  <c r="AA36" i="9"/>
  <c r="AA158" i="9"/>
  <c r="AC46" i="9"/>
  <c r="AE46" i="9" s="1"/>
  <c r="AD344" i="9"/>
  <c r="AA46" i="9"/>
  <c r="AD46" i="9"/>
  <c r="AD481" i="9"/>
  <c r="AA481" i="9"/>
  <c r="AC148" i="9"/>
  <c r="AA294" i="9"/>
  <c r="AD343" i="9"/>
  <c r="P85" i="9"/>
  <c r="R85" i="9" s="1"/>
  <c r="AC90" i="9"/>
  <c r="AE90" i="9" s="1"/>
  <c r="AA253" i="9"/>
  <c r="AD253" i="9"/>
  <c r="AA445" i="9"/>
  <c r="AD445" i="9"/>
  <c r="AD494" i="9"/>
  <c r="AA494" i="9"/>
  <c r="AC506" i="9"/>
  <c r="AE506" i="9" s="1"/>
  <c r="P506" i="9"/>
  <c r="R506" i="9" s="1"/>
  <c r="P429" i="9"/>
  <c r="R429" i="9" s="1"/>
  <c r="AC429" i="9"/>
  <c r="AE429" i="9" s="1"/>
  <c r="AC435" i="9"/>
  <c r="AE435" i="9" s="1"/>
  <c r="P435" i="9"/>
  <c r="R435" i="9" s="1"/>
  <c r="AD439" i="9"/>
  <c r="AA439" i="9"/>
  <c r="AA484" i="9"/>
  <c r="P416" i="9"/>
  <c r="R416" i="9" s="1"/>
  <c r="AC416" i="9"/>
  <c r="AE416" i="9" s="1"/>
  <c r="AD429" i="9"/>
  <c r="AA429" i="9"/>
  <c r="P433" i="9"/>
  <c r="R433" i="9" s="1"/>
  <c r="AC433" i="9"/>
  <c r="AE433" i="9" s="1"/>
  <c r="AA473" i="9"/>
  <c r="AD473" i="9"/>
  <c r="P487" i="9"/>
  <c r="R487" i="9" s="1"/>
  <c r="AC487" i="9"/>
  <c r="AE487" i="9" s="1"/>
  <c r="AA531" i="9"/>
  <c r="AD531" i="9"/>
  <c r="AD422" i="9"/>
  <c r="AA422" i="9"/>
  <c r="P534" i="9"/>
  <c r="R534" i="9" s="1"/>
  <c r="AC534" i="9"/>
  <c r="AE534" i="9" s="1"/>
  <c r="AC538" i="9"/>
  <c r="AE538" i="9" s="1"/>
  <c r="P538" i="9"/>
  <c r="R538" i="9" s="1"/>
  <c r="AC542" i="9"/>
  <c r="AE542" i="9" s="1"/>
  <c r="P542" i="9"/>
  <c r="R542" i="9" s="1"/>
  <c r="AD440" i="9"/>
  <c r="AA440" i="9"/>
  <c r="AA525" i="9"/>
  <c r="AD525" i="9"/>
  <c r="AD529" i="9"/>
  <c r="AA529" i="9"/>
  <c r="AD588" i="9"/>
  <c r="AA588" i="9"/>
  <c r="AA431" i="9"/>
  <c r="AD431" i="9"/>
  <c r="AC536" i="9"/>
  <c r="AE536" i="9" s="1"/>
  <c r="P536" i="9"/>
  <c r="R536" i="9" s="1"/>
  <c r="AC540" i="9"/>
  <c r="AE540" i="9" s="1"/>
  <c r="P540" i="9"/>
  <c r="R540" i="9" s="1"/>
  <c r="AC570" i="9"/>
  <c r="AE570" i="9" s="1"/>
  <c r="P570" i="9"/>
  <c r="R570" i="9" s="1"/>
  <c r="AD584" i="9"/>
  <c r="AA584" i="9"/>
  <c r="P500" i="9"/>
  <c r="R500" i="9" s="1"/>
  <c r="AD420" i="9"/>
  <c r="AC495" i="9"/>
  <c r="AE495" i="9" s="1"/>
  <c r="P495" i="9"/>
  <c r="R495" i="9" s="1"/>
  <c r="AA544" i="9"/>
  <c r="AD544" i="9"/>
  <c r="AD548" i="9"/>
  <c r="AA548" i="9"/>
  <c r="AD552" i="9"/>
  <c r="AA552" i="9"/>
  <c r="P576" i="9"/>
  <c r="R576" i="9" s="1"/>
  <c r="AC576" i="9"/>
  <c r="AE576" i="9" s="1"/>
  <c r="AA580" i="9"/>
  <c r="AD580" i="9"/>
  <c r="AD521" i="9"/>
  <c r="AA521" i="9"/>
  <c r="P556" i="9"/>
  <c r="N556" i="9"/>
  <c r="O556" i="9"/>
  <c r="AC572" i="9"/>
  <c r="AE572" i="9" s="1"/>
  <c r="P572" i="9"/>
  <c r="R572" i="9" s="1"/>
  <c r="AA527" i="9"/>
  <c r="AA546" i="9"/>
  <c r="AD546" i="9"/>
  <c r="AD550" i="9"/>
  <c r="AA550" i="9"/>
  <c r="AA554" i="9"/>
  <c r="AD554" i="9"/>
  <c r="AE556" i="9"/>
  <c r="AC583" i="9"/>
  <c r="AE583" i="9" s="1"/>
  <c r="AC587" i="9"/>
  <c r="AE587" i="9" s="1"/>
  <c r="AC591" i="9"/>
  <c r="AE591" i="9" s="1"/>
  <c r="P592" i="9"/>
  <c r="N592" i="9"/>
  <c r="O592" i="9"/>
  <c r="P568" i="9"/>
  <c r="AC568" i="9"/>
  <c r="P578" i="9"/>
  <c r="R578" i="9" s="1"/>
  <c r="AC578" i="9"/>
  <c r="AE578" i="9" s="1"/>
  <c r="AA582" i="9"/>
  <c r="AD582" i="9"/>
  <c r="AD590" i="9"/>
  <c r="AA590" i="9"/>
  <c r="AA586" i="9"/>
  <c r="AC574" i="9"/>
  <c r="AE574" i="9" s="1"/>
  <c r="P574" i="9"/>
  <c r="R574" i="9" s="1"/>
  <c r="R100" i="9" l="1"/>
  <c r="AE268" i="9"/>
  <c r="Q124" i="9"/>
  <c r="Q412" i="9"/>
  <c r="Q448" i="9"/>
  <c r="Q172" i="9"/>
  <c r="R580" i="9"/>
  <c r="Q400" i="9"/>
  <c r="Q340" i="9"/>
  <c r="R160" i="9"/>
  <c r="AE160" i="9"/>
  <c r="R328" i="9"/>
  <c r="R544" i="9"/>
  <c r="AD280" i="9"/>
  <c r="AD484" i="9"/>
  <c r="R436" i="9"/>
  <c r="AE532" i="9"/>
  <c r="Q280" i="9"/>
  <c r="AD28" i="9"/>
  <c r="Q256" i="9"/>
  <c r="AD136" i="9"/>
  <c r="AD208" i="9"/>
  <c r="R136" i="9"/>
  <c r="AD460" i="9"/>
  <c r="AE292" i="9"/>
  <c r="AD472" i="9"/>
  <c r="Q220" i="9"/>
  <c r="R208" i="9"/>
  <c r="AD508" i="9"/>
  <c r="Q232" i="9"/>
  <c r="Q532" i="9"/>
  <c r="AD220" i="9"/>
  <c r="AD436" i="9"/>
  <c r="R184" i="9"/>
  <c r="R28" i="9"/>
  <c r="AD124" i="9"/>
  <c r="AE16" i="9"/>
  <c r="R268" i="9"/>
  <c r="Q268" i="9"/>
  <c r="R76" i="9"/>
  <c r="Q16" i="9"/>
  <c r="R16" i="9"/>
  <c r="AE316" i="9"/>
  <c r="AD316" i="9"/>
  <c r="R316" i="9"/>
  <c r="Q352" i="9"/>
  <c r="R352" i="9"/>
  <c r="AE352" i="9"/>
  <c r="AD352" i="9"/>
  <c r="Q244" i="9"/>
  <c r="R244" i="9"/>
  <c r="R304" i="9"/>
  <c r="Q304" i="9"/>
  <c r="Q292" i="9"/>
  <c r="R292" i="9"/>
  <c r="Q148" i="9"/>
  <c r="Q196" i="9"/>
  <c r="R196" i="9"/>
  <c r="AD520" i="9"/>
  <c r="Q64" i="9"/>
  <c r="R64" i="9"/>
  <c r="AE496" i="9"/>
  <c r="AD496" i="9"/>
  <c r="AE328" i="9"/>
  <c r="AD328" i="9"/>
  <c r="R364" i="9"/>
  <c r="Q364" i="9"/>
  <c r="AD448" i="9"/>
  <c r="AE448" i="9"/>
  <c r="AE196" i="9"/>
  <c r="AD196" i="9"/>
  <c r="Q484" i="9"/>
  <c r="R484" i="9"/>
  <c r="Q472" i="9"/>
  <c r="R472" i="9"/>
  <c r="AD424" i="9"/>
  <c r="AE424" i="9"/>
  <c r="R520" i="9"/>
  <c r="Q520" i="9"/>
  <c r="R52" i="9"/>
  <c r="Q52" i="9"/>
  <c r="Q496" i="9"/>
  <c r="R88" i="9"/>
  <c r="Q88" i="9"/>
  <c r="Q508" i="9"/>
  <c r="R508" i="9"/>
  <c r="Q424" i="9"/>
  <c r="R424" i="9"/>
  <c r="R460" i="9"/>
  <c r="Q460" i="9"/>
  <c r="K5" i="6"/>
  <c r="G5" i="6"/>
  <c r="Q556" i="9"/>
  <c r="R556" i="9"/>
  <c r="AE568" i="9"/>
  <c r="AD568" i="9"/>
  <c r="R568" i="9"/>
  <c r="Q568" i="9"/>
  <c r="Q112" i="9"/>
  <c r="R112" i="9"/>
  <c r="R592" i="9"/>
  <c r="Q592" i="9"/>
  <c r="AD148" i="9"/>
  <c r="AE148" i="9"/>
  <c r="G3" i="6" l="1"/>
  <c r="I5" i="6"/>
  <c r="I3" i="6" s="1"/>
  <c r="H5" i="6"/>
  <c r="H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tc={45978322-DCC2-4FBA-9DBD-EDAD20427FA1}</author>
    <author>tc={71484B2C-BABD-44F1-8270-3EC0A9917AAA}</author>
    <author>tc={18EB3EBA-9583-43D6-9E3C-2745545FD6C8}</author>
  </authors>
  <commentList>
    <comment ref="M604" authorId="0" shapeId="0" xr:uid="{45978322-DCC2-4FBA-9DBD-EDAD20427F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considerar por quincena
</t>
      </text>
    </comment>
    <comment ref="M616" authorId="1" shapeId="0" xr:uid="{71484B2C-BABD-44F1-8270-3EC0A9917A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considerar por quincena
</t>
      </text>
    </comment>
    <comment ref="M628" authorId="2" shapeId="0" xr:uid="{18EB3EBA-9583-43D6-9E3C-2745545FD6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considerar por quincena
</t>
      </text>
    </comment>
  </commentList>
</comments>
</file>

<file path=xl/sharedStrings.xml><?xml version="1.0" encoding="utf-8"?>
<sst xmlns="http://schemas.openxmlformats.org/spreadsheetml/2006/main" count="12147" uniqueCount="486">
  <si>
    <t>System Module</t>
  </si>
  <si>
    <t>Complex voucher</t>
  </si>
  <si>
    <t>IT Labor (SM)</t>
  </si>
  <si>
    <t>IT Service Cost (non-human)</t>
  </si>
  <si>
    <t>Payee</t>
  </si>
  <si>
    <t>Payee Code</t>
  </si>
  <si>
    <t>CL003010</t>
  </si>
  <si>
    <t>CL004831</t>
  </si>
  <si>
    <t>CL005108</t>
  </si>
  <si>
    <t>CL004879</t>
  </si>
  <si>
    <t>CL004915</t>
  </si>
  <si>
    <t>Credit-Account</t>
  </si>
  <si>
    <t>Debit-Department</t>
  </si>
  <si>
    <t>Debit-Account</t>
  </si>
  <si>
    <t>Date</t>
  </si>
  <si>
    <t>CLIDD19</t>
  </si>
  <si>
    <t>VAT</t>
  </si>
  <si>
    <t>Vendor Invoice (CHL)</t>
  </si>
  <si>
    <t>Year</t>
  </si>
  <si>
    <t>Cut Date</t>
  </si>
  <si>
    <t>OBS/3P</t>
  </si>
  <si>
    <t>Customer</t>
  </si>
  <si>
    <t>BU</t>
  </si>
  <si>
    <t>Division</t>
  </si>
  <si>
    <t>FX Rate</t>
  </si>
  <si>
    <t>Commission Type</t>
  </si>
  <si>
    <t>Provision</t>
  </si>
  <si>
    <t>Invoice Number</t>
  </si>
  <si>
    <t>3P</t>
  </si>
  <si>
    <t>FALABELLA (DIRECT)</t>
  </si>
  <si>
    <t>CNT</t>
  </si>
  <si>
    <t>Refrigeration</t>
  </si>
  <si>
    <t>Provision (Based on External Report)</t>
  </si>
  <si>
    <t>Variable</t>
  </si>
  <si>
    <t>Jun21 to Jul20</t>
  </si>
  <si>
    <t>CVT</t>
  </si>
  <si>
    <t>Cooking</t>
  </si>
  <si>
    <t>CDT</t>
  </si>
  <si>
    <t>Dishwasher</t>
  </si>
  <si>
    <t>DFT</t>
  </si>
  <si>
    <t>WM</t>
  </si>
  <si>
    <t>DVT</t>
  </si>
  <si>
    <t>VCC</t>
  </si>
  <si>
    <t>GLT</t>
  </si>
  <si>
    <t>Television</t>
  </si>
  <si>
    <t>PNT</t>
  </si>
  <si>
    <t>Audio</t>
  </si>
  <si>
    <t>GTT</t>
  </si>
  <si>
    <t>Monitor</t>
  </si>
  <si>
    <t>DGT</t>
  </si>
  <si>
    <t>RAC</t>
  </si>
  <si>
    <t>DLT</t>
  </si>
  <si>
    <t>Air Cleaner</t>
  </si>
  <si>
    <t>DMT</t>
  </si>
  <si>
    <t>SAC</t>
  </si>
  <si>
    <t>Total</t>
  </si>
  <si>
    <t>TOTAL</t>
  </si>
  <si>
    <t>-</t>
  </si>
  <si>
    <t>Type</t>
  </si>
  <si>
    <t>AVG</t>
  </si>
  <si>
    <t>Closing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</si>
  <si>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</si>
  <si>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</si>
  <si>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</si>
  <si>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</si>
  <si>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</si>
  <si>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</si>
  <si>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</si>
  <si>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</si>
  <si>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</si>
  <si>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</si>
  <si>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</si>
  <si>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</si>
  <si>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</si>
  <si>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</si>
  <si>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</si>
  <si>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</si>
  <si>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1H</t>
  </si>
  <si>
    <t>2H</t>
  </si>
  <si>
    <t>Y</t>
  </si>
  <si>
    <t>JUL</t>
  </si>
  <si>
    <t>Monthly Commission</t>
  </si>
  <si>
    <t>Doc Type</t>
  </si>
  <si>
    <t>Invoice</t>
  </si>
  <si>
    <t>Invoice Net Amt (CLP)</t>
  </si>
  <si>
    <t>Invoice Net Amt (USD)</t>
  </si>
  <si>
    <t>VAT (CLP)</t>
  </si>
  <si>
    <t>AUG</t>
  </si>
  <si>
    <t>JUL (Provision)</t>
  </si>
  <si>
    <t>Variable /Fixed</t>
  </si>
  <si>
    <t>GBU</t>
  </si>
  <si>
    <t>VAT (USD)</t>
  </si>
  <si>
    <t>Invoice Date</t>
  </si>
  <si>
    <t>Credit Note</t>
  </si>
  <si>
    <t>Total Amt (CLP)</t>
  </si>
  <si>
    <t>Total Amt (USD)</t>
  </si>
  <si>
    <t>NET</t>
  </si>
  <si>
    <t>Count+1 (VAT)</t>
  </si>
  <si>
    <t>Paste</t>
  </si>
  <si>
    <t>Round</t>
  </si>
  <si>
    <t>DIV:CNT</t>
  </si>
  <si>
    <t>DIV:CVT</t>
  </si>
  <si>
    <t>DIV:CDT</t>
  </si>
  <si>
    <t>DIV:DFT</t>
  </si>
  <si>
    <t>DIV:DVT</t>
  </si>
  <si>
    <t>DIV:GLT</t>
  </si>
  <si>
    <t>DIV:PNT</t>
  </si>
  <si>
    <t>DIV:GTT</t>
  </si>
  <si>
    <t>DIV:DGT</t>
  </si>
  <si>
    <t>DIV:DLT</t>
  </si>
  <si>
    <t>DIV:DMT</t>
  </si>
  <si>
    <t>DIV/DIV Group, DIV:CNT</t>
  </si>
  <si>
    <t>DIV/DIV Group, DIV:CVT</t>
  </si>
  <si>
    <t>DIV/DIV Group, DIV:CDT</t>
  </si>
  <si>
    <t>DIV/DIV Group, DIV:DFT</t>
  </si>
  <si>
    <t>DIV/DIV Group, DIV:DVT</t>
  </si>
  <si>
    <t>DIV/DIV Group, DIV:GLT</t>
  </si>
  <si>
    <t>DIV/DIV Group, DIV:PNT</t>
  </si>
  <si>
    <t>DIV/DIV Group, DIV:GTT</t>
  </si>
  <si>
    <t>DIV/DIV Group, DIV:DGT</t>
  </si>
  <si>
    <t>DIV/DIV Group, DIV:DLT</t>
  </si>
  <si>
    <t>DIV/DIV Group, DIV:DMT</t>
  </si>
  <si>
    <t>*Credit Note with Negative</t>
  </si>
  <si>
    <t>TTL</t>
  </si>
  <si>
    <t>Copy</t>
  </si>
  <si>
    <t xml:space="preserve">*Add IVA </t>
  </si>
  <si>
    <t>VAT Tax Code</t>
  </si>
  <si>
    <t>Provision Net Amt (CLP)</t>
  </si>
  <si>
    <t>Provision VAT (CLP)</t>
  </si>
  <si>
    <t>Provision Amt (CLP)</t>
  </si>
  <si>
    <t>Provision Net Amt (USD)</t>
  </si>
  <si>
    <t>Provision VAT (USD)</t>
  </si>
  <si>
    <t>Provision Amt (USD)</t>
  </si>
  <si>
    <t>Invoice URL</t>
  </si>
  <si>
    <t>http://lg2607.acepta.com/v01/5E0A125A9F4EB54908C00523002399A4BD42D7F9</t>
  </si>
  <si>
    <t>Invoice No</t>
  </si>
  <si>
    <t>Incluir al final toda la info de Map2</t>
  </si>
  <si>
    <t>http://lg2607.acepta.com/v01/AD2F1E54CFEE4EA8AEAAF32C8EE536D5DD0B56A6</t>
  </si>
  <si>
    <t>→</t>
  </si>
  <si>
    <t>Variable/Fixed</t>
  </si>
  <si>
    <t>Doc No</t>
  </si>
  <si>
    <t>Logistic Cost</t>
  </si>
  <si>
    <t>Commission (In transit)</t>
  </si>
  <si>
    <t>Commission (2da Quincena)</t>
  </si>
  <si>
    <t>Commission (1era Quincena)</t>
  </si>
  <si>
    <t>USD</t>
  </si>
  <si>
    <t>TRANSBANK</t>
  </si>
  <si>
    <t>WALMART (FULLKOM)</t>
  </si>
  <si>
    <t>PARIS (FULLKOM)</t>
  </si>
  <si>
    <t>AP Completed</t>
  </si>
  <si>
    <t>Grand Total</t>
  </si>
  <si>
    <t xml:space="preserve"> Invoice Net Amt (CLP)</t>
  </si>
  <si>
    <t xml:space="preserve"> Provision Net Amt (CLP)</t>
  </si>
  <si>
    <t>Jun27 to Jul15</t>
  </si>
  <si>
    <t>Jul16 to Jul31</t>
  </si>
  <si>
    <t>Provision (Based on PO, One View)</t>
  </si>
  <si>
    <t>2026 Mar</t>
  </si>
  <si>
    <t>2026 Apr</t>
  </si>
  <si>
    <t>May11 to May 26</t>
  </si>
  <si>
    <t>MAY</t>
  </si>
  <si>
    <t>May 27 to Jun 10</t>
  </si>
  <si>
    <t>Jun 10 to Jun 26</t>
  </si>
  <si>
    <t>JUN</t>
  </si>
  <si>
    <t>Nov-Dic 2025 / Jan-Feb 2026</t>
  </si>
  <si>
    <t>JUL Total</t>
  </si>
  <si>
    <t>AUG Total</t>
  </si>
  <si>
    <t>MAY Total</t>
  </si>
  <si>
    <t>JUN Total</t>
  </si>
  <si>
    <t>Invoice Status</t>
  </si>
  <si>
    <t>Impact Month</t>
  </si>
  <si>
    <t>Invoice Registered</t>
  </si>
  <si>
    <t>Invoice Received</t>
  </si>
  <si>
    <t>Pending</t>
  </si>
  <si>
    <t xml:space="preserve">Copy </t>
  </si>
  <si>
    <t>Map</t>
  </si>
  <si>
    <t>RIPLEY (FULLKOM)</t>
  </si>
  <si>
    <t xml:space="preserve">May 21 to Jun 20 </t>
  </si>
  <si>
    <t>AUG (Provision)</t>
  </si>
  <si>
    <t>May 26 to Jun 25</t>
  </si>
  <si>
    <t>Apr26 to May25</t>
  </si>
  <si>
    <t>MERCADO PAGO</t>
  </si>
  <si>
    <t>OBS</t>
  </si>
  <si>
    <t>Jun26 to Jul25</t>
  </si>
  <si>
    <t>Jun 1 to Jun 30</t>
  </si>
  <si>
    <t>Jul1 to Jul30</t>
  </si>
  <si>
    <t>Rejected</t>
  </si>
  <si>
    <t>*Only update Yellow Part (All Expanded)</t>
  </si>
  <si>
    <t>(KUSD)</t>
  </si>
  <si>
    <t>Product</t>
  </si>
  <si>
    <t>Target</t>
  </si>
  <si>
    <t>ML</t>
  </si>
  <si>
    <t>IOD (B1)</t>
  </si>
  <si>
    <t>Return (B2)</t>
  </si>
  <si>
    <t>Invoice PY</t>
  </si>
  <si>
    <t>Invoice (B)</t>
  </si>
  <si>
    <t>Orders (C)</t>
  </si>
  <si>
    <t>Open (C1)</t>
  </si>
  <si>
    <t>Pick (C2)</t>
  </si>
  <si>
    <t>Dely (C3)</t>
  </si>
  <si>
    <t>Back (D)</t>
  </si>
  <si>
    <t>Hold (D)</t>
  </si>
  <si>
    <t>Total Orders (C+D)</t>
  </si>
  <si>
    <t>Total PO (B+C+D)</t>
  </si>
  <si>
    <t>Total Progress
(vs ML)</t>
  </si>
  <si>
    <t>Only OBS 
PO</t>
  </si>
  <si>
    <t>Total 3P PO</t>
  </si>
  <si>
    <t xml:space="preserve"> 3P Fala PO</t>
  </si>
  <si>
    <t>3P Paris PO</t>
  </si>
  <si>
    <t>3P Wmt PO</t>
  </si>
  <si>
    <t>3P Ripley  PO</t>
  </si>
  <si>
    <t>HS</t>
  </si>
  <si>
    <t>Vaccum Cleaner</t>
  </si>
  <si>
    <t>MS</t>
  </si>
  <si>
    <t>ES</t>
  </si>
  <si>
    <t>Air cleaner</t>
  </si>
  <si>
    <t>21 al 20</t>
  </si>
  <si>
    <t>1era Quincena</t>
  </si>
  <si>
    <t>Fala Credit Note</t>
  </si>
  <si>
    <t>Paris In transit</t>
  </si>
  <si>
    <t>Wmt In transit</t>
  </si>
  <si>
    <t>Ripley In transit</t>
  </si>
  <si>
    <t>2da Quincena</t>
  </si>
  <si>
    <t>1era y 2da Quincena</t>
  </si>
  <si>
    <t>In transit to Aug</t>
  </si>
  <si>
    <t>2026/03-2026/04</t>
  </si>
  <si>
    <t>Jul1-30</t>
  </si>
  <si>
    <t>Paris Log Cost 1</t>
  </si>
  <si>
    <t>Paris Log Cost 2</t>
  </si>
  <si>
    <t>Log cost Total</t>
  </si>
  <si>
    <t>TB</t>
  </si>
  <si>
    <t>MP</t>
  </si>
  <si>
    <t>OMS</t>
  </si>
  <si>
    <t>OBS Total</t>
  </si>
  <si>
    <t>Total + Log Cost</t>
  </si>
  <si>
    <t>Total + Log Cost + PG</t>
  </si>
  <si>
    <t>Fixed Cost 5.3K</t>
  </si>
  <si>
    <t>Fixed Cost 20UF</t>
  </si>
  <si>
    <t>Fixed Cost 40UF</t>
  </si>
  <si>
    <t>Estimated Commission (Jun27 to Jul 31) 1era y 2da Quincena</t>
  </si>
  <si>
    <t>Jun1-30</t>
  </si>
  <si>
    <t>Paris</t>
  </si>
  <si>
    <t>Walmart</t>
  </si>
  <si>
    <t>Ripley</t>
  </si>
  <si>
    <t>3P(Paris)</t>
  </si>
  <si>
    <t>PRODUCT</t>
  </si>
  <si>
    <t>Estimated Sales</t>
  </si>
  <si>
    <t>Total Sales</t>
  </si>
  <si>
    <t>Commission 1era Quincena (USD)</t>
  </si>
  <si>
    <t>Commission 2da Quincena (USD)</t>
  </si>
  <si>
    <t>Total Commission (USD)</t>
  </si>
  <si>
    <t>Commission 1era Quincena (CLP)</t>
  </si>
  <si>
    <t>Commission 2da Quincena (CLP)</t>
  </si>
  <si>
    <t>Total Commission (CLP)</t>
  </si>
  <si>
    <t>FX</t>
  </si>
  <si>
    <t xml:space="preserve">Paris </t>
  </si>
  <si>
    <t>Sales Amt</t>
  </si>
  <si>
    <t>Sales Qty</t>
  </si>
  <si>
    <t>3P(Walmart)</t>
  </si>
  <si>
    <t>3P(Ripley)</t>
  </si>
  <si>
    <t>Review FX :Actual, not MP from One View</t>
  </si>
  <si>
    <t>Modify FX por Quincena</t>
  </si>
  <si>
    <t>Commission USD</t>
  </si>
  <si>
    <t>Commission %</t>
  </si>
  <si>
    <t>Commission CLP</t>
  </si>
  <si>
    <t>Days left:</t>
  </si>
  <si>
    <t>Days concurred:</t>
  </si>
  <si>
    <t>Sales portion</t>
  </si>
  <si>
    <t>Sales per day</t>
  </si>
  <si>
    <t>Estimated left Sales</t>
  </si>
  <si>
    <t>Estimated Left Commission USD</t>
  </si>
  <si>
    <t>Estimated Left Commission CLP</t>
  </si>
  <si>
    <t>TTL Commission USD</t>
  </si>
  <si>
    <t>TTL Commission CLP</t>
  </si>
  <si>
    <t>Sales Amt (Aug 1-30)</t>
  </si>
  <si>
    <t>Sales Portion (Aug 1-30)</t>
  </si>
  <si>
    <t>2da Quincena (Aug16-Aug31)</t>
  </si>
  <si>
    <t>Total (Jul27 to Augl31)</t>
  </si>
  <si>
    <t>1era Quincena (Aug1-Aug14)</t>
  </si>
  <si>
    <t>Estimated Commission (Aug1to Aug14) 1era Quincena</t>
  </si>
  <si>
    <t>Estimated Commission (Aug15 to Aug31) 2da Quincena</t>
  </si>
  <si>
    <t>OMS (V SOPTEC)</t>
  </si>
  <si>
    <t>Julio</t>
  </si>
  <si>
    <t>INVOICE</t>
  </si>
  <si>
    <t>PROVISION</t>
  </si>
  <si>
    <t>Find in sheet "Master 1"</t>
  </si>
  <si>
    <t>Description (F/CN-123 + title + MMYY)</t>
  </si>
  <si>
    <t>Add Debit Lines by BU + 1 Line of VAT</t>
  </si>
  <si>
    <t>Select VAT Line Type: VAT</t>
  </si>
  <si>
    <t>VAT DFF - Supplier</t>
  </si>
  <si>
    <t>VAT DFF - TAX Rate Code</t>
  </si>
  <si>
    <t>STEPS</t>
  </si>
  <si>
    <t>Distribute manually Net Amt by BU (Use sheet "ROUND" to remove decimals)</t>
  </si>
  <si>
    <t>Fill the Net Amt by BU (w/o decimals) + 1 Line of VAT amt (from sheet "ROUND")</t>
  </si>
  <si>
    <t>Select in Product: DIV/DIV Group (Keep empty in VAT Line)</t>
  </si>
  <si>
    <t>Fill the GBU (e.i. DIV:CNT), (Keep empty the VAT field)</t>
  </si>
  <si>
    <t>Paste the Description in all Debit Lines (Including VAT Description)</t>
  </si>
  <si>
    <t>In DFF pop-up: Fill "Supply_Price" with Total Net Amount (w/o spaces or comas) from sheet "ROUND"</t>
  </si>
  <si>
    <t>In DFF pop-up: Select in "Issue_Date" the same date as "Step 7"</t>
  </si>
  <si>
    <t>In DFF pop-up: Fill "Original_Tax_Amount" with VAT amt (w/o spaces or comas) from sheet "ROUND"</t>
  </si>
  <si>
    <t>Attach: 1. Invoice, 2. Distribution, 3. Detail</t>
  </si>
  <si>
    <t>Department Code</t>
  </si>
  <si>
    <t>3P Marketplace (Common)</t>
  </si>
  <si>
    <t>Fill the DFF(pop-up) of only the VAT Debit line</t>
  </si>
  <si>
    <t>Debit Note</t>
  </si>
  <si>
    <t>Commission &amp; Charge_Others</t>
  </si>
  <si>
    <t>Paste Total Amount with VAT included</t>
  </si>
  <si>
    <t>Expense</t>
  </si>
  <si>
    <t>Others</t>
  </si>
  <si>
    <t>TAX</t>
  </si>
  <si>
    <t>VAT 19% (Electronic) N/A</t>
  </si>
  <si>
    <t>Add Debit Lines by BU (NO need line for VAT)</t>
  </si>
  <si>
    <t>Fill the DFF(pop-up) of the "VAT Amount" in "Expense Line"</t>
  </si>
  <si>
    <t>OMS SOPTEC Meli Licence Fixed Commission 20 UF</t>
  </si>
  <si>
    <t>OMS SOPTEC Fullkom Licence Fixed Commission 40 UF</t>
  </si>
  <si>
    <t>Fixed</t>
  </si>
  <si>
    <t>OMS SOPTEC LG.com Variable Commission</t>
  </si>
  <si>
    <t>ITMS → Expense(GEVS) → Expense Invoice Entry… → IT Expense</t>
  </si>
  <si>
    <t>OMS SOPTEC LG.com Fixed Commission 5.3K USD</t>
  </si>
  <si>
    <t>Debit Account</t>
  </si>
  <si>
    <t xml:space="preserve">Add Debit Lines by BU (NO need line for VAT) or NOT distribute if the amount is peanuts. </t>
  </si>
  <si>
    <t>Invoice Type</t>
  </si>
  <si>
    <t>Distribute manually Net Amt by BU (Use sheet "Sales Portion" to divide and sheet "ROUND" to remove decimals)</t>
  </si>
  <si>
    <r>
      <t xml:space="preserve">Distribute manually Net Amt by BU (Use sheet "ROUND" to remove decimals) ALL in </t>
    </r>
    <r>
      <rPr>
        <b/>
        <sz val="8"/>
        <color rgb="FF006600"/>
        <rFont val="Arial Narrow"/>
        <family val="2"/>
      </rPr>
      <t>NEGATIVE</t>
    </r>
  </si>
  <si>
    <r>
      <t xml:space="preserve">Distribute manually Net Amt by BU (Use sheet "ROUND" to remove decimals), or NOT distribute if the amount is peanuts. ALL in </t>
    </r>
    <r>
      <rPr>
        <b/>
        <sz val="8"/>
        <color rgb="FF006600"/>
        <rFont val="Arial Narrow"/>
        <family val="2"/>
      </rPr>
      <t>NEGATIVE</t>
    </r>
  </si>
  <si>
    <r>
      <t xml:space="preserve">Add Debit Lines by BU + 1 Line of VAT  ALL in </t>
    </r>
    <r>
      <rPr>
        <b/>
        <sz val="8"/>
        <color rgb="FF006600"/>
        <rFont val="Arial Narrow"/>
        <family val="2"/>
      </rPr>
      <t>NEGATIVE</t>
    </r>
  </si>
  <si>
    <r>
      <t xml:space="preserve">Add Debit Lines by BU, or NOT distribute if the amount is peanuts + 1 Line of VAT  ALL in </t>
    </r>
    <r>
      <rPr>
        <b/>
        <sz val="8"/>
        <color rgb="FF006600"/>
        <rFont val="Arial Narrow"/>
        <family val="2"/>
      </rPr>
      <t>NEGATIVE</t>
    </r>
  </si>
  <si>
    <r>
      <t xml:space="preserve">Fill the Net Amt by BU (w/o decimals) + 1 Line of VAT amt (from sheet "ROUND") ALL in </t>
    </r>
    <r>
      <rPr>
        <b/>
        <sz val="8"/>
        <color rgb="FF006600"/>
        <rFont val="Arial Narrow"/>
        <family val="2"/>
      </rPr>
      <t>NEGATIVE</t>
    </r>
  </si>
  <si>
    <r>
      <t xml:space="preserve">Fill the Net Amt by BU (w/o decimals), NO need line for VAT (from sheet "ROUND") or use a TEMPLATE for </t>
    </r>
    <r>
      <rPr>
        <b/>
        <sz val="8"/>
        <color rgb="FF006600"/>
        <rFont val="Arial Narrow"/>
        <family val="2"/>
      </rPr>
      <t>MASSIVE IMPORT</t>
    </r>
  </si>
  <si>
    <r>
      <t xml:space="preserve">if </t>
    </r>
    <r>
      <rPr>
        <b/>
        <sz val="8"/>
        <color rgb="FF006600"/>
        <rFont val="Arial Narrow"/>
        <family val="2"/>
      </rPr>
      <t>MASSIVE IMPORT</t>
    </r>
    <r>
      <rPr>
        <sz val="8"/>
        <color rgb="FF006600"/>
        <rFont val="Arial Narrow"/>
        <family val="2"/>
      </rPr>
      <t xml:space="preserve"> do NOT need to Select in Product: DIV/DIV Group </t>
    </r>
  </si>
  <si>
    <r>
      <t xml:space="preserve">if </t>
    </r>
    <r>
      <rPr>
        <b/>
        <sz val="8"/>
        <color rgb="FF006600"/>
        <rFont val="Arial Narrow"/>
        <family val="2"/>
      </rPr>
      <t>MASSIVE IMPORT</t>
    </r>
    <r>
      <rPr>
        <sz val="8"/>
        <color rgb="FF006600"/>
        <rFont val="Arial Narrow"/>
        <family val="2"/>
      </rPr>
      <t xml:space="preserve"> do NOT need to Fill the GBU (e.i. DIV:CNT)</t>
    </r>
  </si>
  <si>
    <r>
      <t xml:space="preserve">In DFF pop-up: Fill "Supply_Price" with Total Net Amount (w/o spaces or comas) from sheet "ROUND" ALL in </t>
    </r>
    <r>
      <rPr>
        <b/>
        <sz val="8"/>
        <color rgb="FF006600"/>
        <rFont val="Arial Narrow"/>
        <family val="2"/>
      </rPr>
      <t>NEGATIVE</t>
    </r>
  </si>
  <si>
    <r>
      <t xml:space="preserve">In DFF pop-up: Fill "Original_Tax_Amount" with VAT amt (w/o spaces or comas) from sheet "ROUND" ALL in </t>
    </r>
    <r>
      <rPr>
        <b/>
        <sz val="8"/>
        <color rgb="FF006600"/>
        <rFont val="Arial Narrow"/>
        <family val="2"/>
      </rPr>
      <t>NEGATIVE</t>
    </r>
  </si>
  <si>
    <t>ACTION 1</t>
  </si>
  <si>
    <t>Total Amount in Invoice Detail</t>
  </si>
  <si>
    <t>ACTION 2</t>
  </si>
  <si>
    <t>Manual BU Distribuition or from Provision</t>
  </si>
  <si>
    <t>ACTION 3</t>
  </si>
  <si>
    <t>Button of "Add" in Debit-Line_Type</t>
  </si>
  <si>
    <t>TAX_CODE column in the VAT Line (Last line)</t>
  </si>
  <si>
    <t>ACTION 4</t>
  </si>
  <si>
    <t>ACTION 5</t>
  </si>
  <si>
    <t>Debit - Amount Column</t>
  </si>
  <si>
    <t>ACTION 6</t>
  </si>
  <si>
    <t>Product Column (List)</t>
  </si>
  <si>
    <t>ACTION 7</t>
  </si>
  <si>
    <t>Product Column (Field)</t>
  </si>
  <si>
    <t>ACTION 8</t>
  </si>
  <si>
    <t>Description Column</t>
  </si>
  <si>
    <t>ACTION 9</t>
  </si>
  <si>
    <t>Icon in DFF column</t>
  </si>
  <si>
    <t>ACTION 10</t>
  </si>
  <si>
    <t xml:space="preserve"> DFF: ISSUE_DATE</t>
  </si>
  <si>
    <t>ACTION 11</t>
  </si>
  <si>
    <t xml:space="preserve"> DFF: SUPPLY_PRICE</t>
  </si>
  <si>
    <t>ACTION 12</t>
  </si>
  <si>
    <t>DFF: ORIGINAL_TAX_AMOUNT</t>
  </si>
  <si>
    <t>ACTION 13</t>
  </si>
  <si>
    <t>DFF: TAX_RATE_CODE</t>
  </si>
  <si>
    <t>CCS cargar septiembre</t>
  </si>
  <si>
    <t>SEP</t>
  </si>
  <si>
    <t>Total (B+C+D)</t>
  </si>
  <si>
    <t xml:space="preserve">Only OBS </t>
  </si>
  <si>
    <t>Total 3P</t>
  </si>
  <si>
    <t xml:space="preserve"> 3P Fala</t>
  </si>
  <si>
    <t>3P Paris</t>
  </si>
  <si>
    <t>3P Wmt</t>
  </si>
  <si>
    <t>3P Ripley</t>
  </si>
  <si>
    <t>Sales Portion</t>
  </si>
  <si>
    <t>1 to 4</t>
  </si>
  <si>
    <t xml:space="preserve">Only OBS
</t>
  </si>
  <si>
    <t>1 to 14</t>
  </si>
  <si>
    <t>Transbank</t>
  </si>
  <si>
    <t>Mercado Pago</t>
  </si>
  <si>
    <t>3P Paris Costo Log</t>
  </si>
  <si>
    <t>3P Wmt Costo Log</t>
  </si>
  <si>
    <t>OMS Soptec Var.</t>
  </si>
  <si>
    <t>OMS Soptec Fix.</t>
  </si>
  <si>
    <t xml:space="preserve">Commission Estimation </t>
  </si>
  <si>
    <t>CLP</t>
  </si>
  <si>
    <t>+ Log Cost</t>
  </si>
  <si>
    <t>Sales</t>
  </si>
  <si>
    <t>Commission</t>
  </si>
  <si>
    <t>15 to 31</t>
  </si>
  <si>
    <t>Estimation Tool</t>
  </si>
  <si>
    <t>1era QUINCENA</t>
  </si>
  <si>
    <t>2da QUINCENA</t>
  </si>
  <si>
    <t>*Update (Paste) on yellow fields</t>
  </si>
  <si>
    <t>*Expand for update</t>
  </si>
  <si>
    <t>FX (Actual)</t>
  </si>
  <si>
    <t>TOTAL (Actual)</t>
  </si>
  <si>
    <t>OCT (Ingresar )</t>
  </si>
  <si>
    <t>SEP (Ingresar)</t>
  </si>
  <si>
    <t>F 4015 - Paris Costo Logistico - Mayo 2026.pdf</t>
  </si>
  <si>
    <t>SEP (Ingresar )</t>
  </si>
  <si>
    <t>2026 ABR</t>
  </si>
  <si>
    <t>2026 MAY</t>
  </si>
  <si>
    <t>2026 JUN</t>
  </si>
  <si>
    <t>2026 APR</t>
  </si>
  <si>
    <t>2026 MAR</t>
  </si>
  <si>
    <t>APR 26 to MAY 25</t>
  </si>
  <si>
    <t>AUG 1 to 14</t>
  </si>
  <si>
    <t>AUG 1 to 31</t>
  </si>
  <si>
    <t>AUG 15 to 31</t>
  </si>
  <si>
    <t>JUL 1 to 31</t>
  </si>
  <si>
    <t>JUL 16 to 31</t>
  </si>
  <si>
    <t>JUL 21 to AUG 20</t>
  </si>
  <si>
    <t>JUL 26 to AUG 25</t>
  </si>
  <si>
    <t>JUN 1 to 30</t>
  </si>
  <si>
    <t>JUN 10 to 26</t>
  </si>
  <si>
    <t xml:space="preserve">JUN 21 to JUL 20 </t>
  </si>
  <si>
    <t>JUN 26 to JUL 25</t>
  </si>
  <si>
    <t xml:space="preserve">MAY 21 to JUN 20 </t>
  </si>
  <si>
    <t>MAY 26 to JUN 25</t>
  </si>
  <si>
    <t>MAY 27 to JUN 10</t>
  </si>
  <si>
    <t>MAY 1 to 30</t>
  </si>
  <si>
    <t>MAY 11 to 26</t>
  </si>
  <si>
    <t>NOV-DIC 2025 / JAN-FEB 2026</t>
  </si>
  <si>
    <t>Abr</t>
  </si>
  <si>
    <t>Accrual F-2048 OMS SOPTEC Fixed Commission 5300K USD, From 2024/ Jul 2026</t>
  </si>
  <si>
    <t>Ingresar</t>
  </si>
  <si>
    <t>Accrual F-2063 OMS SOPTEC Fixed Commission 5300K USD, From 2024/  Aug 2026</t>
  </si>
  <si>
    <t>Accrual F-3934 Vector Licence Fixed Commission 40 UF, From 2025/Aug 2026</t>
  </si>
  <si>
    <t>Accrual - Commission 3P PARIS (Fullkom), 10.9% (8.0%+2.9%) - 1era Quincena Aug 2026</t>
  </si>
  <si>
    <t>Accrual - Commission 3P PARIS (Fullkom), 10.9% (8.0%+2.9%) - 1era Quincena Jul 2026</t>
  </si>
  <si>
    <t>Accrual - Commission 3P PARIS (Fullkom), 10.9% (8.0%+2.9%) - 2da Quincena Aug 2026</t>
  </si>
  <si>
    <t>Accrual - Commission 3P PARIS (Fullkom), 10.9% (8.0%+2.9%) - 2da Quincena Jul 2026</t>
  </si>
  <si>
    <t>Accrual - Commission 3P PARIS (Fullkom), 10.9% (8.0%+2.9%) - Costo Logístico Mar and Apr 2026</t>
  </si>
  <si>
    <t>Accrual - Commission 3P RIPLEY (Fullkom), 10.9% (8.0%+2.9%) - 1era Quincena Aug 2026</t>
  </si>
  <si>
    <t>Accrual - Commission 3P RIPLEY (Fullkom), 10.9% (8.0%+2.9%) - 1era Quincena Jul 2026</t>
  </si>
  <si>
    <t>Accrual - Commission 3P RIPLEY (Fullkom), 10.9% (8.0%+2.9%) - 2da Quincena Aug 2026</t>
  </si>
  <si>
    <t>Accrual - Commission 3P RIPLEY (Fullkom), 10.9% (8.0%+2.9%) - 2da Quincena Jul 2026</t>
  </si>
  <si>
    <t>Accrual - Commission 3P WALMART (Fullkom), 7.65% (4.75%+2.9%) - 1era Quincena Aug 2026</t>
  </si>
  <si>
    <t>Accrual - Commission 3P WALMART (Fullkom), 7.65% (4.75%+2.9%) - 1era Quincena Jul 2026</t>
  </si>
  <si>
    <t>Accrual - Commission 3P WALMART (Fullkom), 7.65% (4.75%+2.9%) - 2da Quincena Aug 2026</t>
  </si>
  <si>
    <t>Accrual - Commission 3P WALMART (Fullkom), 7.65% (4.75%+2.9%) - 2da Quincena Jul 2026</t>
  </si>
  <si>
    <t>Accrual - Credit memo Commission 3P FALABELLA Direct (Integration May 2026), 10%-13% - Aug 2026</t>
  </si>
  <si>
    <t>Accrual - PG Commission MERCADO PAGO, 1.0%-2.3% - Aug 2026</t>
  </si>
  <si>
    <t>Accrual - PG Commission MERCADO PAGO, 1.0%-2.3% - Jul 2026</t>
  </si>
  <si>
    <t>Accrual - PG Commission MERCADO PAGO, 1.0%-2.3% - May 2026</t>
  </si>
  <si>
    <t>Accrual - PG Commission TRANSBANK, 0.9%-1.4% - Aug 2026</t>
  </si>
  <si>
    <t>Accrual - PG Commission TRANSBANK, 0.9%-1.4% - Jul 2026</t>
  </si>
  <si>
    <t>Accrual -Commission 3P FALABELLA Direct (Integration May 2026), 10%-13% - Aug 2026</t>
  </si>
  <si>
    <t>Accrual - OMS Variable Commission, Orders&lt; 3000=0.89$ USD, &gt;3000=0.84$ USD - Aug 2026</t>
  </si>
  <si>
    <t>Accrual F-2049 OMS SOPTEC Licence Fixed Commission 20 UF, From 2025/Jul 2026</t>
  </si>
  <si>
    <t>Accrual F-2064 OMS SOPTEC Licence Fixed Commission 20 UF, From 2025/ Aug 2026</t>
  </si>
  <si>
    <t>Accrual OMS Variable Commission, Orders&lt; 3000=0.89$ USD, &gt;3000=0.84$ USD, etc, From 2024/Oct/24 - Jun 2026</t>
  </si>
  <si>
    <t>RAW</t>
  </si>
  <si>
    <t>Julio?</t>
  </si>
  <si>
    <t>Agosto!</t>
  </si>
  <si>
    <t>sep</t>
  </si>
  <si>
    <t>LG CNS CO_Magento System Maintenance Project H1</t>
  </si>
  <si>
    <t>Camara de Comercio Cuota Social Anual</t>
  </si>
  <si>
    <t>Select in GEVS Calendar (from sheet "Master 1" the "Invoice Date" column). Find in sheet "Master 1"</t>
  </si>
  <si>
    <t>ACTION 14</t>
  </si>
  <si>
    <t>SAVE</t>
  </si>
  <si>
    <t>ACTION 15</t>
  </si>
  <si>
    <t>SUBMIT</t>
  </si>
  <si>
    <t>Approving</t>
  </si>
  <si>
    <t>JUN 27 to JUL 15</t>
  </si>
  <si>
    <t>Draft</t>
  </si>
  <si>
    <t>July</t>
  </si>
  <si>
    <t>Log Cost</t>
  </si>
  <si>
    <t>Monthly</t>
  </si>
  <si>
    <t>3P Walmart</t>
  </si>
  <si>
    <t>JUN 27 to JUL 31</t>
  </si>
  <si>
    <t>Montlhy Raw</t>
  </si>
  <si>
    <t>F 4003 - Comisiones LG Walmart JULIO 2026 (1).pdf</t>
  </si>
  <si>
    <t>F 4002 - Comisiones LG Paris JULIO 2026 (1).pdf</t>
  </si>
  <si>
    <t>F 4005 - Comisiones LG MRipley JULIO 2026 (1).pdf</t>
  </si>
  <si>
    <t xml:space="preserve">PG Commission MERCADO PAGO, 1.0%-2.3% - </t>
  </si>
  <si>
    <t>Commission 3P FALABELLA Direct (Integration May 2026), 10%-13% -</t>
  </si>
  <si>
    <t>Commission 3P PARIS (Fullkom), 10.9% (8.0%+2.9%) -</t>
  </si>
  <si>
    <t>Commission 3P WALMART (Fullkom), 7.65% (4.75%+2.9%) -</t>
  </si>
  <si>
    <t>Commission 3P RIPLEY (Fullkom), 10.9% (8.0%+2.9%) -</t>
  </si>
  <si>
    <t>Commission PG TRANSBANK, 0.9%-1.4% -</t>
  </si>
  <si>
    <t>Commission Variable OMS, Orders&lt;3000=0.89$ USD, &gt;3000=0.84$ USD -</t>
  </si>
  <si>
    <t>OMS SOPTEC LG.com Fixed Commission 5.3K USD -</t>
  </si>
  <si>
    <t>OMS SOPTEC Meli Licence Fixed Commission 20 UF -</t>
  </si>
  <si>
    <t>OMS SOPTEC Fullkom Licence Fixed Commission 40 UF -</t>
  </si>
  <si>
    <t>Acepta - Visualización de Documento</t>
  </si>
  <si>
    <t>Pending Report</t>
  </si>
  <si>
    <t>Draft Pending Report</t>
  </si>
  <si>
    <t>Draft Ok</t>
  </si>
  <si>
    <t>Ingresar Joseph</t>
  </si>
  <si>
    <t>Ingresar Notas de Credito</t>
  </si>
  <si>
    <t>2026-08-BILL-MercadoPago (2).pdf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</si>
</sst>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409]d\-mmm\-yyyy;@"/>
    <numFmt numFmtId="167" formatCode="_(* #,##0_);_(* \(#,##0\);;_(@_)"/>
    <numFmt numFmtId="168" formatCode="_(* #,##0.0_);_(* \(#,##0.0\);;_(@_)"/>
    <numFmt numFmtId="169" formatCode="0.0%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1"/>
      <name val="Aptos Narrow"/>
      <family val="2"/>
      <scheme val="minor"/>
    </font>
    <font>
      <sz val="10"/>
      <name val="Arial Narrow"/>
      <family val="2"/>
    </font>
    <font>
      <sz val="10"/>
      <color rgb="FFFF0000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8"/>
      <name val="Aptos Narrow"/>
      <family val="2"/>
      <scheme val="minor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rgb="FF006600"/>
      <name val="Arial Narrow"/>
      <family val="2"/>
    </font>
    <font>
      <b/>
      <sz val="9"/>
      <color rgb="FF006600"/>
      <name val="Arial Narrow"/>
      <family val="2"/>
    </font>
    <font>
      <sz val="11"/>
      <color rgb="FF0066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6600"/>
      <name val="Arial Narrow"/>
      <family val="2"/>
    </font>
    <font>
      <u/>
      <sz val="11"/>
      <color theme="10"/>
      <name val="Aptos Narrow"/>
      <family val="2"/>
      <scheme val="minor"/>
    </font>
    <font>
      <sz val="9"/>
      <color rgb="FFFF0000"/>
      <name val="Arial Narrow"/>
      <family val="2"/>
    </font>
    <font>
      <b/>
      <sz val="9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9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rgb="FFFF0000"/>
      <name val="Arial Narrow"/>
      <family val="2"/>
    </font>
    <font>
      <sz val="8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8"/>
      <name val="Arial Narrow"/>
      <family val="2"/>
    </font>
    <font>
      <sz val="8"/>
      <color rgb="FF006600"/>
      <name val="Arial Narrow"/>
      <family val="2"/>
    </font>
    <font>
      <i/>
      <sz val="8"/>
      <color rgb="FF006600"/>
      <name val="Arial Narrow"/>
      <family val="2"/>
    </font>
    <font>
      <b/>
      <sz val="8"/>
      <color rgb="FF006600"/>
      <name val="Arial Narrow"/>
      <family val="2"/>
    </font>
    <font>
      <sz val="8"/>
      <color rgb="FF002060"/>
      <name val="Arial Narrow"/>
      <family val="2"/>
    </font>
    <font>
      <i/>
      <sz val="8"/>
      <color rgb="FF002060"/>
      <name val="Arial Narrow"/>
      <family val="2"/>
    </font>
    <font>
      <b/>
      <sz val="8"/>
      <color rgb="FF00206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1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Dashed">
        <color rgb="FFFF0000"/>
      </left>
      <right/>
      <top/>
      <bottom/>
      <diagonal/>
    </border>
    <border>
      <left style="mediumDashed">
        <color rgb="FFFF0000"/>
      </left>
      <right/>
      <top/>
      <bottom style="thin">
        <color indexed="64"/>
      </bottom>
      <diagonal/>
    </border>
    <border>
      <left style="mediumDashed">
        <color rgb="FFFF0000"/>
      </left>
      <right/>
      <top style="thin">
        <color indexed="64"/>
      </top>
      <bottom/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medium">
        <color indexed="64"/>
      </right>
      <top style="thick">
        <color theme="0" tint="-0.14996795556505021"/>
      </top>
      <bottom style="thick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thick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ck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 tint="-0.14996795556505021"/>
      </bottom>
      <diagonal/>
    </border>
    <border>
      <left/>
      <right/>
      <top/>
      <bottom style="thick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theme="0" tint="-0.14996795556505021"/>
      </top>
      <bottom/>
      <diagonal/>
    </border>
    <border>
      <left/>
      <right style="medium">
        <color indexed="64"/>
      </right>
      <top style="thick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theme="0" tint="-0.149967955565050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 tint="-0.14996795556505021"/>
      </bottom>
      <diagonal/>
    </border>
    <border>
      <left/>
      <right/>
      <top style="medium">
        <color indexed="64"/>
      </top>
      <bottom style="thick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theme="0" tint="-0.14996795556505021"/>
      </bottom>
      <diagonal/>
    </border>
    <border>
      <left style="thin">
        <color indexed="64"/>
      </left>
      <right/>
      <top/>
      <bottom style="thick">
        <color theme="0" tint="-0.14996795556505021"/>
      </bottom>
      <diagonal/>
    </border>
    <border>
      <left/>
      <right style="thin">
        <color indexed="64"/>
      </right>
      <top/>
      <bottom style="thick">
        <color theme="0" tint="-0.14996795556505021"/>
      </bottom>
      <diagonal/>
    </border>
    <border>
      <left/>
      <right/>
      <top style="thin">
        <color indexed="64"/>
      </top>
      <bottom style="thick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 style="thin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thin">
        <color indexed="64"/>
      </bottom>
      <diagonal/>
    </border>
    <border>
      <left style="dotted">
        <color theme="0" tint="-0.499984740745262"/>
      </left>
      <right/>
      <top/>
      <bottom style="thin">
        <color indexed="64"/>
      </bottom>
      <diagonal/>
    </border>
    <border>
      <left/>
      <right style="dotted">
        <color theme="0" tint="-0.499984740745262"/>
      </right>
      <top style="thin">
        <color indexed="64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 style="thin">
        <color indexed="64"/>
      </top>
      <bottom/>
      <diagonal/>
    </border>
    <border>
      <left style="dotted">
        <color theme="0" tint="-0.499984740745262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theme="0" tint="-0.14996795556505021"/>
      </bottom>
      <diagonal/>
    </border>
    <border>
      <left style="thin">
        <color indexed="64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n">
        <color indexed="64"/>
      </right>
      <top style="thick">
        <color theme="0" tint="-0.14996795556505021"/>
      </top>
      <bottom style="thick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4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10" xfId="0" applyFont="1" applyBorder="1"/>
    <xf numFmtId="0" fontId="6" fillId="0" borderId="0" xfId="0" applyFont="1"/>
    <xf numFmtId="164" fontId="2" fillId="0" borderId="0" xfId="1" applyNumberFormat="1" applyFont="1"/>
    <xf numFmtId="0" fontId="2" fillId="2" borderId="0" xfId="0" applyFont="1" applyFill="1"/>
    <xf numFmtId="164" fontId="6" fillId="0" borderId="11" xfId="1" applyNumberFormat="1" applyFont="1" applyFill="1" applyBorder="1"/>
    <xf numFmtId="0" fontId="6" fillId="2" borderId="0" xfId="0" applyFont="1" applyFill="1"/>
    <xf numFmtId="0" fontId="6" fillId="2" borderId="11" xfId="0" applyFont="1" applyFill="1" applyBorder="1"/>
    <xf numFmtId="0" fontId="2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/>
    <xf numFmtId="3" fontId="9" fillId="0" borderId="1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6" fillId="0" borderId="11" xfId="0" applyFont="1" applyBorder="1"/>
    <xf numFmtId="164" fontId="6" fillId="0" borderId="0" xfId="1" applyNumberFormat="1" applyFont="1" applyFill="1"/>
    <xf numFmtId="164" fontId="6" fillId="0" borderId="0" xfId="1" applyNumberFormat="1" applyFont="1" applyFill="1" applyBorder="1"/>
    <xf numFmtId="0" fontId="2" fillId="0" borderId="9" xfId="0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4" xfId="0" applyFont="1" applyBorder="1"/>
    <xf numFmtId="0" fontId="0" fillId="2" borderId="0" xfId="0" applyFill="1"/>
    <xf numFmtId="0" fontId="2" fillId="0" borderId="11" xfId="0" applyFont="1" applyBorder="1"/>
    <xf numFmtId="0" fontId="7" fillId="0" borderId="0" xfId="0" applyFont="1"/>
    <xf numFmtId="0" fontId="7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164" fontId="7" fillId="0" borderId="11" xfId="1" applyNumberFormat="1" applyFont="1" applyFill="1" applyBorder="1" applyAlignment="1">
      <alignment horizontal="center" wrapText="1"/>
    </xf>
    <xf numFmtId="0" fontId="11" fillId="0" borderId="0" xfId="0" applyFont="1" applyAlignment="1">
      <alignment horizontal="right"/>
    </xf>
    <xf numFmtId="164" fontId="12" fillId="0" borderId="11" xfId="1" applyNumberFormat="1" applyFont="1" applyFill="1" applyBorder="1" applyAlignment="1">
      <alignment horizontal="center" wrapText="1"/>
    </xf>
    <xf numFmtId="0" fontId="11" fillId="0" borderId="0" xfId="0" applyFont="1"/>
    <xf numFmtId="0" fontId="11" fillId="0" borderId="11" xfId="0" applyFont="1" applyBorder="1"/>
    <xf numFmtId="0" fontId="3" fillId="0" borderId="0" xfId="0" applyFont="1"/>
    <xf numFmtId="165" fontId="6" fillId="0" borderId="0" xfId="1" applyNumberFormat="1" applyFont="1" applyFill="1" applyBorder="1"/>
    <xf numFmtId="0" fontId="15" fillId="2" borderId="0" xfId="0" applyFont="1" applyFill="1"/>
    <xf numFmtId="164" fontId="13" fillId="2" borderId="0" xfId="1" applyNumberFormat="1" applyFont="1" applyFill="1"/>
    <xf numFmtId="164" fontId="14" fillId="2" borderId="11" xfId="1" applyNumberFormat="1" applyFont="1" applyFill="1" applyBorder="1" applyAlignment="1">
      <alignment horizontal="center" wrapText="1"/>
    </xf>
    <xf numFmtId="164" fontId="13" fillId="2" borderId="0" xfId="1" applyNumberFormat="1" applyFont="1" applyFill="1" applyBorder="1"/>
    <xf numFmtId="164" fontId="13" fillId="2" borderId="11" xfId="1" applyNumberFormat="1" applyFont="1" applyFill="1" applyBorder="1"/>
    <xf numFmtId="164" fontId="13" fillId="0" borderId="0" xfId="1" applyNumberFormat="1" applyFont="1" applyFill="1"/>
    <xf numFmtId="164" fontId="14" fillId="0" borderId="11" xfId="1" applyNumberFormat="1" applyFont="1" applyFill="1" applyBorder="1" applyAlignment="1">
      <alignment horizontal="center" wrapText="1"/>
    </xf>
    <xf numFmtId="164" fontId="13" fillId="0" borderId="0" xfId="1" applyNumberFormat="1" applyFont="1" applyFill="1" applyBorder="1"/>
    <xf numFmtId="164" fontId="13" fillId="0" borderId="11" xfId="1" applyNumberFormat="1" applyFont="1" applyFill="1" applyBorder="1"/>
    <xf numFmtId="0" fontId="15" fillId="0" borderId="0" xfId="0" applyFont="1"/>
    <xf numFmtId="164" fontId="11" fillId="0" borderId="0" xfId="1" applyNumberFormat="1" applyFont="1" applyFill="1"/>
    <xf numFmtId="164" fontId="11" fillId="0" borderId="0" xfId="1" applyNumberFormat="1" applyFont="1" applyFill="1" applyBorder="1"/>
    <xf numFmtId="164" fontId="11" fillId="0" borderId="11" xfId="1" applyNumberFormat="1" applyFont="1" applyFill="1" applyBorder="1"/>
    <xf numFmtId="0" fontId="16" fillId="0" borderId="0" xfId="0" applyFont="1"/>
    <xf numFmtId="0" fontId="2" fillId="0" borderId="13" xfId="0" applyFont="1" applyBorder="1"/>
    <xf numFmtId="0" fontId="16" fillId="0" borderId="7" xfId="0" applyFont="1" applyBorder="1"/>
    <xf numFmtId="0" fontId="2" fillId="0" borderId="13" xfId="0" applyFont="1" applyBorder="1" applyAlignment="1">
      <alignment horizontal="right"/>
    </xf>
    <xf numFmtId="43" fontId="2" fillId="0" borderId="3" xfId="1" applyFont="1" applyBorder="1"/>
    <xf numFmtId="0" fontId="16" fillId="0" borderId="15" xfId="0" applyFont="1" applyBorder="1"/>
    <xf numFmtId="164" fontId="5" fillId="0" borderId="2" xfId="1" applyNumberFormat="1" applyFont="1" applyFill="1" applyBorder="1"/>
    <xf numFmtId="0" fontId="2" fillId="0" borderId="3" xfId="0" applyFont="1" applyBorder="1"/>
    <xf numFmtId="43" fontId="5" fillId="0" borderId="1" xfId="0" applyNumberFormat="1" applyFont="1" applyBorder="1"/>
    <xf numFmtId="43" fontId="2" fillId="2" borderId="5" xfId="1" applyFont="1" applyFill="1" applyBorder="1"/>
    <xf numFmtId="43" fontId="2" fillId="0" borderId="6" xfId="0" applyNumberFormat="1" applyFont="1" applyBorder="1"/>
    <xf numFmtId="43" fontId="2" fillId="2" borderId="8" xfId="1" applyFont="1" applyFill="1" applyBorder="1"/>
    <xf numFmtId="43" fontId="2" fillId="0" borderId="0" xfId="0" applyNumberFormat="1" applyFont="1"/>
    <xf numFmtId="43" fontId="2" fillId="2" borderId="10" xfId="1" applyFont="1" applyFill="1" applyBorder="1"/>
    <xf numFmtId="43" fontId="2" fillId="0" borderId="11" xfId="0" applyNumberFormat="1" applyFont="1" applyBorder="1"/>
    <xf numFmtId="1" fontId="2" fillId="3" borderId="13" xfId="1" applyNumberFormat="1" applyFont="1" applyFill="1" applyBorder="1"/>
    <xf numFmtId="1" fontId="2" fillId="3" borderId="15" xfId="1" applyNumberFormat="1" applyFont="1" applyFill="1" applyBorder="1"/>
    <xf numFmtId="1" fontId="2" fillId="3" borderId="14" xfId="1" applyNumberFormat="1" applyFont="1" applyFill="1" applyBorder="1"/>
    <xf numFmtId="1" fontId="16" fillId="0" borderId="0" xfId="0" applyNumberFormat="1" applyFont="1"/>
    <xf numFmtId="43" fontId="17" fillId="0" borderId="0" xfId="1" applyFont="1"/>
    <xf numFmtId="1" fontId="2" fillId="3" borderId="14" xfId="0" applyNumberFormat="1" applyFont="1" applyFill="1" applyBorder="1"/>
    <xf numFmtId="166" fontId="13" fillId="2" borderId="0" xfId="0" applyNumberFormat="1" applyFont="1" applyFill="1"/>
    <xf numFmtId="166" fontId="14" fillId="2" borderId="11" xfId="0" applyNumberFormat="1" applyFont="1" applyFill="1" applyBorder="1" applyAlignment="1">
      <alignment horizontal="center" wrapText="1"/>
    </xf>
    <xf numFmtId="166" fontId="13" fillId="2" borderId="11" xfId="0" applyNumberFormat="1" applyFont="1" applyFill="1" applyBorder="1"/>
    <xf numFmtId="166" fontId="15" fillId="2" borderId="0" xfId="0" applyNumberFormat="1" applyFont="1" applyFill="1"/>
    <xf numFmtId="0" fontId="18" fillId="0" borderId="11" xfId="2" applyFill="1" applyBorder="1"/>
    <xf numFmtId="0" fontId="6" fillId="4" borderId="0" xfId="0" applyFont="1" applyFill="1"/>
    <xf numFmtId="0" fontId="7" fillId="4" borderId="11" xfId="0" applyFont="1" applyFill="1" applyBorder="1" applyAlignment="1">
      <alignment horizontal="center" wrapText="1"/>
    </xf>
    <xf numFmtId="0" fontId="6" fillId="4" borderId="11" xfId="0" applyFont="1" applyFill="1" applyBorder="1"/>
    <xf numFmtId="0" fontId="0" fillId="4" borderId="0" xfId="0" applyFill="1"/>
    <xf numFmtId="166" fontId="19" fillId="2" borderId="0" xfId="0" applyNumberFormat="1" applyFont="1" applyFill="1"/>
    <xf numFmtId="0" fontId="7" fillId="4" borderId="0" xfId="0" applyFont="1" applyFill="1"/>
    <xf numFmtId="0" fontId="7" fillId="4" borderId="11" xfId="0" applyFont="1" applyFill="1" applyBorder="1"/>
    <xf numFmtId="0" fontId="19" fillId="0" borderId="0" xfId="0" applyFont="1"/>
    <xf numFmtId="0" fontId="6" fillId="0" borderId="0" xfId="0" applyFont="1" applyAlignment="1">
      <alignment wrapText="1"/>
    </xf>
    <xf numFmtId="0" fontId="21" fillId="0" borderId="0" xfId="0" applyFont="1"/>
    <xf numFmtId="164" fontId="21" fillId="0" borderId="0" xfId="1" applyNumberFormat="1" applyFont="1"/>
    <xf numFmtId="0" fontId="21" fillId="0" borderId="9" xfId="0" applyFont="1" applyBorder="1"/>
    <xf numFmtId="0" fontId="21" fillId="0" borderId="8" xfId="0" applyFont="1" applyBorder="1"/>
    <xf numFmtId="0" fontId="22" fillId="0" borderId="0" xfId="0" applyFont="1"/>
    <xf numFmtId="0" fontId="2" fillId="0" borderId="0" xfId="0" pivotButton="1" applyFont="1"/>
    <xf numFmtId="164" fontId="2" fillId="0" borderId="0" xfId="0" applyNumberFormat="1" applyFont="1"/>
    <xf numFmtId="0" fontId="18" fillId="0" borderId="11" xfId="2" applyBorder="1"/>
    <xf numFmtId="0" fontId="0" fillId="0" borderId="11" xfId="0" applyBorder="1"/>
    <xf numFmtId="164" fontId="2" fillId="0" borderId="0" xfId="0" pivotButton="1" applyNumberFormat="1" applyFont="1"/>
    <xf numFmtId="0" fontId="6" fillId="0" borderId="22" xfId="0" applyFont="1" applyBorder="1"/>
    <xf numFmtId="0" fontId="7" fillId="0" borderId="23" xfId="0" applyFont="1" applyBorder="1" applyAlignment="1">
      <alignment horizontal="center" wrapText="1"/>
    </xf>
    <xf numFmtId="0" fontId="6" fillId="0" borderId="23" xfId="0" applyFont="1" applyBorder="1"/>
    <xf numFmtId="0" fontId="0" fillId="0" borderId="22" xfId="0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pivotButton="1" applyFont="1" applyAlignment="1">
      <alignment wrapText="1"/>
    </xf>
    <xf numFmtId="0" fontId="6" fillId="2" borderId="6" xfId="0" applyFont="1" applyFill="1" applyBorder="1"/>
    <xf numFmtId="166" fontId="13" fillId="2" borderId="6" xfId="0" applyNumberFormat="1" applyFont="1" applyFill="1" applyBorder="1"/>
    <xf numFmtId="0" fontId="7" fillId="4" borderId="6" xfId="0" applyFont="1" applyFill="1" applyBorder="1"/>
    <xf numFmtId="0" fontId="6" fillId="0" borderId="6" xfId="0" applyFont="1" applyBorder="1"/>
    <xf numFmtId="164" fontId="13" fillId="2" borderId="6" xfId="1" applyNumberFormat="1" applyFont="1" applyFill="1" applyBorder="1"/>
    <xf numFmtId="164" fontId="13" fillId="0" borderId="6" xfId="1" applyNumberFormat="1" applyFont="1" applyFill="1" applyBorder="1"/>
    <xf numFmtId="164" fontId="6" fillId="0" borderId="6" xfId="1" applyNumberFormat="1" applyFont="1" applyFill="1" applyBorder="1"/>
    <xf numFmtId="164" fontId="11" fillId="0" borderId="6" xfId="1" applyNumberFormat="1" applyFont="1" applyFill="1" applyBorder="1"/>
    <xf numFmtId="0" fontId="11" fillId="0" borderId="6" xfId="0" applyFont="1" applyBorder="1"/>
    <xf numFmtId="0" fontId="6" fillId="4" borderId="6" xfId="0" applyFont="1" applyFill="1" applyBorder="1"/>
    <xf numFmtId="0" fontId="6" fillId="0" borderId="24" xfId="0" applyFont="1" applyBorder="1"/>
    <xf numFmtId="164" fontId="2" fillId="0" borderId="0" xfId="1" applyNumberFormat="1" applyFont="1" applyFill="1"/>
    <xf numFmtId="164" fontId="13" fillId="4" borderId="11" xfId="1" applyNumberFormat="1" applyFont="1" applyFill="1" applyBorder="1"/>
    <xf numFmtId="164" fontId="2" fillId="3" borderId="0" xfId="0" applyNumberFormat="1" applyFont="1" applyFill="1"/>
    <xf numFmtId="164" fontId="13" fillId="3" borderId="11" xfId="1" applyNumberFormat="1" applyFont="1" applyFill="1" applyBorder="1"/>
    <xf numFmtId="0" fontId="23" fillId="0" borderId="0" xfId="0" applyFont="1"/>
    <xf numFmtId="0" fontId="24" fillId="0" borderId="0" xfId="0" applyFont="1"/>
    <xf numFmtId="164" fontId="6" fillId="0" borderId="0" xfId="1" applyNumberFormat="1" applyFont="1"/>
    <xf numFmtId="0" fontId="25" fillId="0" borderId="0" xfId="0" applyFont="1"/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64" fontId="11" fillId="0" borderId="28" xfId="1" applyNumberFormat="1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7" fontId="7" fillId="2" borderId="32" xfId="1" applyNumberFormat="1" applyFont="1" applyFill="1" applyBorder="1" applyAlignment="1">
      <alignment horizontal="center"/>
    </xf>
    <xf numFmtId="164" fontId="7" fillId="2" borderId="33" xfId="1" applyNumberFormat="1" applyFont="1" applyFill="1" applyBorder="1" applyAlignment="1">
      <alignment horizontal="center"/>
    </xf>
    <xf numFmtId="167" fontId="7" fillId="2" borderId="0" xfId="1" applyNumberFormat="1" applyFont="1" applyFill="1" applyBorder="1" applyAlignment="1">
      <alignment horizontal="center"/>
    </xf>
    <xf numFmtId="167" fontId="7" fillId="2" borderId="34" xfId="1" applyNumberFormat="1" applyFont="1" applyFill="1" applyBorder="1" applyAlignment="1">
      <alignment horizontal="center"/>
    </xf>
    <xf numFmtId="9" fontId="7" fillId="2" borderId="0" xfId="3" applyFont="1" applyFill="1" applyBorder="1" applyAlignment="1">
      <alignment horizontal="right"/>
    </xf>
    <xf numFmtId="9" fontId="7" fillId="0" borderId="0" xfId="3" applyFont="1" applyFill="1" applyBorder="1" applyAlignment="1">
      <alignment horizontal="right"/>
    </xf>
    <xf numFmtId="168" fontId="7" fillId="2" borderId="35" xfId="1" applyNumberFormat="1" applyFont="1" applyFill="1" applyBorder="1" applyAlignment="1">
      <alignment horizontal="center"/>
    </xf>
    <xf numFmtId="168" fontId="26" fillId="2" borderId="31" xfId="1" applyNumberFormat="1" applyFont="1" applyFill="1" applyBorder="1" applyAlignment="1">
      <alignment horizontal="center"/>
    </xf>
    <xf numFmtId="168" fontId="7" fillId="2" borderId="0" xfId="1" applyNumberFormat="1" applyFont="1" applyFill="1" applyBorder="1" applyAlignment="1">
      <alignment horizontal="center"/>
    </xf>
    <xf numFmtId="168" fontId="26" fillId="2" borderId="0" xfId="1" applyNumberFormat="1" applyFont="1" applyFill="1" applyBorder="1" applyAlignment="1">
      <alignment horizontal="center"/>
    </xf>
    <xf numFmtId="168" fontId="7" fillId="0" borderId="0" xfId="1" applyNumberFormat="1" applyFont="1" applyFill="1" applyBorder="1" applyAlignment="1">
      <alignment horizontal="center"/>
    </xf>
    <xf numFmtId="0" fontId="6" fillId="6" borderId="0" xfId="0" applyFont="1" applyFill="1"/>
    <xf numFmtId="0" fontId="6" fillId="6" borderId="31" xfId="0" applyFont="1" applyFill="1" applyBorder="1"/>
    <xf numFmtId="167" fontId="6" fillId="2" borderId="35" xfId="1" applyNumberFormat="1" applyFont="1" applyFill="1" applyBorder="1" applyAlignment="1">
      <alignment horizontal="center"/>
    </xf>
    <xf numFmtId="164" fontId="6" fillId="2" borderId="31" xfId="1" applyNumberFormat="1" applyFont="1" applyFill="1" applyBorder="1" applyAlignment="1">
      <alignment horizontal="center"/>
    </xf>
    <xf numFmtId="167" fontId="6" fillId="2" borderId="0" xfId="1" applyNumberFormat="1" applyFont="1" applyFill="1" applyBorder="1" applyAlignment="1">
      <alignment horizontal="center"/>
    </xf>
    <xf numFmtId="167" fontId="6" fillId="2" borderId="34" xfId="1" applyNumberFormat="1" applyFont="1" applyFill="1" applyBorder="1" applyAlignment="1">
      <alignment horizontal="center"/>
    </xf>
    <xf numFmtId="9" fontId="6" fillId="2" borderId="0" xfId="3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168" fontId="6" fillId="2" borderId="35" xfId="1" applyNumberFormat="1" applyFont="1" applyFill="1" applyBorder="1" applyAlignment="1">
      <alignment horizontal="center"/>
    </xf>
    <xf numFmtId="168" fontId="25" fillId="2" borderId="31" xfId="1" applyNumberFormat="1" applyFont="1" applyFill="1" applyBorder="1" applyAlignment="1">
      <alignment horizontal="center"/>
    </xf>
    <xf numFmtId="168" fontId="6" fillId="2" borderId="0" xfId="1" applyNumberFormat="1" applyFont="1" applyFill="1" applyBorder="1" applyAlignment="1">
      <alignment horizontal="center"/>
    </xf>
    <xf numFmtId="168" fontId="25" fillId="2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/>
    </xf>
    <xf numFmtId="0" fontId="6" fillId="0" borderId="31" xfId="0" applyFont="1" applyBorder="1"/>
    <xf numFmtId="167" fontId="7" fillId="2" borderId="35" xfId="1" applyNumberFormat="1" applyFont="1" applyFill="1" applyBorder="1" applyAlignment="1">
      <alignment horizontal="center"/>
    </xf>
    <xf numFmtId="164" fontId="7" fillId="2" borderId="31" xfId="1" applyNumberFormat="1" applyFont="1" applyFill="1" applyBorder="1" applyAlignment="1">
      <alignment horizontal="center"/>
    </xf>
    <xf numFmtId="0" fontId="7" fillId="0" borderId="31" xfId="0" applyFont="1" applyBorder="1"/>
    <xf numFmtId="164" fontId="7" fillId="2" borderId="37" xfId="1" applyNumberFormat="1" applyFont="1" applyFill="1" applyBorder="1" applyAlignment="1">
      <alignment horizontal="center"/>
    </xf>
    <xf numFmtId="164" fontId="7" fillId="2" borderId="38" xfId="1" applyNumberFormat="1" applyFont="1" applyFill="1" applyBorder="1" applyAlignment="1">
      <alignment horizontal="center"/>
    </xf>
    <xf numFmtId="164" fontId="7" fillId="2" borderId="30" xfId="1" applyNumberFormat="1" applyFont="1" applyFill="1" applyBorder="1" applyAlignment="1">
      <alignment horizontal="center"/>
    </xf>
    <xf numFmtId="164" fontId="7" fillId="2" borderId="39" xfId="1" applyNumberFormat="1" applyFont="1" applyFill="1" applyBorder="1" applyAlignment="1">
      <alignment horizontal="center"/>
    </xf>
    <xf numFmtId="9" fontId="7" fillId="2" borderId="30" xfId="3" applyFont="1" applyFill="1" applyBorder="1" applyAlignment="1">
      <alignment horizontal="right"/>
    </xf>
    <xf numFmtId="168" fontId="7" fillId="2" borderId="37" xfId="1" applyNumberFormat="1" applyFont="1" applyFill="1" applyBorder="1" applyAlignment="1">
      <alignment horizontal="center"/>
    </xf>
    <xf numFmtId="168" fontId="26" fillId="2" borderId="38" xfId="1" applyNumberFormat="1" applyFont="1" applyFill="1" applyBorder="1" applyAlignment="1">
      <alignment horizontal="center"/>
    </xf>
    <xf numFmtId="168" fontId="7" fillId="2" borderId="30" xfId="1" applyNumberFormat="1" applyFont="1" applyFill="1" applyBorder="1" applyAlignment="1">
      <alignment horizontal="center"/>
    </xf>
    <xf numFmtId="168" fontId="26" fillId="2" borderId="30" xfId="1" applyNumberFormat="1" applyFont="1" applyFill="1" applyBorder="1" applyAlignment="1">
      <alignment horizontal="center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9" fontId="6" fillId="6" borderId="0" xfId="3" applyFont="1" applyFill="1" applyBorder="1" applyAlignment="1">
      <alignment horizontal="center"/>
    </xf>
    <xf numFmtId="9" fontId="6" fillId="6" borderId="15" xfId="3" applyFont="1" applyFill="1" applyBorder="1" applyAlignment="1">
      <alignment horizontal="center"/>
    </xf>
    <xf numFmtId="10" fontId="6" fillId="6" borderId="35" xfId="3" applyNumberFormat="1" applyFont="1" applyFill="1" applyBorder="1" applyAlignment="1">
      <alignment horizontal="center"/>
    </xf>
    <xf numFmtId="10" fontId="6" fillId="6" borderId="0" xfId="3" applyNumberFormat="1" applyFont="1" applyFill="1" applyBorder="1" applyAlignment="1">
      <alignment horizontal="center"/>
    </xf>
    <xf numFmtId="10" fontId="6" fillId="6" borderId="31" xfId="3" applyNumberFormat="1" applyFont="1" applyFill="1" applyBorder="1" applyAlignment="1">
      <alignment horizontal="center"/>
    </xf>
    <xf numFmtId="9" fontId="6" fillId="0" borderId="0" xfId="3" applyFont="1" applyFill="1" applyBorder="1" applyAlignment="1">
      <alignment horizontal="center"/>
    </xf>
    <xf numFmtId="9" fontId="6" fillId="0" borderId="15" xfId="3" applyFont="1" applyFill="1" applyBorder="1" applyAlignment="1">
      <alignment horizontal="center"/>
    </xf>
    <xf numFmtId="10" fontId="6" fillId="0" borderId="35" xfId="3" applyNumberFormat="1" applyFont="1" applyFill="1" applyBorder="1" applyAlignment="1">
      <alignment horizontal="center"/>
    </xf>
    <xf numFmtId="10" fontId="6" fillId="0" borderId="0" xfId="3" applyNumberFormat="1" applyFont="1" applyFill="1" applyBorder="1" applyAlignment="1">
      <alignment horizontal="center"/>
    </xf>
    <xf numFmtId="10" fontId="6" fillId="0" borderId="31" xfId="3" applyNumberFormat="1" applyFont="1" applyFill="1" applyBorder="1" applyAlignment="1">
      <alignment horizontal="center"/>
    </xf>
    <xf numFmtId="9" fontId="7" fillId="0" borderId="30" xfId="3" applyFont="1" applyFill="1" applyBorder="1" applyAlignment="1">
      <alignment horizontal="center"/>
    </xf>
    <xf numFmtId="9" fontId="7" fillId="0" borderId="14" xfId="3" applyFont="1" applyFill="1" applyBorder="1" applyAlignment="1">
      <alignment horizontal="center"/>
    </xf>
    <xf numFmtId="10" fontId="7" fillId="0" borderId="37" xfId="3" applyNumberFormat="1" applyFont="1" applyFill="1" applyBorder="1" applyAlignment="1">
      <alignment horizontal="center"/>
    </xf>
    <xf numFmtId="10" fontId="7" fillId="0" borderId="42" xfId="3" applyNumberFormat="1" applyFont="1" applyFill="1" applyBorder="1" applyAlignment="1">
      <alignment horizontal="center"/>
    </xf>
    <xf numFmtId="10" fontId="7" fillId="0" borderId="38" xfId="3" applyNumberFormat="1" applyFont="1" applyFill="1" applyBorder="1" applyAlignment="1">
      <alignment horizontal="center"/>
    </xf>
    <xf numFmtId="0" fontId="23" fillId="0" borderId="2" xfId="0" applyFont="1" applyBorder="1"/>
    <xf numFmtId="0" fontId="21" fillId="0" borderId="3" xfId="0" applyFont="1" applyBorder="1"/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22" fillId="0" borderId="4" xfId="0" applyFont="1" applyBorder="1"/>
    <xf numFmtId="0" fontId="6" fillId="0" borderId="36" xfId="0" applyFont="1" applyBorder="1" applyAlignment="1">
      <alignment horizontal="center" vertical="center" wrapText="1"/>
    </xf>
    <xf numFmtId="164" fontId="11" fillId="0" borderId="30" xfId="1" applyNumberFormat="1" applyFont="1" applyBorder="1" applyAlignment="1">
      <alignment horizontal="center" vertical="center" wrapText="1"/>
    </xf>
    <xf numFmtId="164" fontId="11" fillId="0" borderId="43" xfId="1" applyNumberFormat="1" applyFont="1" applyBorder="1" applyAlignment="1">
      <alignment horizontal="center" vertical="center" wrapText="1"/>
    </xf>
    <xf numFmtId="164" fontId="11" fillId="0" borderId="44" xfId="1" applyNumberFormat="1" applyFont="1" applyBorder="1" applyAlignment="1">
      <alignment horizontal="center" vertical="center" wrapText="1"/>
    </xf>
    <xf numFmtId="164" fontId="11" fillId="0" borderId="45" xfId="1" applyNumberFormat="1" applyFont="1" applyBorder="1" applyAlignment="1">
      <alignment horizontal="center" vertical="center" wrapText="1"/>
    </xf>
    <xf numFmtId="164" fontId="11" fillId="0" borderId="46" xfId="1" applyNumberFormat="1" applyFont="1" applyBorder="1" applyAlignment="1">
      <alignment horizontal="center" vertical="center" wrapText="1"/>
    </xf>
    <xf numFmtId="164" fontId="11" fillId="0" borderId="40" xfId="1" applyNumberFormat="1" applyFont="1" applyBorder="1" applyAlignment="1">
      <alignment horizontal="center" vertical="center" wrapText="1"/>
    </xf>
    <xf numFmtId="164" fontId="6" fillId="6" borderId="0" xfId="1" applyNumberFormat="1" applyFont="1" applyFill="1" applyBorder="1" applyAlignment="1">
      <alignment horizontal="center"/>
    </xf>
    <xf numFmtId="164" fontId="6" fillId="6" borderId="15" xfId="1" applyNumberFormat="1" applyFont="1" applyFill="1" applyBorder="1" applyAlignment="1">
      <alignment horizontal="center"/>
    </xf>
    <xf numFmtId="164" fontId="6" fillId="6" borderId="8" xfId="1" applyNumberFormat="1" applyFont="1" applyFill="1" applyBorder="1" applyAlignment="1">
      <alignment horizontal="center"/>
    </xf>
    <xf numFmtId="164" fontId="6" fillId="6" borderId="9" xfId="1" applyNumberFormat="1" applyFont="1" applyFill="1" applyBorder="1" applyAlignment="1">
      <alignment horizontal="center"/>
    </xf>
    <xf numFmtId="164" fontId="19" fillId="6" borderId="0" xfId="1" applyNumberFormat="1" applyFont="1" applyFill="1" applyBorder="1" applyAlignment="1">
      <alignment horizontal="center"/>
    </xf>
    <xf numFmtId="164" fontId="6" fillId="0" borderId="0" xfId="1" applyNumberFormat="1" applyFont="1" applyFill="1" applyBorder="1" applyAlignment="1">
      <alignment horizontal="center"/>
    </xf>
    <xf numFmtId="164" fontId="6" fillId="0" borderId="15" xfId="1" applyNumberFormat="1" applyFont="1" applyFill="1" applyBorder="1" applyAlignment="1">
      <alignment horizontal="center"/>
    </xf>
    <xf numFmtId="164" fontId="6" fillId="0" borderId="8" xfId="1" applyNumberFormat="1" applyFont="1" applyFill="1" applyBorder="1" applyAlignment="1">
      <alignment horizontal="center"/>
    </xf>
    <xf numFmtId="164" fontId="6" fillId="0" borderId="9" xfId="1" applyNumberFormat="1" applyFont="1" applyFill="1" applyBorder="1" applyAlignment="1">
      <alignment horizontal="center"/>
    </xf>
    <xf numFmtId="164" fontId="19" fillId="0" borderId="0" xfId="1" applyNumberFormat="1" applyFont="1" applyFill="1" applyBorder="1" applyAlignment="1">
      <alignment horizontal="center"/>
    </xf>
    <xf numFmtId="164" fontId="7" fillId="0" borderId="30" xfId="1" applyNumberFormat="1" applyFont="1" applyFill="1" applyBorder="1" applyAlignment="1">
      <alignment horizontal="center"/>
    </xf>
    <xf numFmtId="164" fontId="7" fillId="4" borderId="14" xfId="1" applyNumberFormat="1" applyFont="1" applyFill="1" applyBorder="1" applyAlignment="1">
      <alignment horizontal="center"/>
    </xf>
    <xf numFmtId="164" fontId="7" fillId="4" borderId="10" xfId="1" applyNumberFormat="1" applyFont="1" applyFill="1" applyBorder="1" applyAlignment="1">
      <alignment horizontal="center"/>
    </xf>
    <xf numFmtId="164" fontId="7" fillId="2" borderId="11" xfId="1" applyNumberFormat="1" applyFont="1" applyFill="1" applyBorder="1" applyAlignment="1">
      <alignment horizontal="center"/>
    </xf>
    <xf numFmtId="164" fontId="7" fillId="2" borderId="12" xfId="1" applyNumberFormat="1" applyFont="1" applyFill="1" applyBorder="1" applyAlignment="1">
      <alignment horizontal="center"/>
    </xf>
    <xf numFmtId="164" fontId="7" fillId="4" borderId="11" xfId="1" applyNumberFormat="1" applyFont="1" applyFill="1" applyBorder="1" applyAlignment="1">
      <alignment horizontal="center"/>
    </xf>
    <xf numFmtId="164" fontId="20" fillId="4" borderId="11" xfId="1" applyNumberFormat="1" applyFont="1" applyFill="1" applyBorder="1" applyAlignment="1">
      <alignment horizontal="center"/>
    </xf>
    <xf numFmtId="164" fontId="21" fillId="0" borderId="3" xfId="1" applyNumberFormat="1" applyFont="1" applyBorder="1"/>
    <xf numFmtId="164" fontId="22" fillId="0" borderId="3" xfId="1" applyNumberFormat="1" applyFont="1" applyBorder="1" applyAlignment="1">
      <alignment horizontal="center"/>
    </xf>
    <xf numFmtId="164" fontId="7" fillId="2" borderId="10" xfId="1" applyNumberFormat="1" applyFont="1" applyFill="1" applyBorder="1" applyAlignment="1">
      <alignment horizontal="center"/>
    </xf>
    <xf numFmtId="0" fontId="6" fillId="0" borderId="5" xfId="0" applyFont="1" applyBorder="1"/>
    <xf numFmtId="0" fontId="25" fillId="0" borderId="6" xfId="0" applyFont="1" applyBorder="1"/>
    <xf numFmtId="0" fontId="6" fillId="0" borderId="7" xfId="0" applyFont="1" applyBorder="1"/>
    <xf numFmtId="164" fontId="23" fillId="0" borderId="2" xfId="1" applyNumberFormat="1" applyFont="1" applyBorder="1"/>
    <xf numFmtId="164" fontId="21" fillId="0" borderId="4" xfId="1" applyNumberFormat="1" applyFont="1" applyBorder="1"/>
    <xf numFmtId="0" fontId="24" fillId="0" borderId="0" xfId="0" quotePrefix="1" applyFont="1"/>
    <xf numFmtId="164" fontId="11" fillId="0" borderId="47" xfId="1" applyNumberFormat="1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164" fontId="19" fillId="6" borderId="9" xfId="1" applyNumberFormat="1" applyFont="1" applyFill="1" applyBorder="1" applyAlignment="1">
      <alignment horizontal="center"/>
    </xf>
    <xf numFmtId="164" fontId="6" fillId="0" borderId="0" xfId="0" applyNumberFormat="1" applyFont="1"/>
    <xf numFmtId="164" fontId="25" fillId="0" borderId="0" xfId="1" applyNumberFormat="1" applyFont="1"/>
    <xf numFmtId="164" fontId="25" fillId="0" borderId="0" xfId="1" applyNumberFormat="1" applyFont="1" applyBorder="1"/>
    <xf numFmtId="164" fontId="19" fillId="0" borderId="9" xfId="1" applyNumberFormat="1" applyFont="1" applyFill="1" applyBorder="1" applyAlignment="1">
      <alignment horizontal="center"/>
    </xf>
    <xf numFmtId="164" fontId="7" fillId="2" borderId="14" xfId="1" applyNumberFormat="1" applyFont="1" applyFill="1" applyBorder="1" applyAlignment="1">
      <alignment horizontal="center"/>
    </xf>
    <xf numFmtId="164" fontId="20" fillId="4" borderId="12" xfId="1" applyNumberFormat="1" applyFont="1" applyFill="1" applyBorder="1" applyAlignment="1">
      <alignment horizontal="center"/>
    </xf>
    <xf numFmtId="164" fontId="7" fillId="0" borderId="0" xfId="0" applyNumberFormat="1" applyFont="1"/>
    <xf numFmtId="164" fontId="26" fillId="0" borderId="0" xfId="1" applyNumberFormat="1" applyFont="1"/>
    <xf numFmtId="0" fontId="6" fillId="0" borderId="10" xfId="0" applyFont="1" applyBorder="1"/>
    <xf numFmtId="0" fontId="25" fillId="0" borderId="11" xfId="0" applyFont="1" applyBorder="1"/>
    <xf numFmtId="0" fontId="6" fillId="0" borderId="12" xfId="0" applyFont="1" applyBorder="1"/>
    <xf numFmtId="0" fontId="20" fillId="0" borderId="2" xfId="0" applyFont="1" applyBorder="1"/>
    <xf numFmtId="0" fontId="20" fillId="0" borderId="3" xfId="0" applyFont="1" applyBorder="1"/>
    <xf numFmtId="0" fontId="20" fillId="0" borderId="4" xfId="0" applyFont="1" applyBorder="1"/>
    <xf numFmtId="0" fontId="6" fillId="0" borderId="2" xfId="0" applyFont="1" applyBorder="1"/>
    <xf numFmtId="0" fontId="6" fillId="0" borderId="4" xfId="0" applyFont="1" applyBorder="1"/>
    <xf numFmtId="164" fontId="6" fillId="0" borderId="3" xfId="1" applyNumberFormat="1" applyFont="1" applyBorder="1"/>
    <xf numFmtId="164" fontId="6" fillId="0" borderId="4" xfId="1" applyNumberFormat="1" applyFont="1" applyBorder="1"/>
    <xf numFmtId="164" fontId="6" fillId="0" borderId="6" xfId="1" applyNumberFormat="1" applyFont="1" applyBorder="1"/>
    <xf numFmtId="164" fontId="6" fillId="0" borderId="7" xfId="1" applyNumberFormat="1" applyFont="1" applyBorder="1"/>
    <xf numFmtId="164" fontId="6" fillId="0" borderId="0" xfId="1" applyNumberFormat="1" applyFont="1" applyBorder="1"/>
    <xf numFmtId="164" fontId="6" fillId="0" borderId="9" xfId="1" applyNumberFormat="1" applyFont="1" applyBorder="1"/>
    <xf numFmtId="0" fontId="7" fillId="0" borderId="10" xfId="0" applyFont="1" applyBorder="1"/>
    <xf numFmtId="0" fontId="7" fillId="0" borderId="12" xfId="0" applyFont="1" applyBorder="1"/>
    <xf numFmtId="164" fontId="7" fillId="0" borderId="11" xfId="1" applyNumberFormat="1" applyFont="1" applyBorder="1"/>
    <xf numFmtId="164" fontId="7" fillId="0" borderId="12" xfId="1" applyNumberFormat="1" applyFont="1" applyBorder="1"/>
    <xf numFmtId="164" fontId="7" fillId="0" borderId="0" xfId="1" applyNumberFormat="1" applyFont="1"/>
    <xf numFmtId="0" fontId="26" fillId="0" borderId="0" xfId="0" applyFont="1"/>
    <xf numFmtId="0" fontId="7" fillId="0" borderId="8" xfId="0" applyFont="1" applyBorder="1"/>
    <xf numFmtId="0" fontId="7" fillId="0" borderId="9" xfId="0" applyFont="1" applyBorder="1"/>
    <xf numFmtId="164" fontId="7" fillId="0" borderId="0" xfId="1" applyNumberFormat="1" applyFont="1" applyBorder="1"/>
    <xf numFmtId="164" fontId="7" fillId="0" borderId="9" xfId="1" applyNumberFormat="1" applyFont="1" applyBorder="1"/>
    <xf numFmtId="0" fontId="6" fillId="0" borderId="48" xfId="0" applyFont="1" applyBorder="1"/>
    <xf numFmtId="0" fontId="6" fillId="0" borderId="49" xfId="0" applyFont="1" applyBorder="1"/>
    <xf numFmtId="3" fontId="6" fillId="3" borderId="50" xfId="0" applyNumberFormat="1" applyFont="1" applyFill="1" applyBorder="1"/>
    <xf numFmtId="3" fontId="6" fillId="3" borderId="51" xfId="0" applyNumberFormat="1" applyFont="1" applyFill="1" applyBorder="1"/>
    <xf numFmtId="0" fontId="6" fillId="0" borderId="35" xfId="0" applyFont="1" applyBorder="1"/>
    <xf numFmtId="3" fontId="6" fillId="3" borderId="0" xfId="0" applyNumberFormat="1" applyFont="1" applyFill="1"/>
    <xf numFmtId="3" fontId="6" fillId="3" borderId="31" xfId="0" applyNumberFormat="1" applyFont="1" applyFill="1" applyBorder="1"/>
    <xf numFmtId="0" fontId="7" fillId="0" borderId="37" xfId="0" applyFont="1" applyBorder="1"/>
    <xf numFmtId="0" fontId="6" fillId="0" borderId="52" xfId="0" applyFont="1" applyBorder="1"/>
    <xf numFmtId="164" fontId="7" fillId="7" borderId="42" xfId="1" applyNumberFormat="1" applyFont="1" applyFill="1" applyBorder="1"/>
    <xf numFmtId="164" fontId="7" fillId="7" borderId="38" xfId="1" applyNumberFormat="1" applyFont="1" applyFill="1" applyBorder="1"/>
    <xf numFmtId="0" fontId="6" fillId="0" borderId="53" xfId="0" applyFont="1" applyBorder="1"/>
    <xf numFmtId="0" fontId="6" fillId="4" borderId="54" xfId="0" applyFont="1" applyFill="1" applyBorder="1"/>
    <xf numFmtId="3" fontId="0" fillId="0" borderId="0" xfId="0" applyNumberFormat="1"/>
    <xf numFmtId="10" fontId="6" fillId="4" borderId="31" xfId="0" applyNumberFormat="1" applyFont="1" applyFill="1" applyBorder="1"/>
    <xf numFmtId="0" fontId="20" fillId="0" borderId="0" xfId="0" applyFont="1"/>
    <xf numFmtId="0" fontId="6" fillId="0" borderId="37" xfId="0" applyFont="1" applyBorder="1"/>
    <xf numFmtId="10" fontId="6" fillId="4" borderId="38" xfId="0" applyNumberFormat="1" applyFont="1" applyFill="1" applyBorder="1"/>
    <xf numFmtId="3" fontId="6" fillId="2" borderId="0" xfId="0" applyNumberFormat="1" applyFont="1" applyFill="1"/>
    <xf numFmtId="3" fontId="6" fillId="8" borderId="0" xfId="0" applyNumberFormat="1" applyFont="1" applyFill="1"/>
    <xf numFmtId="0" fontId="6" fillId="8" borderId="0" xfId="0" applyFont="1" applyFill="1"/>
    <xf numFmtId="0" fontId="7" fillId="0" borderId="2" xfId="0" applyFont="1" applyBorder="1"/>
    <xf numFmtId="0" fontId="7" fillId="0" borderId="3" xfId="0" applyFont="1" applyBorder="1"/>
    <xf numFmtId="3" fontId="7" fillId="0" borderId="3" xfId="0" applyNumberFormat="1" applyFont="1" applyBorder="1"/>
    <xf numFmtId="3" fontId="7" fillId="8" borderId="4" xfId="0" applyNumberFormat="1" applyFont="1" applyFill="1" applyBorder="1"/>
    <xf numFmtId="3" fontId="6" fillId="0" borderId="0" xfId="0" applyNumberFormat="1" applyFont="1"/>
    <xf numFmtId="169" fontId="6" fillId="0" borderId="0" xfId="3" applyNumberFormat="1" applyFont="1"/>
    <xf numFmtId="10" fontId="6" fillId="0" borderId="0" xfId="3" applyNumberFormat="1" applyFont="1"/>
    <xf numFmtId="0" fontId="7" fillId="0" borderId="53" xfId="0" applyFont="1" applyBorder="1"/>
    <xf numFmtId="0" fontId="7" fillId="0" borderId="55" xfId="0" applyFont="1" applyBorder="1"/>
    <xf numFmtId="3" fontId="7" fillId="9" borderId="55" xfId="0" applyNumberFormat="1" applyFont="1" applyFill="1" applyBorder="1"/>
    <xf numFmtId="3" fontId="7" fillId="0" borderId="54" xfId="0" applyNumberFormat="1" applyFont="1" applyBorder="1"/>
    <xf numFmtId="0" fontId="6" fillId="4" borderId="51" xfId="0" applyFont="1" applyFill="1" applyBorder="1"/>
    <xf numFmtId="0" fontId="11" fillId="0" borderId="37" xfId="0" applyFont="1" applyBorder="1"/>
    <xf numFmtId="0" fontId="11" fillId="4" borderId="38" xfId="0" applyFont="1" applyFill="1" applyBorder="1"/>
    <xf numFmtId="0" fontId="6" fillId="0" borderId="0" xfId="0" applyFont="1" applyAlignment="1">
      <alignment horizontal="left" wrapText="1"/>
    </xf>
    <xf numFmtId="0" fontId="13" fillId="0" borderId="0" xfId="0" applyFont="1" applyAlignment="1">
      <alignment wrapText="1"/>
    </xf>
    <xf numFmtId="0" fontId="6" fillId="5" borderId="56" xfId="0" applyFont="1" applyFill="1" applyBorder="1"/>
    <xf numFmtId="3" fontId="6" fillId="10" borderId="56" xfId="0" applyNumberFormat="1" applyFont="1" applyFill="1" applyBorder="1"/>
    <xf numFmtId="3" fontId="6" fillId="8" borderId="57" xfId="0" applyNumberFormat="1" applyFont="1" applyFill="1" applyBorder="1"/>
    <xf numFmtId="9" fontId="6" fillId="0" borderId="0" xfId="3" applyFont="1" applyAlignment="1">
      <alignment horizontal="left"/>
    </xf>
    <xf numFmtId="1" fontId="6" fillId="0" borderId="0" xfId="0" applyNumberFormat="1" applyFont="1"/>
    <xf numFmtId="164" fontId="13" fillId="0" borderId="0" xfId="1" applyNumberFormat="1" applyFont="1"/>
    <xf numFmtId="0" fontId="6" fillId="0" borderId="56" xfId="0" applyFont="1" applyBorder="1"/>
    <xf numFmtId="3" fontId="6" fillId="2" borderId="56" xfId="0" applyNumberFormat="1" applyFont="1" applyFill="1" applyBorder="1"/>
    <xf numFmtId="164" fontId="6" fillId="2" borderId="0" xfId="1" applyNumberFormat="1" applyFont="1" applyFill="1"/>
    <xf numFmtId="0" fontId="13" fillId="0" borderId="0" xfId="0" applyFont="1"/>
    <xf numFmtId="0" fontId="25" fillId="8" borderId="0" xfId="0" applyFont="1" applyFill="1"/>
    <xf numFmtId="3" fontId="7" fillId="0" borderId="0" xfId="0" applyNumberFormat="1" applyFont="1"/>
    <xf numFmtId="3" fontId="14" fillId="0" borderId="0" xfId="0" applyNumberFormat="1" applyFont="1"/>
    <xf numFmtId="3" fontId="13" fillId="0" borderId="0" xfId="0" applyNumberFormat="1" applyFont="1"/>
    <xf numFmtId="3" fontId="7" fillId="0" borderId="55" xfId="0" applyNumberFormat="1" applyFont="1" applyBorder="1"/>
    <xf numFmtId="10" fontId="6" fillId="0" borderId="0" xfId="0" applyNumberFormat="1" applyFont="1"/>
    <xf numFmtId="43" fontId="6" fillId="0" borderId="0" xfId="0" applyNumberFormat="1" applyFont="1"/>
    <xf numFmtId="164" fontId="2" fillId="11" borderId="0" xfId="0" applyNumberFormat="1" applyFont="1" applyFill="1"/>
    <xf numFmtId="164" fontId="2" fillId="12" borderId="0" xfId="0" applyNumberFormat="1" applyFont="1" applyFill="1"/>
    <xf numFmtId="164" fontId="2" fillId="13" borderId="0" xfId="0" applyNumberFormat="1" applyFont="1" applyFill="1"/>
    <xf numFmtId="43" fontId="7" fillId="0" borderId="0" xfId="0" applyNumberFormat="1" applyFont="1"/>
    <xf numFmtId="1" fontId="2" fillId="4" borderId="1" xfId="1" applyNumberFormat="1" applyFont="1" applyFill="1" applyBorder="1"/>
    <xf numFmtId="1" fontId="2" fillId="4" borderId="3" xfId="0" applyNumberFormat="1" applyFont="1" applyFill="1" applyBorder="1"/>
    <xf numFmtId="1" fontId="16" fillId="4" borderId="4" xfId="0" applyNumberFormat="1" applyFont="1" applyFill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top"/>
    </xf>
    <xf numFmtId="0" fontId="29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31" fillId="2" borderId="1" xfId="0" applyFont="1" applyFill="1" applyBorder="1" applyAlignment="1">
      <alignment horizontal="left" vertical="top" wrapText="1"/>
    </xf>
    <xf numFmtId="0" fontId="29" fillId="0" borderId="0" xfId="0" applyFont="1"/>
    <xf numFmtId="0" fontId="30" fillId="0" borderId="0" xfId="0" applyFont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top" wrapText="1"/>
    </xf>
    <xf numFmtId="0" fontId="35" fillId="0" borderId="0" xfId="0" applyFont="1"/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top" wrapText="1"/>
    </xf>
    <xf numFmtId="0" fontId="38" fillId="0" borderId="0" xfId="0" applyFont="1"/>
    <xf numFmtId="0" fontId="35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2" fillId="2" borderId="58" xfId="0" applyFont="1" applyFill="1" applyBorder="1"/>
    <xf numFmtId="0" fontId="6" fillId="2" borderId="59" xfId="0" applyFont="1" applyFill="1" applyBorder="1"/>
    <xf numFmtId="0" fontId="7" fillId="2" borderId="59" xfId="0" applyFont="1" applyFill="1" applyBorder="1"/>
    <xf numFmtId="166" fontId="13" fillId="2" borderId="59" xfId="0" applyNumberFormat="1" applyFont="1" applyFill="1" applyBorder="1"/>
    <xf numFmtId="0" fontId="7" fillId="4" borderId="59" xfId="0" applyFont="1" applyFill="1" applyBorder="1"/>
    <xf numFmtId="0" fontId="6" fillId="0" borderId="59" xfId="0" applyFont="1" applyBorder="1"/>
    <xf numFmtId="164" fontId="13" fillId="2" borderId="59" xfId="1" applyNumberFormat="1" applyFont="1" applyFill="1" applyBorder="1"/>
    <xf numFmtId="164" fontId="13" fillId="0" borderId="59" xfId="1" applyNumberFormat="1" applyFont="1" applyFill="1" applyBorder="1"/>
    <xf numFmtId="164" fontId="6" fillId="0" borderId="59" xfId="1" applyNumberFormat="1" applyFont="1" applyFill="1" applyBorder="1"/>
    <xf numFmtId="164" fontId="11" fillId="0" borderId="59" xfId="1" applyNumberFormat="1" applyFont="1" applyFill="1" applyBorder="1"/>
    <xf numFmtId="0" fontId="11" fillId="0" borderId="59" xfId="0" applyFont="1" applyBorder="1" applyAlignment="1">
      <alignment horizontal="right"/>
    </xf>
    <xf numFmtId="0" fontId="6" fillId="4" borderId="59" xfId="0" applyFont="1" applyFill="1" applyBorder="1"/>
    <xf numFmtId="0" fontId="7" fillId="0" borderId="60" xfId="0" applyFont="1" applyBorder="1"/>
    <xf numFmtId="166" fontId="20" fillId="2" borderId="59" xfId="0" applyNumberFormat="1" applyFont="1" applyFill="1" applyBorder="1"/>
    <xf numFmtId="0" fontId="7" fillId="2" borderId="61" xfId="0" applyFont="1" applyFill="1" applyBorder="1" applyAlignment="1">
      <alignment horizontal="center" wrapText="1"/>
    </xf>
    <xf numFmtId="0" fontId="7" fillId="2" borderId="62" xfId="0" applyFont="1" applyFill="1" applyBorder="1" applyAlignment="1">
      <alignment horizontal="center" wrapText="1"/>
    </xf>
    <xf numFmtId="166" fontId="14" fillId="2" borderId="62" xfId="0" applyNumberFormat="1" applyFont="1" applyFill="1" applyBorder="1" applyAlignment="1">
      <alignment horizontal="center" wrapText="1"/>
    </xf>
    <xf numFmtId="0" fontId="7" fillId="4" borderId="62" xfId="0" applyFont="1" applyFill="1" applyBorder="1" applyAlignment="1">
      <alignment horizontal="center" wrapText="1"/>
    </xf>
    <xf numFmtId="0" fontId="7" fillId="0" borderId="62" xfId="0" applyFont="1" applyBorder="1" applyAlignment="1">
      <alignment horizontal="center" wrapText="1"/>
    </xf>
    <xf numFmtId="164" fontId="14" fillId="2" borderId="62" xfId="1" applyNumberFormat="1" applyFont="1" applyFill="1" applyBorder="1" applyAlignment="1">
      <alignment horizontal="center" wrapText="1"/>
    </xf>
    <xf numFmtId="164" fontId="14" fillId="0" borderId="62" xfId="1" applyNumberFormat="1" applyFont="1" applyFill="1" applyBorder="1" applyAlignment="1">
      <alignment horizontal="center" wrapText="1"/>
    </xf>
    <xf numFmtId="164" fontId="7" fillId="0" borderId="62" xfId="1" applyNumberFormat="1" applyFont="1" applyFill="1" applyBorder="1" applyAlignment="1">
      <alignment horizontal="center" wrapText="1"/>
    </xf>
    <xf numFmtId="164" fontId="12" fillId="0" borderId="62" xfId="1" applyNumberFormat="1" applyFont="1" applyFill="1" applyBorder="1" applyAlignment="1">
      <alignment horizontal="center" wrapText="1"/>
    </xf>
    <xf numFmtId="0" fontId="7" fillId="0" borderId="63" xfId="0" applyFont="1" applyBorder="1" applyAlignment="1">
      <alignment horizontal="center" wrapText="1"/>
    </xf>
    <xf numFmtId="0" fontId="6" fillId="2" borderId="58" xfId="0" applyFont="1" applyFill="1" applyBorder="1"/>
    <xf numFmtId="0" fontId="11" fillId="0" borderId="59" xfId="0" applyFont="1" applyBorder="1"/>
    <xf numFmtId="0" fontId="6" fillId="0" borderId="60" xfId="0" applyFont="1" applyBorder="1"/>
    <xf numFmtId="165" fontId="6" fillId="0" borderId="59" xfId="1" applyNumberFormat="1" applyFont="1" applyFill="1" applyBorder="1"/>
    <xf numFmtId="0" fontId="6" fillId="2" borderId="61" xfId="0" applyFont="1" applyFill="1" applyBorder="1"/>
    <xf numFmtId="0" fontId="6" fillId="2" borderId="62" xfId="0" applyFont="1" applyFill="1" applyBorder="1"/>
    <xf numFmtId="0" fontId="7" fillId="2" borderId="62" xfId="0" applyFont="1" applyFill="1" applyBorder="1"/>
    <xf numFmtId="166" fontId="13" fillId="2" borderId="62" xfId="0" applyNumberFormat="1" applyFont="1" applyFill="1" applyBorder="1"/>
    <xf numFmtId="0" fontId="7" fillId="4" borderId="62" xfId="0" applyFont="1" applyFill="1" applyBorder="1"/>
    <xf numFmtId="0" fontId="6" fillId="0" borderId="62" xfId="0" applyFont="1" applyBorder="1"/>
    <xf numFmtId="164" fontId="13" fillId="0" borderId="62" xfId="1" applyNumberFormat="1" applyFont="1" applyFill="1" applyBorder="1"/>
    <xf numFmtId="164" fontId="6" fillId="0" borderId="62" xfId="1" applyNumberFormat="1" applyFont="1" applyFill="1" applyBorder="1"/>
    <xf numFmtId="164" fontId="11" fillId="0" borderId="62" xfId="1" applyNumberFormat="1" applyFont="1" applyFill="1" applyBorder="1"/>
    <xf numFmtId="0" fontId="11" fillId="0" borderId="62" xfId="0" applyFont="1" applyBorder="1"/>
    <xf numFmtId="0" fontId="6" fillId="4" borderId="62" xfId="0" applyFont="1" applyFill="1" applyBorder="1"/>
    <xf numFmtId="0" fontId="18" fillId="0" borderId="63" xfId="2" applyFill="1" applyBorder="1"/>
    <xf numFmtId="0" fontId="18" fillId="0" borderId="63" xfId="2" applyBorder="1"/>
    <xf numFmtId="0" fontId="6" fillId="2" borderId="64" xfId="0" applyFont="1" applyFill="1" applyBorder="1"/>
    <xf numFmtId="0" fontId="6" fillId="2" borderId="65" xfId="0" applyFont="1" applyFill="1" applyBorder="1"/>
    <xf numFmtId="0" fontId="7" fillId="2" borderId="65" xfId="0" applyFont="1" applyFill="1" applyBorder="1"/>
    <xf numFmtId="166" fontId="13" fillId="2" borderId="65" xfId="0" applyNumberFormat="1" applyFont="1" applyFill="1" applyBorder="1"/>
    <xf numFmtId="0" fontId="7" fillId="4" borderId="65" xfId="0" applyFont="1" applyFill="1" applyBorder="1"/>
    <xf numFmtId="0" fontId="6" fillId="0" borderId="65" xfId="0" applyFont="1" applyBorder="1"/>
    <xf numFmtId="164" fontId="13" fillId="2" borderId="65" xfId="1" applyNumberFormat="1" applyFont="1" applyFill="1" applyBorder="1"/>
    <xf numFmtId="164" fontId="13" fillId="0" borderId="65" xfId="1" applyNumberFormat="1" applyFont="1" applyFill="1" applyBorder="1"/>
    <xf numFmtId="164" fontId="6" fillId="0" borderId="65" xfId="1" applyNumberFormat="1" applyFont="1" applyFill="1" applyBorder="1"/>
    <xf numFmtId="164" fontId="11" fillId="0" borderId="65" xfId="1" applyNumberFormat="1" applyFont="1" applyFill="1" applyBorder="1"/>
    <xf numFmtId="0" fontId="11" fillId="0" borderId="65" xfId="0" applyFont="1" applyBorder="1"/>
    <xf numFmtId="0" fontId="6" fillId="4" borderId="65" xfId="0" applyFont="1" applyFill="1" applyBorder="1"/>
    <xf numFmtId="0" fontId="6" fillId="0" borderId="66" xfId="0" applyFont="1" applyBorder="1"/>
    <xf numFmtId="164" fontId="13" fillId="2" borderId="62" xfId="1" applyNumberFormat="1" applyFont="1" applyFill="1" applyBorder="1"/>
    <xf numFmtId="0" fontId="0" fillId="2" borderId="58" xfId="0" applyFill="1" applyBorder="1"/>
    <xf numFmtId="0" fontId="0" fillId="2" borderId="59" xfId="0" applyFill="1" applyBorder="1"/>
    <xf numFmtId="0" fontId="27" fillId="2" borderId="59" xfId="0" applyFont="1" applyFill="1" applyBorder="1"/>
    <xf numFmtId="166" fontId="15" fillId="2" borderId="59" xfId="0" applyNumberFormat="1" applyFont="1" applyFill="1" applyBorder="1"/>
    <xf numFmtId="0" fontId="0" fillId="4" borderId="59" xfId="0" applyFill="1" applyBorder="1"/>
    <xf numFmtId="0" fontId="0" fillId="0" borderId="59" xfId="0" applyBorder="1"/>
    <xf numFmtId="0" fontId="15" fillId="2" borderId="59" xfId="0" applyFont="1" applyFill="1" applyBorder="1"/>
    <xf numFmtId="0" fontId="15" fillId="0" borderId="59" xfId="0" applyFont="1" applyBorder="1"/>
    <xf numFmtId="0" fontId="3" fillId="0" borderId="59" xfId="0" applyFont="1" applyBorder="1"/>
    <xf numFmtId="0" fontId="0" fillId="0" borderId="60" xfId="0" applyBorder="1"/>
    <xf numFmtId="0" fontId="41" fillId="14" borderId="0" xfId="0" applyFont="1" applyFill="1"/>
    <xf numFmtId="164" fontId="41" fillId="14" borderId="0" xfId="1" applyNumberFormat="1" applyFont="1" applyFill="1"/>
    <xf numFmtId="0" fontId="41" fillId="15" borderId="0" xfId="0" applyFont="1" applyFill="1"/>
    <xf numFmtId="16" fontId="41" fillId="15" borderId="0" xfId="0" applyNumberFormat="1" applyFont="1" applyFill="1"/>
    <xf numFmtId="164" fontId="41" fillId="15" borderId="0" xfId="1" applyNumberFormat="1" applyFont="1" applyFill="1"/>
    <xf numFmtId="164" fontId="7" fillId="0" borderId="0" xfId="1" applyNumberFormat="1" applyFont="1" applyFill="1" applyBorder="1" applyAlignment="1">
      <alignment horizontal="center"/>
    </xf>
    <xf numFmtId="168" fontId="26" fillId="0" borderId="0" xfId="1" applyNumberFormat="1" applyFont="1" applyFill="1" applyBorder="1" applyAlignment="1">
      <alignment horizontal="center"/>
    </xf>
    <xf numFmtId="164" fontId="6" fillId="0" borderId="25" xfId="1" applyNumberFormat="1" applyFont="1" applyBorder="1" applyAlignment="1">
      <alignment vertical="center" wrapText="1"/>
    </xf>
    <xf numFmtId="164" fontId="6" fillId="6" borderId="0" xfId="1" applyNumberFormat="1" applyFont="1" applyFill="1" applyBorder="1" applyAlignment="1">
      <alignment vertical="center"/>
    </xf>
    <xf numFmtId="164" fontId="7" fillId="0" borderId="30" xfId="1" applyNumberFormat="1" applyFont="1" applyBorder="1" applyAlignment="1">
      <alignment vertical="center"/>
    </xf>
    <xf numFmtId="164" fontId="7" fillId="4" borderId="30" xfId="1" applyNumberFormat="1" applyFont="1" applyFill="1" applyBorder="1" applyAlignment="1">
      <alignment vertical="center"/>
    </xf>
    <xf numFmtId="164" fontId="6" fillId="6" borderId="0" xfId="1" applyNumberFormat="1" applyFont="1" applyFill="1" applyBorder="1"/>
    <xf numFmtId="164" fontId="6" fillId="6" borderId="0" xfId="1" applyNumberFormat="1" applyFont="1" applyFill="1" applyAlignment="1">
      <alignment vertical="center"/>
    </xf>
    <xf numFmtId="164" fontId="7" fillId="0" borderId="30" xfId="1" applyNumberFormat="1" applyFont="1" applyFill="1" applyBorder="1" applyAlignment="1">
      <alignment vertical="center"/>
    </xf>
    <xf numFmtId="164" fontId="19" fillId="6" borderId="0" xfId="1" applyNumberFormat="1" applyFont="1" applyFill="1" applyBorder="1" applyAlignment="1">
      <alignment vertical="center"/>
    </xf>
    <xf numFmtId="164" fontId="20" fillId="4" borderId="30" xfId="1" applyNumberFormat="1" applyFont="1" applyFill="1" applyBorder="1" applyAlignment="1">
      <alignment vertical="center"/>
    </xf>
    <xf numFmtId="164" fontId="20" fillId="0" borderId="30" xfId="1" applyNumberFormat="1" applyFont="1" applyFill="1" applyBorder="1" applyAlignment="1">
      <alignment vertical="center"/>
    </xf>
    <xf numFmtId="164" fontId="7" fillId="8" borderId="30" xfId="1" applyNumberFormat="1" applyFont="1" applyFill="1" applyBorder="1" applyAlignment="1">
      <alignment vertical="center"/>
    </xf>
    <xf numFmtId="164" fontId="6" fillId="0" borderId="25" xfId="1" applyNumberFormat="1" applyFont="1" applyBorder="1" applyAlignment="1">
      <alignment horizontal="center" vertical="center" wrapText="1"/>
    </xf>
    <xf numFmtId="164" fontId="13" fillId="0" borderId="25" xfId="1" applyNumberFormat="1" applyFont="1" applyBorder="1" applyAlignment="1">
      <alignment vertical="center" wrapText="1"/>
    </xf>
    <xf numFmtId="164" fontId="13" fillId="6" borderId="0" xfId="1" applyNumberFormat="1" applyFont="1" applyFill="1" applyBorder="1" applyAlignment="1">
      <alignment vertical="center"/>
    </xf>
    <xf numFmtId="164" fontId="14" fillId="4" borderId="30" xfId="1" applyNumberFormat="1" applyFont="1" applyFill="1" applyBorder="1" applyAlignment="1">
      <alignment vertical="center"/>
    </xf>
    <xf numFmtId="164" fontId="19" fillId="0" borderId="25" xfId="1" applyNumberFormat="1" applyFont="1" applyBorder="1" applyAlignment="1">
      <alignment vertical="center" wrapText="1"/>
    </xf>
    <xf numFmtId="164" fontId="20" fillId="8" borderId="30" xfId="1" applyNumberFormat="1" applyFont="1" applyFill="1" applyBorder="1" applyAlignment="1">
      <alignment vertical="center"/>
    </xf>
    <xf numFmtId="164" fontId="14" fillId="8" borderId="30" xfId="1" applyNumberFormat="1" applyFont="1" applyFill="1" applyBorder="1" applyAlignment="1">
      <alignment vertical="center"/>
    </xf>
    <xf numFmtId="0" fontId="41" fillId="17" borderId="0" xfId="0" applyFont="1" applyFill="1"/>
    <xf numFmtId="164" fontId="41" fillId="17" borderId="0" xfId="1" applyNumberFormat="1" applyFont="1" applyFill="1"/>
    <xf numFmtId="164" fontId="6" fillId="0" borderId="0" xfId="1" applyNumberFormat="1" applyFont="1" applyFill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4" fontId="19" fillId="0" borderId="0" xfId="1" applyNumberFormat="1" applyFont="1" applyFill="1" applyBorder="1" applyAlignment="1">
      <alignment vertical="center"/>
    </xf>
    <xf numFmtId="164" fontId="13" fillId="0" borderId="0" xfId="1" applyNumberFormat="1" applyFont="1" applyFill="1" applyBorder="1" applyAlignment="1">
      <alignment vertical="center"/>
    </xf>
    <xf numFmtId="9" fontId="6" fillId="0" borderId="0" xfId="3" applyFont="1" applyFill="1" applyBorder="1" applyAlignment="1">
      <alignment vertical="center"/>
    </xf>
    <xf numFmtId="9" fontId="6" fillId="16" borderId="0" xfId="3" applyFont="1" applyFill="1" applyBorder="1" applyAlignment="1">
      <alignment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9" fontId="6" fillId="0" borderId="46" xfId="3" applyFont="1" applyBorder="1" applyAlignment="1">
      <alignment vertical="center" wrapText="1"/>
    </xf>
    <xf numFmtId="9" fontId="6" fillId="0" borderId="47" xfId="3" applyFont="1" applyBorder="1" applyAlignment="1">
      <alignment vertical="center" wrapText="1"/>
    </xf>
    <xf numFmtId="9" fontId="6" fillId="16" borderId="9" xfId="3" applyFont="1" applyFill="1" applyBorder="1" applyAlignment="1">
      <alignment vertical="center"/>
    </xf>
    <xf numFmtId="9" fontId="7" fillId="0" borderId="11" xfId="3" applyFont="1" applyBorder="1" applyAlignment="1">
      <alignment vertical="center"/>
    </xf>
    <xf numFmtId="9" fontId="7" fillId="0" borderId="12" xfId="3" applyFont="1" applyBorder="1" applyAlignment="1">
      <alignment vertical="center"/>
    </xf>
    <xf numFmtId="0" fontId="7" fillId="16" borderId="0" xfId="0" applyFont="1" applyFill="1"/>
    <xf numFmtId="0" fontId="7" fillId="16" borderId="31" xfId="0" applyFont="1" applyFill="1" applyBorder="1"/>
    <xf numFmtId="0" fontId="41" fillId="18" borderId="0" xfId="0" applyFont="1" applyFill="1"/>
    <xf numFmtId="164" fontId="41" fillId="18" borderId="0" xfId="1" applyNumberFormat="1" applyFont="1" applyFill="1"/>
    <xf numFmtId="0" fontId="41" fillId="19" borderId="0" xfId="0" applyFont="1" applyFill="1"/>
    <xf numFmtId="164" fontId="41" fillId="19" borderId="0" xfId="1" applyNumberFormat="1" applyFont="1" applyFill="1"/>
    <xf numFmtId="164" fontId="6" fillId="2" borderId="0" xfId="1" applyNumberFormat="1" applyFont="1" applyFill="1" applyBorder="1" applyAlignment="1">
      <alignment vertical="center"/>
    </xf>
    <xf numFmtId="164" fontId="6" fillId="0" borderId="0" xfId="1" quotePrefix="1" applyNumberFormat="1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164" fontId="6" fillId="0" borderId="68" xfId="1" applyNumberFormat="1" applyFont="1" applyBorder="1" applyAlignment="1">
      <alignment vertical="center" wrapText="1"/>
    </xf>
    <xf numFmtId="164" fontId="6" fillId="0" borderId="69" xfId="1" applyNumberFormat="1" applyFont="1" applyBorder="1" applyAlignment="1">
      <alignment vertical="center" wrapText="1"/>
    </xf>
    <xf numFmtId="164" fontId="6" fillId="6" borderId="8" xfId="1" applyNumberFormat="1" applyFont="1" applyFill="1" applyBorder="1" applyAlignment="1">
      <alignment vertical="center"/>
    </xf>
    <xf numFmtId="164" fontId="6" fillId="6" borderId="9" xfId="1" applyNumberFormat="1" applyFont="1" applyFill="1" applyBorder="1" applyAlignment="1">
      <alignment vertical="center"/>
    </xf>
    <xf numFmtId="164" fontId="6" fillId="0" borderId="8" xfId="1" applyNumberFormat="1" applyFont="1" applyFill="1" applyBorder="1" applyAlignment="1">
      <alignment vertical="center"/>
    </xf>
    <xf numFmtId="164" fontId="6" fillId="0" borderId="9" xfId="1" applyNumberFormat="1" applyFont="1" applyFill="1" applyBorder="1" applyAlignment="1">
      <alignment vertical="center"/>
    </xf>
    <xf numFmtId="164" fontId="7" fillId="0" borderId="2" xfId="1" applyNumberFormat="1" applyFont="1" applyBorder="1" applyAlignment="1">
      <alignment vertical="center"/>
    </xf>
    <xf numFmtId="164" fontId="7" fillId="0" borderId="3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vertical="center"/>
    </xf>
    <xf numFmtId="0" fontId="4" fillId="0" borderId="8" xfId="0" applyFont="1" applyBorder="1"/>
    <xf numFmtId="0" fontId="4" fillId="0" borderId="9" xfId="0" applyFont="1" applyBorder="1"/>
    <xf numFmtId="164" fontId="6" fillId="2" borderId="9" xfId="1" applyNumberFormat="1" applyFont="1" applyFill="1" applyBorder="1" applyAlignment="1">
      <alignment vertical="center"/>
    </xf>
    <xf numFmtId="164" fontId="6" fillId="2" borderId="8" xfId="1" applyNumberFormat="1" applyFont="1" applyFill="1" applyBorder="1" applyAlignment="1">
      <alignment vertical="center"/>
    </xf>
    <xf numFmtId="164" fontId="7" fillId="8" borderId="2" xfId="1" applyNumberFormat="1" applyFont="1" applyFill="1" applyBorder="1" applyAlignment="1">
      <alignment vertical="center"/>
    </xf>
    <xf numFmtId="164" fontId="7" fillId="8" borderId="3" xfId="1" applyNumberFormat="1" applyFont="1" applyFill="1" applyBorder="1" applyAlignment="1">
      <alignment vertical="center"/>
    </xf>
    <xf numFmtId="164" fontId="7" fillId="8" borderId="4" xfId="1" applyNumberFormat="1" applyFont="1" applyFill="1" applyBorder="1" applyAlignment="1">
      <alignment vertical="center"/>
    </xf>
    <xf numFmtId="164" fontId="42" fillId="4" borderId="0" xfId="1" applyNumberFormat="1" applyFont="1" applyFill="1"/>
    <xf numFmtId="0" fontId="41" fillId="20" borderId="0" xfId="0" applyFont="1" applyFill="1"/>
    <xf numFmtId="164" fontId="7" fillId="0" borderId="0" xfId="1" applyNumberFormat="1" applyFont="1" applyBorder="1" applyAlignment="1">
      <alignment vertical="center"/>
    </xf>
    <xf numFmtId="164" fontId="41" fillId="19" borderId="0" xfId="0" applyNumberFormat="1" applyFont="1" applyFill="1"/>
    <xf numFmtId="164" fontId="7" fillId="21" borderId="53" xfId="1" applyNumberFormat="1" applyFont="1" applyFill="1" applyBorder="1" applyAlignment="1">
      <alignment vertical="center"/>
    </xf>
    <xf numFmtId="164" fontId="7" fillId="21" borderId="55" xfId="1" applyNumberFormat="1" applyFont="1" applyFill="1" applyBorder="1" applyAlignment="1">
      <alignment vertical="center"/>
    </xf>
    <xf numFmtId="164" fontId="7" fillId="21" borderId="54" xfId="1" applyNumberFormat="1" applyFont="1" applyFill="1" applyBorder="1" applyAlignment="1">
      <alignment vertical="center"/>
    </xf>
    <xf numFmtId="0" fontId="19" fillId="0" borderId="0" xfId="0" applyFont="1" applyAlignment="1">
      <alignment horizontal="center"/>
    </xf>
    <xf numFmtId="0" fontId="6" fillId="2" borderId="62" xfId="0" applyFont="1" applyFill="1" applyBorder="1" applyAlignment="1">
      <alignment horizontal="center" wrapText="1"/>
    </xf>
    <xf numFmtId="164" fontId="14" fillId="16" borderId="30" xfId="1" applyNumberFormat="1" applyFont="1" applyFill="1" applyBorder="1" applyAlignment="1">
      <alignment vertical="center"/>
    </xf>
    <xf numFmtId="0" fontId="43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4" fontId="2" fillId="0" borderId="6" xfId="0" applyNumberFormat="1" applyFont="1" applyBorder="1"/>
    <xf numFmtId="0" fontId="29" fillId="4" borderId="0" xfId="0" applyFont="1" applyFill="1" applyAlignment="1">
      <alignment horizontal="left" vertical="top" wrapText="1"/>
    </xf>
    <xf numFmtId="0" fontId="29" fillId="4" borderId="1" xfId="0" applyFont="1" applyFill="1" applyBorder="1" applyAlignment="1">
      <alignment horizontal="left" vertical="top" wrapText="1"/>
    </xf>
    <xf numFmtId="0" fontId="38" fillId="4" borderId="1" xfId="0" applyFont="1" applyFill="1" applyBorder="1" applyAlignment="1">
      <alignment horizontal="left" vertical="top" wrapText="1"/>
    </xf>
    <xf numFmtId="0" fontId="35" fillId="4" borderId="1" xfId="0" applyFont="1" applyFill="1" applyBorder="1" applyAlignment="1">
      <alignment horizontal="left" vertical="top" wrapText="1"/>
    </xf>
    <xf numFmtId="0" fontId="3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 indent="1"/>
    </xf>
    <xf numFmtId="0" fontId="7" fillId="0" borderId="25" xfId="0" applyFont="1" applyBorder="1" applyAlignment="1">
      <alignment horizontal="center" vertical="center" wrapText="1"/>
    </xf>
    <xf numFmtId="164" fontId="7" fillId="0" borderId="25" xfId="1" applyNumberFormat="1" applyFont="1" applyBorder="1" applyAlignment="1">
      <alignment vertical="center" wrapText="1"/>
    </xf>
    <xf numFmtId="164" fontId="20" fillId="0" borderId="25" xfId="1" applyNumberFormat="1" applyFont="1" applyBorder="1" applyAlignment="1">
      <alignment vertical="center" wrapText="1"/>
    </xf>
    <xf numFmtId="164" fontId="14" fillId="0" borderId="25" xfId="1" applyNumberFormat="1" applyFont="1" applyBorder="1" applyAlignment="1">
      <alignment vertical="center" wrapText="1"/>
    </xf>
    <xf numFmtId="164" fontId="0" fillId="4" borderId="0" xfId="0" applyNumberFormat="1" applyFill="1"/>
    <xf numFmtId="0" fontId="43" fillId="4" borderId="0" xfId="0" applyFont="1" applyFill="1"/>
    <xf numFmtId="0" fontId="0" fillId="3" borderId="0" xfId="0" applyFill="1" applyAlignment="1">
      <alignment horizontal="left" indent="1"/>
    </xf>
    <xf numFmtId="164" fontId="0" fillId="3" borderId="0" xfId="0" applyNumberFormat="1" applyFill="1"/>
    <xf numFmtId="0" fontId="43" fillId="3" borderId="0" xfId="0" applyFont="1" applyFill="1"/>
    <xf numFmtId="0" fontId="0" fillId="22" borderId="0" xfId="0" applyFill="1" applyAlignment="1">
      <alignment horizontal="left" indent="1"/>
    </xf>
    <xf numFmtId="164" fontId="0" fillId="22" borderId="0" xfId="0" applyNumberFormat="1" applyFill="1"/>
    <xf numFmtId="0" fontId="43" fillId="22" borderId="0" xfId="0" applyFont="1" applyFill="1"/>
    <xf numFmtId="0" fontId="0" fillId="16" borderId="0" xfId="0" applyFill="1" applyAlignment="1">
      <alignment horizontal="left" indent="1"/>
    </xf>
    <xf numFmtId="164" fontId="0" fillId="16" borderId="0" xfId="0" applyNumberFormat="1" applyFill="1"/>
    <xf numFmtId="0" fontId="43" fillId="16" borderId="0" xfId="0" applyFont="1" applyFill="1"/>
    <xf numFmtId="0" fontId="0" fillId="16" borderId="0" xfId="0" applyFill="1"/>
    <xf numFmtId="0" fontId="43" fillId="23" borderId="0" xfId="0" applyFont="1" applyFill="1" applyAlignment="1">
      <alignment horizontal="left" indent="1"/>
    </xf>
    <xf numFmtId="164" fontId="7" fillId="0" borderId="30" xfId="1" applyNumberFormat="1" applyFont="1" applyBorder="1" applyAlignment="1">
      <alignment horizontal="left"/>
    </xf>
    <xf numFmtId="0" fontId="7" fillId="16" borderId="0" xfId="0" applyFont="1" applyFill="1" applyAlignment="1">
      <alignment horizontal="left"/>
    </xf>
    <xf numFmtId="0" fontId="7" fillId="16" borderId="31" xfId="0" applyFont="1" applyFill="1" applyBorder="1" applyAlignment="1">
      <alignment horizontal="left"/>
    </xf>
    <xf numFmtId="0" fontId="7" fillId="16" borderId="30" xfId="0" applyFont="1" applyFill="1" applyBorder="1" applyAlignment="1">
      <alignment horizontal="left"/>
    </xf>
    <xf numFmtId="0" fontId="7" fillId="16" borderId="36" xfId="0" applyFont="1" applyFill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1" xfId="0" applyFont="1" applyBorder="1" applyAlignment="1">
      <alignment horizontal="left"/>
    </xf>
    <xf numFmtId="0" fontId="29" fillId="0" borderId="0" xfId="0" applyFont="1" applyFill="1" applyAlignment="1">
      <alignment horizontal="left" vertical="top" wrapText="1"/>
    </xf>
    <xf numFmtId="0" fontId="29" fillId="0" borderId="1" xfId="0" applyFont="1" applyFill="1" applyBorder="1" applyAlignment="1">
      <alignment horizontal="left" vertical="top" wrapText="1"/>
    </xf>
    <xf numFmtId="0" fontId="38" fillId="0" borderId="1" xfId="0" applyFont="1" applyFill="1" applyBorder="1" applyAlignment="1">
      <alignment horizontal="left" vertical="top" wrapText="1"/>
    </xf>
    <xf numFmtId="0" fontId="35" fillId="0" borderId="1" xfId="0" applyFont="1" applyFill="1" applyBorder="1" applyAlignment="1">
      <alignment horizontal="left" vertical="top" wrapText="1"/>
    </xf>
    <xf numFmtId="0" fontId="31" fillId="0" borderId="1" xfId="0" applyFont="1" applyFill="1" applyBorder="1" applyAlignment="1">
      <alignment horizontal="left" vertical="top" wrapText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167"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>
          <bgColor rgb="FFFFFFCC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>
          <bgColor rgb="FFFFFFCC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3" formatCode="#,##0"/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3" formatCode="#,##0"/>
      <fill>
        <patternFill>
          <bgColor rgb="FFFFFFCC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rgb="FFFFFFCC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rgb="FFFFFFCC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solid">
          <fgColor indexed="64"/>
          <bgColor rgb="FFFFFFCC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</dxf>
    <dxf>
      <fill>
        <patternFill patternType="solid"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</dxfs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136377</xdr:colOff>
      <xdr:row>203</xdr:row>
      <xdr:rowOff>0</xdr:rowOff>
    </xdr:from>
    <xdr:to>
      <xdr:col>40</xdr:col>
      <xdr:colOff>306605</xdr:colOff>
      <xdr:row>231</xdr:row>
      <xdr:rowOff>77268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871A8-C041-45FE-875A-5696EFD46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57727" y="15227300"/>
          <a:ext cx="6904404" cy="4077768"/>
        </a:xfrm>
        <a:prstGeom prst="rect">
          <a:avLst/>
        </a:prstGeom>
      </xdr:spPr>
    </xdr:pic>
    <xdr:clientData/>
  </xdr:twoCellAnchor>
  <xdr:twoCellAnchor editAs="oneCell">
    <xdr:from>
      <xdr:col>30</xdr:col>
      <xdr:colOff>311564</xdr:colOff>
      <xdr:row>203</xdr:row>
      <xdr:rowOff>0</xdr:rowOff>
    </xdr:from>
    <xdr:to>
      <xdr:col>41</xdr:col>
      <xdr:colOff>497110</xdr:colOff>
      <xdr:row>231</xdr:row>
      <xdr:rowOff>55039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18B215-A10A-4322-85BD-0AE887A9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45689" y="19973925"/>
          <a:ext cx="6897495" cy="4058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136377</xdr:colOff>
      <xdr:row>100</xdr:row>
      <xdr:rowOff>15875</xdr:rowOff>
    </xdr:from>
    <xdr:to>
      <xdr:col>39</xdr:col>
      <xdr:colOff>332006</xdr:colOff>
      <xdr:row>123</xdr:row>
      <xdr:rowOff>74093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7B25E-A833-41BD-A434-A0DCC6432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72027" y="15227300"/>
          <a:ext cx="6901229" cy="4077768"/>
        </a:xfrm>
        <a:prstGeom prst="rect">
          <a:avLst/>
        </a:prstGeom>
      </xdr:spPr>
    </xdr:pic>
    <xdr:clientData/>
  </xdr:twoCellAnchor>
  <xdr:twoCellAnchor editAs="oneCell">
    <xdr:from>
      <xdr:col>29</xdr:col>
      <xdr:colOff>311564</xdr:colOff>
      <xdr:row>127</xdr:row>
      <xdr:rowOff>63500</xdr:rowOff>
    </xdr:from>
    <xdr:to>
      <xdr:col>40</xdr:col>
      <xdr:colOff>503459</xdr:colOff>
      <xdr:row>152</xdr:row>
      <xdr:rowOff>45514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65DE08-7F6A-4717-A5B6-D02601E43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59989" y="19973925"/>
          <a:ext cx="6894320" cy="40555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nbyoul Park/LGECL Demand Generation Part" id="{82C79AAF-2F91-42CF-9E75-EB17B06C85DD}" userId="S::anita.park@lge.com::64643796-d3b9-431b-afc5-00f2960ac52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ta.park" refreshedDate="46266.700631018517" createdVersion="8" refreshedVersion="8" minRefreshableVersion="3" recordCount="517" xr:uid="{1A15F8F3-5A73-4221-BF98-D3B8AEA77B31}">
  <cacheSource type="worksheet">
    <worksheetSource ref="B4:AF1048576" sheet="Master 1_BU v2"/>
  </cacheSource>
  <cacheFields count="31">
    <cacheField name="Year" numFmtId="0">
      <sharedItems containsString="0" containsBlank="1" containsNumber="1" containsInteger="1" minValue="2026" maxValue="2026" count="2">
        <n v="2026"/>
        <m/>
      </sharedItems>
    </cacheField>
    <cacheField name="Cut Date" numFmtId="0">
      <sharedItems containsBlank="1"/>
    </cacheField>
    <cacheField name="Invoice Received" numFmtId="0">
      <sharedItems containsBlank="1" count="5">
        <s v="JUL"/>
        <s v="JUN"/>
        <s v="MAY"/>
        <s v="AUG"/>
        <m/>
      </sharedItems>
    </cacheField>
    <cacheField name="Impact Month" numFmtId="0">
      <sharedItems containsBlank="1" count="3">
        <s v="JUL (Provision)"/>
        <s v="AUG (Provision)"/>
        <m/>
      </sharedItems>
    </cacheField>
    <cacheField name="Invoice Registered" numFmtId="0">
      <sharedItems containsBlank="1" count="6">
        <s v="AUG"/>
        <s v="JUL"/>
        <s v="Pending"/>
        <s v="Rejected"/>
        <m/>
        <s v="Approved?" u="1"/>
      </sharedItems>
    </cacheField>
    <cacheField name="Invoice Date" numFmtId="166">
      <sharedItems containsNonDate="0" containsDate="1" containsString="0" containsBlank="1" minDate="2026-05-25T00:00:00" maxDate="2026-07-28T00:00:00"/>
    </cacheField>
    <cacheField name="Invoice Number" numFmtId="0">
      <sharedItems containsString="0" containsBlank="1" containsNumber="1" containsInteger="1" minValue="3719" maxValue="58150768"/>
    </cacheField>
    <cacheField name="Customer" numFmtId="0">
      <sharedItems containsBlank="1" count="8">
        <s v="FALABELLA (DIRECT)"/>
        <s v="PARIS (FULLKOM)"/>
        <s v="WALMART (FULLKOM)"/>
        <s v="RIPLEY (FULLKOM)"/>
        <s v="TRANSBANK"/>
        <s v="MERCADO PAGO"/>
        <s v="OMS (V SOPTEC)"/>
        <m/>
      </sharedItems>
    </cacheField>
    <cacheField name="OBS/3P" numFmtId="0">
      <sharedItems containsBlank="1"/>
    </cacheField>
    <cacheField name="BU" numFmtId="0">
      <sharedItems containsBlank="1" count="13">
        <s v="CNT"/>
        <s v="CVT"/>
        <s v="CDT"/>
        <s v="DFT"/>
        <s v="DVT"/>
        <s v="GLT"/>
        <s v="PNT"/>
        <s v="GTT"/>
        <s v="DGT"/>
        <s v="DLT"/>
        <s v="DMT"/>
        <s v="TOTAL"/>
        <m/>
      </sharedItems>
    </cacheField>
    <cacheField name="Division" numFmtId="0">
      <sharedItems containsBlank="1"/>
    </cacheField>
    <cacheField name="Invoice Net Amt (CLP)" numFmtId="0">
      <sharedItems containsString="0" containsBlank="1" containsNumber="1" minValue="-99583029" maxValue="251810582.00000003"/>
    </cacheField>
    <cacheField name="VAT (CLP)" numFmtId="0">
      <sharedItems containsString="0" containsBlank="1" containsNumber="1" minValue="-18920775.510000002" maxValue="47844010.580000006"/>
    </cacheField>
    <cacheField name="Total Amt (CLP)" numFmtId="0">
      <sharedItems containsString="0" containsBlank="1" containsNumber="1" minValue="-118503804.50999999" maxValue="299654592.58000004"/>
    </cacheField>
    <cacheField name="Invoice Net Amt (USD)" numFmtId="0">
      <sharedItems containsString="0" containsBlank="1" containsNumber="1" minValue="-107890.60563380281" maxValue="272817.5319609968"/>
    </cacheField>
    <cacheField name="VAT (USD)" numFmtId="0">
      <sharedItems containsString="0" containsBlank="1" containsNumber="1" minValue="-20499.215070422535" maxValue="51835.33107258939"/>
    </cacheField>
    <cacheField name="Total Amt (USD)" numFmtId="0">
      <sharedItems containsString="0" containsBlank="1" containsNumber="1" minValue="-128389.82070422535" maxValue="324652.86303358618"/>
    </cacheField>
    <cacheField name="FX Rate" numFmtId="0">
      <sharedItems containsString="0" containsBlank="1" containsNumber="1" containsInteger="1" minValue="891" maxValue="924"/>
    </cacheField>
    <cacheField name="Commission Type" numFmtId="0">
      <sharedItems containsBlank="1" count="6">
        <s v="Monthly Commission"/>
        <s v="Commission (2da Quincena)"/>
        <s v="Logistic Cost"/>
        <s v="Commission (1era Quincena)"/>
        <s v="Commission (In transit)"/>
        <m/>
      </sharedItems>
    </cacheField>
    <cacheField name="Provision" numFmtId="0">
      <sharedItems containsBlank="1"/>
    </cacheField>
    <cacheField name="Doc Type" numFmtId="0">
      <sharedItems containsBlank="1" count="3">
        <s v="Invoice"/>
        <s v="Credit Note"/>
        <m/>
      </sharedItems>
    </cacheField>
    <cacheField name="Variable /Fixed" numFmtId="0">
      <sharedItems containsBlank="1"/>
    </cacheField>
    <cacheField name="Invoice Status" numFmtId="0">
      <sharedItems containsBlank="1" count="5">
        <s v="AP Completed"/>
        <s v="Pending"/>
        <s v="Rejected"/>
        <m/>
        <s v="Approved?" u="1"/>
      </sharedItems>
    </cacheField>
    <cacheField name="BU2" numFmtId="0">
      <sharedItems containsBlank="1"/>
    </cacheField>
    <cacheField name="Provision Net Amt (CLP)" numFmtId="0">
      <sharedItems containsString="0" containsBlank="1" containsNumber="1" minValue="-59216875.999999993" maxValue="141164774"/>
    </cacheField>
    <cacheField name="Provision VAT (CLP)" numFmtId="0">
      <sharedItems containsString="0" containsBlank="1" containsNumber="1" minValue="-11251206.439999999" maxValue="26821307.059999999"/>
    </cacheField>
    <cacheField name="Provision Amt (CLP)" numFmtId="0">
      <sharedItems containsString="0" containsBlank="1" containsNumber="1" minValue="-70468082.439999983" maxValue="167986081.06"/>
    </cacheField>
    <cacheField name="Provision Net Amt (USD)" numFmtId="0">
      <sharedItems containsString="0" containsBlank="1" containsNumber="1" minValue="-64087.528138528127" maxValue="152775.72943722943"/>
    </cacheField>
    <cacheField name="Provision VAT (USD)" numFmtId="0">
      <sharedItems containsString="0" containsBlank="1" containsNumber="1" minValue="-12176.630346320344" maxValue="29027.388593073592"/>
    </cacheField>
    <cacheField name="Provision Amt (USD)" numFmtId="0">
      <sharedItems containsString="0" containsBlank="1" containsNumber="1" minValue="-76264.158484848464" maxValue="181803.11803030301"/>
    </cacheField>
    <cacheField name="Invoice 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s v="Jun21 to Jul20"/>
    <x v="0"/>
    <x v="0"/>
    <x v="0"/>
    <d v="2026-07-27T00:00:00"/>
    <n v="478270"/>
    <x v="0"/>
    <s v="3P"/>
    <x v="0"/>
    <s v="Refrigeration"/>
    <n v="24645502.89876033"/>
    <n v="0"/>
    <n v="29328148.44952479"/>
    <n v="26672.62218480555"/>
    <n v="0"/>
    <n v="31740.420399918603"/>
    <n v="924"/>
    <x v="0"/>
    <s v="Provision (Based on External Report)"/>
    <x v="0"/>
    <s v="Variable"/>
    <x v="0"/>
    <s v="CNT"/>
    <n v="24645502.89876033"/>
    <n v="0"/>
    <n v="29328148.44952479"/>
    <n v="26672.62218480555"/>
    <n v="0"/>
    <n v="31740.420399918603"/>
    <m/>
  </r>
  <r>
    <x v="0"/>
    <s v="Jun21 to Jul20"/>
    <x v="0"/>
    <x v="0"/>
    <x v="0"/>
    <d v="2026-07-27T00:00:00"/>
    <n v="478270"/>
    <x v="0"/>
    <s v="3P"/>
    <x v="1"/>
    <s v="Cooking"/>
    <n v="291662.75619834714"/>
    <n v="0"/>
    <n v="347078.6798760331"/>
    <n v="315.65233354799471"/>
    <n v="0"/>
    <n v="375.62627692211368"/>
    <n v="924"/>
    <x v="0"/>
    <s v="Provision (Based on External Report)"/>
    <x v="0"/>
    <s v="Variable"/>
    <x v="0"/>
    <s v="CVT"/>
    <n v="291662.75619834714"/>
    <n v="0"/>
    <n v="347078.6798760331"/>
    <n v="315.65233354799471"/>
    <n v="0"/>
    <n v="375.62627692211368"/>
    <m/>
  </r>
  <r>
    <x v="0"/>
    <s v="Jun21 to Jul20"/>
    <x v="0"/>
    <x v="0"/>
    <x v="0"/>
    <d v="2026-07-27T00:00:00"/>
    <n v="478270"/>
    <x v="0"/>
    <s v="3P"/>
    <x v="2"/>
    <s v="Dishwasher"/>
    <n v="1020819.6466942149"/>
    <n v="0"/>
    <n v="1214775.3795661156"/>
    <n v="1104.7831674179815"/>
    <n v="0"/>
    <n v="1314.691969227398"/>
    <n v="924"/>
    <x v="0"/>
    <s v="Provision (Based on External Report)"/>
    <x v="0"/>
    <s v="Variable"/>
    <x v="0"/>
    <s v="CDT"/>
    <n v="1020819.6466942149"/>
    <n v="0"/>
    <n v="1214775.3795661156"/>
    <n v="1104.7831674179815"/>
    <n v="0"/>
    <n v="1314.691969227398"/>
    <m/>
  </r>
  <r>
    <x v="0"/>
    <s v="Jun21 to Jul20"/>
    <x v="0"/>
    <x v="0"/>
    <x v="0"/>
    <d v="2026-07-27T00:00:00"/>
    <n v="478270"/>
    <x v="0"/>
    <s v="3P"/>
    <x v="3"/>
    <s v="WM"/>
    <n v="73207351.80578512"/>
    <n v="0"/>
    <n v="87116748.648884282"/>
    <n v="79228.735720546669"/>
    <n v="0"/>
    <n v="94282.195507450539"/>
    <n v="924"/>
    <x v="0"/>
    <s v="Provision (Based on External Report)"/>
    <x v="0"/>
    <s v="Variable"/>
    <x v="0"/>
    <s v="DFT"/>
    <n v="73207351.80578512"/>
    <n v="0"/>
    <n v="87116748.648884282"/>
    <n v="79228.735720546669"/>
    <n v="0"/>
    <n v="94282.195507450539"/>
    <m/>
  </r>
  <r>
    <x v="0"/>
    <s v="Jun21 to Jul20"/>
    <x v="0"/>
    <x v="0"/>
    <x v="0"/>
    <d v="2026-07-27T00:00:00"/>
    <n v="478270"/>
    <x v="0"/>
    <s v="3P"/>
    <x v="4"/>
    <s v="VCC"/>
    <n v="145831.37809917357"/>
    <n v="0"/>
    <n v="173539.33993801655"/>
    <n v="157.82616677399736"/>
    <n v="0"/>
    <n v="187.81313846105684"/>
    <n v="924"/>
    <x v="0"/>
    <s v="Provision (Based on External Report)"/>
    <x v="0"/>
    <s v="Variable"/>
    <x v="0"/>
    <s v="DVT"/>
    <n v="145831.37809917357"/>
    <n v="0"/>
    <n v="173539.33993801655"/>
    <n v="157.82616677399736"/>
    <n v="0"/>
    <n v="187.81313846105684"/>
    <m/>
  </r>
  <r>
    <x v="0"/>
    <s v="Jun21 to Jul20"/>
    <x v="0"/>
    <x v="0"/>
    <x v="0"/>
    <d v="2026-07-27T00:00:00"/>
    <n v="478270"/>
    <x v="0"/>
    <s v="3P"/>
    <x v="5"/>
    <s v="Television"/>
    <n v="34707867.987603307"/>
    <n v="0"/>
    <n v="41302362.905247934"/>
    <n v="37562.627692211368"/>
    <n v="0"/>
    <n v="44699.526953731525"/>
    <n v="924"/>
    <x v="0"/>
    <s v="Provision (Based on External Report)"/>
    <x v="0"/>
    <s v="Variable"/>
    <x v="0"/>
    <s v="GLT"/>
    <n v="34707867.987603307"/>
    <n v="0"/>
    <n v="41302362.905247934"/>
    <n v="37562.627692211368"/>
    <n v="0"/>
    <n v="44699.526953731525"/>
    <m/>
  </r>
  <r>
    <x v="0"/>
    <s v="Jun21 to Jul20"/>
    <x v="0"/>
    <x v="0"/>
    <x v="0"/>
    <d v="2026-07-27T00:00:00"/>
    <n v="478270"/>
    <x v="0"/>
    <s v="3P"/>
    <x v="6"/>
    <s v="Audio"/>
    <n v="2187470.6714876033"/>
    <n v="0"/>
    <n v="2603090.0990702477"/>
    <n v="2367.3925016099602"/>
    <n v="0"/>
    <n v="2817.1970769158524"/>
    <n v="924"/>
    <x v="0"/>
    <s v="Provision (Based on External Report)"/>
    <x v="0"/>
    <s v="Variable"/>
    <x v="0"/>
    <s v="PNT"/>
    <n v="2187470.6714876033"/>
    <n v="0"/>
    <n v="2603090.0990702477"/>
    <n v="2367.3925016099602"/>
    <n v="0"/>
    <n v="2817.1970769158524"/>
    <m/>
  </r>
  <r>
    <x v="0"/>
    <s v="Jun21 to Jul20"/>
    <x v="0"/>
    <x v="0"/>
    <x v="0"/>
    <d v="2026-07-27T00:00:00"/>
    <n v="478270"/>
    <x v="0"/>
    <s v="3P"/>
    <x v="7"/>
    <s v="Monitor"/>
    <n v="3645784.4524793387"/>
    <n v="0"/>
    <n v="4338483.4984504133"/>
    <n v="3945.6541693499339"/>
    <n v="0"/>
    <n v="4695.3284615264211"/>
    <n v="924"/>
    <x v="0"/>
    <s v="Provision (Based on External Report)"/>
    <x v="0"/>
    <s v="Variable"/>
    <x v="0"/>
    <s v="GTT"/>
    <n v="3645784.4524793387"/>
    <n v="0"/>
    <n v="4338483.4984504133"/>
    <n v="3945.6541693499339"/>
    <n v="0"/>
    <n v="4695.3284615264211"/>
    <m/>
  </r>
  <r>
    <x v="0"/>
    <s v="Jun21 to Jul20"/>
    <x v="0"/>
    <x v="0"/>
    <x v="0"/>
    <d v="2026-07-27T00:00:00"/>
    <n v="478270"/>
    <x v="0"/>
    <s v="3P"/>
    <x v="8"/>
    <s v="RAC"/>
    <n v="1020819.6466942149"/>
    <n v="0"/>
    <n v="1214775.3795661156"/>
    <n v="1104.7831674179815"/>
    <n v="0"/>
    <n v="1314.691969227398"/>
    <n v="924"/>
    <x v="0"/>
    <s v="Provision (Based on External Report)"/>
    <x v="0"/>
    <s v="Variable"/>
    <x v="0"/>
    <s v="DGT"/>
    <n v="1020819.6466942149"/>
    <n v="0"/>
    <n v="1214775.3795661156"/>
    <n v="1104.7831674179815"/>
    <n v="0"/>
    <n v="1314.691969227398"/>
    <m/>
  </r>
  <r>
    <x v="0"/>
    <s v="Jun21 to Jul20"/>
    <x v="0"/>
    <x v="0"/>
    <x v="0"/>
    <d v="2026-07-27T00:00:00"/>
    <n v="478270"/>
    <x v="0"/>
    <s v="3P"/>
    <x v="9"/>
    <s v="Air Cleaner"/>
    <n v="291662.75619834714"/>
    <n v="0"/>
    <n v="347078.6798760331"/>
    <n v="315.65233354799471"/>
    <n v="0"/>
    <n v="375.62627692211368"/>
    <n v="924"/>
    <x v="0"/>
    <s v="Provision (Based on External Report)"/>
    <x v="0"/>
    <s v="Variable"/>
    <x v="0"/>
    <s v="DLT"/>
    <n v="291662.75619834714"/>
    <n v="0"/>
    <n v="347078.6798760331"/>
    <n v="315.65233354799471"/>
    <n v="0"/>
    <n v="375.62627692211368"/>
    <m/>
  </r>
  <r>
    <x v="0"/>
    <s v="Jun21 to Jul20"/>
    <x v="0"/>
    <x v="0"/>
    <x v="0"/>
    <d v="2026-07-27T00:00:00"/>
    <n v="478270"/>
    <x v="0"/>
    <s v="3P"/>
    <x v="10"/>
    <s v="SAC"/>
    <n v="0"/>
    <n v="0"/>
    <n v="0"/>
    <n v="0"/>
    <n v="0"/>
    <n v="0"/>
    <n v="924"/>
    <x v="0"/>
    <s v="Provision (Based on External Report)"/>
    <x v="0"/>
    <s v="Variable"/>
    <x v="0"/>
    <s v="DMT"/>
    <n v="0"/>
    <n v="0"/>
    <n v="0"/>
    <n v="0"/>
    <n v="0"/>
    <n v="0"/>
    <m/>
  </r>
  <r>
    <x v="0"/>
    <s v="Jun21 to Jul20"/>
    <x v="0"/>
    <x v="0"/>
    <x v="0"/>
    <d v="2026-07-27T00:00:00"/>
    <n v="478270"/>
    <x v="0"/>
    <s v="3P"/>
    <x v="11"/>
    <s v="TOTAL"/>
    <n v="141164774"/>
    <n v="26821307.059999999"/>
    <n v="167986081.06"/>
    <n v="152775.72943722943"/>
    <n v="29027.388593073592"/>
    <n v="181803.11803030301"/>
    <n v="924"/>
    <x v="0"/>
    <s v="Provision (Based on External Report)"/>
    <x v="0"/>
    <s v="Variable"/>
    <x v="0"/>
    <s v="TOTAL"/>
    <n v="141164774"/>
    <n v="26821307.059999999"/>
    <n v="167986081.06"/>
    <n v="152775.72943722943"/>
    <n v="29027.388593073592"/>
    <n v="181803.11803030301"/>
    <s v="http://lg2607.acepta.com/v01/5E0A125A9F4EB54908C00523002399A4BD42D7F9"/>
  </r>
  <r>
    <x v="0"/>
    <s v="Jun21 to Jul20"/>
    <x v="0"/>
    <x v="0"/>
    <x v="0"/>
    <d v="2026-07-27T00:00:00"/>
    <n v="456288"/>
    <x v="0"/>
    <s v="3P"/>
    <x v="0"/>
    <s v="Refrigeration"/>
    <n v="-10338483.516528925"/>
    <n v="0"/>
    <n v="-12302795.384669419"/>
    <n v="-11188.834974598403"/>
    <n v="0"/>
    <n v="-13314.713619772099"/>
    <n v="924"/>
    <x v="0"/>
    <s v="Provision (Based on External Report)"/>
    <x v="1"/>
    <s v="Variable"/>
    <x v="0"/>
    <s v="CNT"/>
    <n v="-10338483.516528925"/>
    <n v="0"/>
    <n v="-12302795.384669419"/>
    <n v="-11188.834974598403"/>
    <n v="0"/>
    <n v="-13314.713619772099"/>
    <m/>
  </r>
  <r>
    <x v="0"/>
    <s v="Jun21 to Jul20"/>
    <x v="0"/>
    <x v="0"/>
    <x v="0"/>
    <d v="2026-07-27T00:00:00"/>
    <n v="456288"/>
    <x v="0"/>
    <s v="3P"/>
    <x v="1"/>
    <s v="Cooking"/>
    <n v="-122348.9173553719"/>
    <n v="0"/>
    <n v="-145595.21165289255"/>
    <n v="-132.41224822009946"/>
    <n v="0"/>
    <n v="-157.57057538191836"/>
    <n v="924"/>
    <x v="0"/>
    <s v="Provision (Based on External Report)"/>
    <x v="1"/>
    <s v="Variable"/>
    <x v="0"/>
    <s v="CVT"/>
    <n v="-122348.9173553719"/>
    <n v="0"/>
    <n v="-145595.21165289255"/>
    <n v="-132.41224822009946"/>
    <n v="0"/>
    <n v="-157.57057538191836"/>
    <m/>
  </r>
  <r>
    <x v="0"/>
    <s v="Jun21 to Jul20"/>
    <x v="0"/>
    <x v="0"/>
    <x v="0"/>
    <d v="2026-07-27T00:00:00"/>
    <n v="456288"/>
    <x v="0"/>
    <s v="3P"/>
    <x v="2"/>
    <s v="Dishwasher"/>
    <n v="-428221.21074380167"/>
    <n v="0"/>
    <n v="-509583.24078512395"/>
    <n v="-463.44286877034813"/>
    <n v="0"/>
    <n v="-551.49701383671425"/>
    <n v="924"/>
    <x v="0"/>
    <s v="Provision (Based on External Report)"/>
    <x v="1"/>
    <s v="Variable"/>
    <x v="0"/>
    <s v="CDT"/>
    <n v="-428221.21074380167"/>
    <n v="0"/>
    <n v="-509583.24078512395"/>
    <n v="-463.44286877034813"/>
    <n v="0"/>
    <n v="-551.49701383671425"/>
    <m/>
  </r>
  <r>
    <x v="0"/>
    <s v="Jun21 to Jul20"/>
    <x v="0"/>
    <x v="0"/>
    <x v="0"/>
    <d v="2026-07-27T00:00:00"/>
    <n v="456288"/>
    <x v="0"/>
    <s v="3P"/>
    <x v="3"/>
    <s v="WM"/>
    <n v="-30709578.256198347"/>
    <n v="0"/>
    <n v="-36544398.12487603"/>
    <n v="-33235.474303244962"/>
    <n v="0"/>
    <n v="-39550.214420861506"/>
    <n v="924"/>
    <x v="0"/>
    <s v="Provision (Based on External Report)"/>
    <x v="1"/>
    <s v="Variable"/>
    <x v="0"/>
    <s v="DFT"/>
    <n v="-30709578.256198347"/>
    <n v="0"/>
    <n v="-36544398.12487603"/>
    <n v="-33235.474303244962"/>
    <n v="0"/>
    <n v="-39550.214420861506"/>
    <m/>
  </r>
  <r>
    <x v="0"/>
    <s v="Jun21 to Jul20"/>
    <x v="0"/>
    <x v="0"/>
    <x v="0"/>
    <d v="2026-07-27T00:00:00"/>
    <n v="456288"/>
    <x v="0"/>
    <s v="3P"/>
    <x v="4"/>
    <s v="VCC"/>
    <n v="-61174.458677685951"/>
    <n v="0"/>
    <n v="-72797.605826446277"/>
    <n v="-66.206124110049728"/>
    <n v="0"/>
    <n v="-78.78528769095918"/>
    <n v="924"/>
    <x v="0"/>
    <s v="Provision (Based on External Report)"/>
    <x v="1"/>
    <s v="Variable"/>
    <x v="0"/>
    <s v="DVT"/>
    <n v="-61174.458677685951"/>
    <n v="0"/>
    <n v="-72797.605826446277"/>
    <n v="-66.206124110049728"/>
    <n v="0"/>
    <n v="-78.78528769095918"/>
    <m/>
  </r>
  <r>
    <x v="0"/>
    <s v="Jun21 to Jul20"/>
    <x v="0"/>
    <x v="0"/>
    <x v="0"/>
    <d v="2026-07-27T00:00:00"/>
    <n v="456288"/>
    <x v="0"/>
    <s v="3P"/>
    <x v="5"/>
    <s v="Television"/>
    <n v="-14559521.165289257"/>
    <n v="0"/>
    <n v="-17325830.186694216"/>
    <n v="-15757.057538191837"/>
    <n v="0"/>
    <n v="-18750.898470448286"/>
    <n v="924"/>
    <x v="0"/>
    <s v="Provision (Based on External Report)"/>
    <x v="1"/>
    <s v="Variable"/>
    <x v="0"/>
    <s v="GLT"/>
    <n v="-14559521.165289257"/>
    <n v="0"/>
    <n v="-17325830.186694216"/>
    <n v="-15757.057538191837"/>
    <n v="0"/>
    <n v="-18750.898470448286"/>
    <m/>
  </r>
  <r>
    <x v="0"/>
    <s v="Jun21 to Jul20"/>
    <x v="0"/>
    <x v="0"/>
    <x v="0"/>
    <d v="2026-07-27T00:00:00"/>
    <n v="456288"/>
    <x v="0"/>
    <s v="3P"/>
    <x v="6"/>
    <s v="Audio"/>
    <n v="-917616.88016528927"/>
    <n v="0"/>
    <n v="-1091964.0873966941"/>
    <n v="-993.09186165074595"/>
    <n v="0"/>
    <n v="-1181.7793153643877"/>
    <n v="924"/>
    <x v="0"/>
    <s v="Provision (Based on External Report)"/>
    <x v="1"/>
    <s v="Variable"/>
    <x v="0"/>
    <s v="PNT"/>
    <n v="-917616.88016528927"/>
    <n v="0"/>
    <n v="-1091964.0873966941"/>
    <n v="-993.09186165074595"/>
    <n v="0"/>
    <n v="-1181.7793153643877"/>
    <m/>
  </r>
  <r>
    <x v="0"/>
    <s v="Jun21 to Jul20"/>
    <x v="0"/>
    <x v="0"/>
    <x v="0"/>
    <d v="2026-07-27T00:00:00"/>
    <n v="456288"/>
    <x v="0"/>
    <s v="3P"/>
    <x v="7"/>
    <s v="Monitor"/>
    <n v="-1529361.4669421487"/>
    <n v="0"/>
    <n v="-1819940.1456611569"/>
    <n v="-1655.1531027512433"/>
    <n v="0"/>
    <n v="-1969.6321922739794"/>
    <n v="924"/>
    <x v="0"/>
    <s v="Provision (Based on External Report)"/>
    <x v="1"/>
    <s v="Variable"/>
    <x v="0"/>
    <s v="GTT"/>
    <n v="-1529361.4669421487"/>
    <n v="0"/>
    <n v="-1819940.1456611569"/>
    <n v="-1655.1531027512433"/>
    <n v="0"/>
    <n v="-1969.6321922739794"/>
    <m/>
  </r>
  <r>
    <x v="0"/>
    <s v="Jun21 to Jul20"/>
    <x v="0"/>
    <x v="0"/>
    <x v="0"/>
    <d v="2026-07-27T00:00:00"/>
    <n v="456288"/>
    <x v="0"/>
    <s v="3P"/>
    <x v="8"/>
    <s v="RAC"/>
    <n v="-428221.21074380167"/>
    <n v="0"/>
    <n v="-509583.24078512395"/>
    <n v="-463.44286877034813"/>
    <n v="0"/>
    <n v="-551.49701383671425"/>
    <n v="924"/>
    <x v="0"/>
    <s v="Provision (Based on External Report)"/>
    <x v="1"/>
    <s v="Variable"/>
    <x v="0"/>
    <s v="DGT"/>
    <n v="-428221.21074380167"/>
    <n v="0"/>
    <n v="-509583.24078512395"/>
    <n v="-463.44286877034813"/>
    <n v="0"/>
    <n v="-551.49701383671425"/>
    <m/>
  </r>
  <r>
    <x v="0"/>
    <s v="Jun21 to Jul20"/>
    <x v="0"/>
    <x v="0"/>
    <x v="0"/>
    <d v="2026-07-27T00:00:00"/>
    <n v="456288"/>
    <x v="0"/>
    <s v="3P"/>
    <x v="9"/>
    <s v="Air Cleaner"/>
    <n v="-122348.9173553719"/>
    <n v="0"/>
    <n v="-145595.21165289255"/>
    <n v="-132.41224822009946"/>
    <n v="0"/>
    <n v="-157.57057538191836"/>
    <n v="924"/>
    <x v="0"/>
    <s v="Provision (Based on External Report)"/>
    <x v="1"/>
    <s v="Variable"/>
    <x v="0"/>
    <s v="DLT"/>
    <n v="-122348.9173553719"/>
    <n v="0"/>
    <n v="-145595.21165289255"/>
    <n v="-132.41224822009946"/>
    <n v="0"/>
    <n v="-157.57057538191836"/>
    <m/>
  </r>
  <r>
    <x v="0"/>
    <s v="Jun21 to Jul20"/>
    <x v="0"/>
    <x v="0"/>
    <x v="0"/>
    <d v="2026-07-27T00:00:00"/>
    <n v="456288"/>
    <x v="0"/>
    <s v="3P"/>
    <x v="10"/>
    <s v="SAC"/>
    <n v="0"/>
    <n v="0"/>
    <n v="0"/>
    <n v="0"/>
    <n v="0"/>
    <n v="0"/>
    <n v="924"/>
    <x v="0"/>
    <s v="Provision (Based on External Report)"/>
    <x v="1"/>
    <s v="Variable"/>
    <x v="0"/>
    <s v="DMT"/>
    <n v="0"/>
    <n v="0"/>
    <n v="0"/>
    <n v="0"/>
    <n v="0"/>
    <n v="0"/>
    <m/>
  </r>
  <r>
    <x v="0"/>
    <s v="Jun21 to Jul20"/>
    <x v="0"/>
    <x v="0"/>
    <x v="0"/>
    <d v="2026-07-27T00:00:00"/>
    <n v="456288"/>
    <x v="0"/>
    <s v="3P"/>
    <x v="11"/>
    <s v="TOTAL"/>
    <n v="-59216875.999999993"/>
    <n v="-11251206.439999999"/>
    <n v="-70468082.439999983"/>
    <n v="-64087.528138528127"/>
    <n v="-12176.630346320344"/>
    <n v="-76264.158484848464"/>
    <n v="924"/>
    <x v="0"/>
    <s v="Provision (Based on External Report)"/>
    <x v="1"/>
    <s v="Variable"/>
    <x v="0"/>
    <s v="TOTAL"/>
    <n v="-59216875.999999993"/>
    <n v="-11251206.439999999"/>
    <n v="-70468082.439999983"/>
    <n v="-64087.528138528127"/>
    <n v="-12176.630346320344"/>
    <n v="-76264.158484848464"/>
    <s v="http://lg2607.acepta.com/v01/AD2F1E54CFEE4EA8AEAAF32C8EE536D5DD0B56A6"/>
  </r>
  <r>
    <x v="0"/>
    <s v="May 21 to Jun 20 "/>
    <x v="1"/>
    <x v="0"/>
    <x v="0"/>
    <d v="2026-06-23T00:00:00"/>
    <n v="473180"/>
    <x v="0"/>
    <s v="3P"/>
    <x v="0"/>
    <s v="Refrigeration"/>
    <n v="46857021.259024292"/>
    <n v="0"/>
    <n v="55759855.298238903"/>
    <n v="50766.003530903894"/>
    <n v="0"/>
    <n v="60411.544201775629"/>
    <n v="923"/>
    <x v="0"/>
    <s v="Provision (Based on External Report)"/>
    <x v="0"/>
    <s v="Variable"/>
    <x v="0"/>
    <s v="CN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1"/>
    <s v="Cooking"/>
    <n v="955756.65066718159"/>
    <n v="0"/>
    <n v="1137350.414293946"/>
    <n v="1035.4893290001967"/>
    <n v="0"/>
    <n v="1232.232301510234"/>
    <n v="923"/>
    <x v="0"/>
    <s v="Provision (Based on External Report)"/>
    <x v="0"/>
    <s v="Variable"/>
    <x v="0"/>
    <s v="CV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2"/>
    <s v="Dishwasher"/>
    <n v="3929528.6497851633"/>
    <n v="0"/>
    <n v="4676139.093244344"/>
    <n v="4257.3441492797001"/>
    <n v="0"/>
    <n v="5066.2395376428431"/>
    <n v="923"/>
    <x v="0"/>
    <s v="Provision (Based on External Report)"/>
    <x v="0"/>
    <s v="Variable"/>
    <x v="0"/>
    <s v="CD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3"/>
    <s v="WM"/>
    <n v="101469091.44720571"/>
    <n v="0"/>
    <n v="120748218.82217479"/>
    <n v="109934.0102353258"/>
    <n v="0"/>
    <n v="130821.47218003769"/>
    <n v="923"/>
    <x v="0"/>
    <s v="Provision (Based on External Report)"/>
    <x v="0"/>
    <s v="Variable"/>
    <x v="0"/>
    <s v="DF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4"/>
    <s v="VCC"/>
    <n v="444230.15324388456"/>
    <n v="0"/>
    <n v="528633.88236022263"/>
    <n v="481.28944013421943"/>
    <n v="0"/>
    <n v="572.73443375972113"/>
    <n v="923"/>
    <x v="0"/>
    <s v="Provision (Based on External Report)"/>
    <x v="0"/>
    <s v="Variable"/>
    <x v="0"/>
    <s v="DV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5"/>
    <s v="Television"/>
    <n v="80299365.485116392"/>
    <n v="0"/>
    <n v="95556244.927288502"/>
    <n v="86998.229127970088"/>
    <n v="0"/>
    <n v="103527.8926622844"/>
    <n v="923"/>
    <x v="0"/>
    <s v="Provision (Based on External Report)"/>
    <x v="0"/>
    <s v="Variable"/>
    <x v="0"/>
    <s v="GL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6"/>
    <s v="Audio"/>
    <n v="4357553.2273475425"/>
    <n v="0"/>
    <n v="5185488.3405435756"/>
    <n v="4721.0760859670017"/>
    <n v="0"/>
    <n v="5618.0805423007314"/>
    <n v="923"/>
    <x v="0"/>
    <s v="Provision (Based on External Report)"/>
    <x v="0"/>
    <s v="Variable"/>
    <x v="0"/>
    <s v="PN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7"/>
    <s v="Monitor"/>
    <n v="8665554.4856066834"/>
    <n v="0"/>
    <n v="10312009.837871952"/>
    <n v="9388.4663982737638"/>
    <n v="0"/>
    <n v="11172.275013945778"/>
    <n v="923"/>
    <x v="0"/>
    <s v="Provision (Based on External Report)"/>
    <x v="0"/>
    <s v="Variable"/>
    <x v="0"/>
    <s v="GT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8"/>
    <s v="RAC"/>
    <n v="3213667.7413034462"/>
    <n v="0"/>
    <n v="3824264.6121511008"/>
    <n v="3481.763533373181"/>
    <n v="0"/>
    <n v="4143.2986047140848"/>
    <n v="923"/>
    <x v="0"/>
    <s v="Provision (Based on External Report)"/>
    <x v="0"/>
    <s v="Variable"/>
    <x v="0"/>
    <s v="DG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9"/>
    <s v="Air Cleaner"/>
    <n v="1618812.9006997291"/>
    <n v="0"/>
    <n v="1926387.3518326776"/>
    <n v="1753.8601307689373"/>
    <n v="0"/>
    <n v="2087.0935556150353"/>
    <n v="923"/>
    <x v="0"/>
    <s v="Provision (Based on External Report)"/>
    <x v="0"/>
    <s v="Variable"/>
    <x v="0"/>
    <s v="DL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10"/>
    <s v="SAC"/>
    <n v="0"/>
    <n v="0"/>
    <n v="0"/>
    <n v="0"/>
    <n v="0"/>
    <n v="0"/>
    <n v="923"/>
    <x v="0"/>
    <s v="Provision (Based on External Report)"/>
    <x v="0"/>
    <s v="Variable"/>
    <x v="0"/>
    <s v="DMT"/>
    <m/>
    <n v="0"/>
    <n v="0"/>
    <n v="0"/>
    <n v="0"/>
    <n v="0"/>
    <m/>
  </r>
  <r>
    <x v="0"/>
    <s v="May 21 to Jun 20 "/>
    <x v="1"/>
    <x v="0"/>
    <x v="0"/>
    <d v="2026-06-23T00:00:00"/>
    <n v="473180"/>
    <x v="0"/>
    <s v="3P"/>
    <x v="11"/>
    <s v="TOTAL"/>
    <n v="251810582.00000003"/>
    <n v="47844010.580000006"/>
    <n v="299654592.58000004"/>
    <n v="272817.5319609968"/>
    <n v="51835.33107258939"/>
    <n v="324652.86303358618"/>
    <n v="923"/>
    <x v="0"/>
    <s v="Provision (Based on External Report)"/>
    <x v="0"/>
    <s v="Variable"/>
    <x v="0"/>
    <s v="TOTAL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0"/>
    <s v="Refrigeration"/>
    <n v="-18530452.810323246"/>
    <n v="0"/>
    <n v="-22051238.844284661"/>
    <n v="-20076.330238703409"/>
    <n v="0"/>
    <n v="-23890.832984057055"/>
    <n v="923"/>
    <x v="0"/>
    <s v="Provision (Based on External Report)"/>
    <x v="1"/>
    <s v="Variable"/>
    <x v="0"/>
    <s v="CN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1"/>
    <s v="Cooking"/>
    <n v="-377971.17779717781"/>
    <n v="0"/>
    <n v="-449785.70157864154"/>
    <n v="-409.50290118870834"/>
    <n v="0"/>
    <n v="-487.30845241456291"/>
    <n v="923"/>
    <x v="0"/>
    <s v="Provision (Based on External Report)"/>
    <x v="1"/>
    <s v="Variable"/>
    <x v="0"/>
    <s v="CV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2"/>
    <s v="Dishwasher"/>
    <n v="-1554002.8635011325"/>
    <n v="0"/>
    <n v="-1849263.4075663476"/>
    <n v="-1683.6434057433721"/>
    <n v="0"/>
    <n v="-2003.5356528346126"/>
    <n v="923"/>
    <x v="0"/>
    <s v="Provision (Based on External Report)"/>
    <x v="1"/>
    <s v="Variable"/>
    <x v="0"/>
    <s v="CD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3"/>
    <s v="WM"/>
    <n v="-40127779.364692219"/>
    <n v="0"/>
    <n v="-47752057.443983741"/>
    <n v="-43475.383927077157"/>
    <n v="0"/>
    <n v="-51735.706873221818"/>
    <n v="923"/>
    <x v="0"/>
    <s v="Provision (Based on External Report)"/>
    <x v="1"/>
    <s v="Variable"/>
    <x v="0"/>
    <s v="DF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4"/>
    <s v="VCC"/>
    <n v="-175678.81334375456"/>
    <n v="0"/>
    <n v="-209057.78787906791"/>
    <n v="-190.33457567037331"/>
    <n v="0"/>
    <n v="-226.49814504774423"/>
    <n v="923"/>
    <x v="0"/>
    <s v="Provision (Based on External Report)"/>
    <x v="1"/>
    <s v="Variable"/>
    <x v="0"/>
    <s v="DV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5"/>
    <s v="Television"/>
    <n v="-31755830.030153159"/>
    <n v="0"/>
    <n v="-37789437.73588226"/>
    <n v="-34405.016284022924"/>
    <n v="0"/>
    <n v="-40941.969377987276"/>
    <n v="923"/>
    <x v="0"/>
    <s v="Provision (Based on External Report)"/>
    <x v="1"/>
    <s v="Variable"/>
    <x v="0"/>
    <s v="GL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6"/>
    <s v="Audio"/>
    <n v="-1723272.8901281594"/>
    <n v="0"/>
    <n v="-2050694.7392525095"/>
    <n v="-1867.0345505180492"/>
    <n v="0"/>
    <n v="-2221.7711151164785"/>
    <n v="923"/>
    <x v="0"/>
    <s v="Provision (Based on External Report)"/>
    <x v="1"/>
    <s v="Variable"/>
    <x v="0"/>
    <s v="PN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7"/>
    <s v="Monitor"/>
    <n v="-3426949.5617989968"/>
    <n v="0"/>
    <n v="-4078069.9785408061"/>
    <n v="-3712.8380951235067"/>
    <n v="0"/>
    <n v="-4418.2773331969729"/>
    <n v="923"/>
    <x v="0"/>
    <s v="Provision (Based on External Report)"/>
    <x v="1"/>
    <s v="Variable"/>
    <x v="0"/>
    <s v="GT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8"/>
    <s v="RAC"/>
    <n v="-1270902.7767490151"/>
    <n v="0"/>
    <n v="-1512374.3043313278"/>
    <n v="-1376.9260853185428"/>
    <n v="0"/>
    <n v="-1638.542041529066"/>
    <n v="923"/>
    <x v="0"/>
    <s v="Provision (Based on External Report)"/>
    <x v="1"/>
    <s v="Variable"/>
    <x v="0"/>
    <s v="DG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9"/>
    <s v="Air Cleaner"/>
    <n v="-640188.71151314536"/>
    <n v="0"/>
    <n v="-761824.56670064293"/>
    <n v="-693.59557043677717"/>
    <n v="0"/>
    <n v="-825.37872881976477"/>
    <n v="923"/>
    <x v="0"/>
    <s v="Provision (Based on External Report)"/>
    <x v="1"/>
    <s v="Variable"/>
    <x v="0"/>
    <s v="DL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10"/>
    <s v="SAC"/>
    <m/>
    <n v="0"/>
    <n v="0"/>
    <n v="0"/>
    <n v="0"/>
    <n v="0"/>
    <n v="923"/>
    <x v="0"/>
    <s v="Provision (Based on External Report)"/>
    <x v="1"/>
    <s v="Variable"/>
    <x v="0"/>
    <s v="DMT"/>
    <m/>
    <n v="0"/>
    <n v="0"/>
    <n v="0"/>
    <n v="0"/>
    <n v="0"/>
    <m/>
  </r>
  <r>
    <x v="0"/>
    <s v="May 21 to Jun 20 "/>
    <x v="1"/>
    <x v="0"/>
    <x v="0"/>
    <d v="2026-06-23T00:00:00"/>
    <n v="432245"/>
    <x v="0"/>
    <s v="3P"/>
    <x v="11"/>
    <s v="TOTAL"/>
    <n v="-99583029"/>
    <n v="-18920775.510000002"/>
    <n v="-118503804.50999999"/>
    <n v="-107890.60563380281"/>
    <n v="-20499.215070422535"/>
    <n v="-128389.82070422535"/>
    <n v="923"/>
    <x v="0"/>
    <s v="Provision (Based on External Report)"/>
    <x v="1"/>
    <s v="Variable"/>
    <x v="0"/>
    <s v="TOTAL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0"/>
    <s v="Refrigeration"/>
    <n v="2055020.8797885906"/>
    <n v="0"/>
    <n v="2445474.8469484225"/>
    <n v="2306.4207405034686"/>
    <n v="0"/>
    <n v="2744.6406811991274"/>
    <n v="891"/>
    <x v="1"/>
    <s v="Provision (Based on External Report)"/>
    <x v="0"/>
    <s v="Variable"/>
    <x v="0"/>
    <s v="CN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1"/>
    <s v="Cooking"/>
    <n v="110705.62388511069"/>
    <n v="0"/>
    <n v="131739.69242328173"/>
    <n v="124.24873612245868"/>
    <n v="0"/>
    <n v="147.85599598572583"/>
    <n v="891"/>
    <x v="1"/>
    <s v="Provision (Based on External Report)"/>
    <x v="0"/>
    <s v="Variable"/>
    <x v="0"/>
    <s v="CV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2"/>
    <s v="Dishwasher"/>
    <n v="0"/>
    <n v="0"/>
    <n v="0"/>
    <n v="0"/>
    <n v="0"/>
    <n v="0"/>
    <n v="891"/>
    <x v="1"/>
    <s v="Provision (Based on External Report)"/>
    <x v="0"/>
    <s v="Variable"/>
    <x v="0"/>
    <s v="CD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3"/>
    <s v="WM"/>
    <n v="6018437.3580757603"/>
    <n v="0"/>
    <n v="7161940.4561101543"/>
    <n v="6754.6996162466448"/>
    <n v="0"/>
    <n v="8038.0925433335069"/>
    <n v="891"/>
    <x v="1"/>
    <s v="Provision (Based on External Report)"/>
    <x v="0"/>
    <s v="Variable"/>
    <x v="0"/>
    <s v="DF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4"/>
    <s v="VCC"/>
    <n v="0"/>
    <n v="0"/>
    <n v="0"/>
    <n v="0"/>
    <n v="0"/>
    <n v="0"/>
    <n v="891"/>
    <x v="1"/>
    <s v="Provision (Based on External Report)"/>
    <x v="0"/>
    <s v="Variable"/>
    <x v="0"/>
    <s v="DV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5"/>
    <s v="Television"/>
    <n v="2689893.1298958594"/>
    <n v="0"/>
    <n v="3200972.8245760724"/>
    <n v="3018.9597417461946"/>
    <n v="0"/>
    <n v="3592.5620926779716"/>
    <n v="891"/>
    <x v="1"/>
    <s v="Provision (Based on External Report)"/>
    <x v="0"/>
    <s v="Variable"/>
    <x v="0"/>
    <s v="GL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6"/>
    <s v="Audio"/>
    <n v="202816.14837633111"/>
    <n v="0"/>
    <n v="241351.21656783402"/>
    <n v="227.6275514885871"/>
    <n v="0"/>
    <n v="270.87678627141867"/>
    <n v="891"/>
    <x v="1"/>
    <s v="Provision (Based on External Report)"/>
    <x v="0"/>
    <s v="Variable"/>
    <x v="0"/>
    <s v="PN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7"/>
    <s v="Monitor"/>
    <n v="108893.76599716295"/>
    <n v="0"/>
    <n v="129583.5815366239"/>
    <n v="122.21522558604147"/>
    <n v="0"/>
    <n v="145.43611844738933"/>
    <n v="891"/>
    <x v="1"/>
    <s v="Provision (Based on External Report)"/>
    <x v="0"/>
    <s v="Variable"/>
    <x v="0"/>
    <s v="GT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8"/>
    <s v="RAC"/>
    <n v="54903.208762582544"/>
    <n v="0"/>
    <n v="65334.818427473227"/>
    <n v="61.619762920968064"/>
    <n v="0"/>
    <n v="73.327517875951997"/>
    <n v="891"/>
    <x v="1"/>
    <s v="Provision (Based on External Report)"/>
    <x v="0"/>
    <s v="Variable"/>
    <x v="0"/>
    <s v="DG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9"/>
    <s v="Air Cleaner"/>
    <n v="16787.885218604297"/>
    <n v="0"/>
    <n v="19977.583410139112"/>
    <n v="18.841622018635576"/>
    <n v="0"/>
    <n v="22.421530202176335"/>
    <n v="891"/>
    <x v="1"/>
    <s v="Provision (Based on External Report)"/>
    <x v="0"/>
    <s v="Variable"/>
    <x v="0"/>
    <s v="DL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10"/>
    <s v="SAC"/>
    <n v="0"/>
    <n v="0"/>
    <n v="0"/>
    <n v="0"/>
    <n v="0"/>
    <n v="0"/>
    <n v="891"/>
    <x v="1"/>
    <s v="Provision (Based on External Report)"/>
    <x v="0"/>
    <s v="Variable"/>
    <x v="0"/>
    <s v="DMT"/>
    <m/>
    <n v="0"/>
    <n v="0"/>
    <n v="0"/>
    <n v="0"/>
    <n v="0"/>
    <m/>
  </r>
  <r>
    <x v="0"/>
    <s v="May11 to May 26"/>
    <x v="2"/>
    <x v="0"/>
    <x v="1"/>
    <d v="2026-06-04T00:00:00"/>
    <n v="3719"/>
    <x v="1"/>
    <s v="3P"/>
    <x v="11"/>
    <s v="TOTAL"/>
    <n v="11257458"/>
    <n v="2138917.02"/>
    <n v="13396375.02"/>
    <n v="12634.632996632996"/>
    <n v="2400.5802693602691"/>
    <n v="15035.213265993265"/>
    <n v="891"/>
    <x v="1"/>
    <s v="Provision (Based on External Report)"/>
    <x v="0"/>
    <s v="Variable"/>
    <x v="0"/>
    <s v="TOTAL"/>
    <m/>
    <n v="0"/>
    <n v="0"/>
    <n v="0"/>
    <n v="0"/>
    <n v="0"/>
    <m/>
  </r>
  <r>
    <x v="0"/>
    <s v="2026 Mar"/>
    <x v="0"/>
    <x v="0"/>
    <x v="2"/>
    <m/>
    <m/>
    <x v="1"/>
    <s v="3P"/>
    <x v="0"/>
    <s v="Refrigeration"/>
    <n v="5510370.3004917251"/>
    <n v="0"/>
    <n v="6557340.6575851524"/>
    <n v="5963.6042213113906"/>
    <n v="0"/>
    <n v="7096.6890233605545"/>
    <n v="924"/>
    <x v="2"/>
    <s v="Provision (Based on External Report)"/>
    <x v="0"/>
    <s v="Variable"/>
    <x v="1"/>
    <s v="CNT"/>
    <m/>
    <n v="0"/>
    <n v="0"/>
    <n v="0"/>
    <n v="0"/>
    <n v="0"/>
    <m/>
  </r>
  <r>
    <x v="0"/>
    <s v="2026 Mar"/>
    <x v="0"/>
    <x v="0"/>
    <x v="2"/>
    <m/>
    <m/>
    <x v="1"/>
    <s v="3P"/>
    <x v="1"/>
    <s v="Cooking"/>
    <n v="0"/>
    <n v="0"/>
    <n v="0"/>
    <n v="0"/>
    <n v="0"/>
    <n v="0"/>
    <n v="924"/>
    <x v="2"/>
    <s v="Provision (Based on External Report)"/>
    <x v="0"/>
    <s v="Variable"/>
    <x v="1"/>
    <s v="CVT"/>
    <m/>
    <n v="0"/>
    <n v="0"/>
    <n v="0"/>
    <n v="0"/>
    <n v="0"/>
    <m/>
  </r>
  <r>
    <x v="0"/>
    <s v="2026 Mar"/>
    <x v="0"/>
    <x v="0"/>
    <x v="2"/>
    <m/>
    <m/>
    <x v="1"/>
    <s v="3P"/>
    <x v="2"/>
    <s v="Dishwasher"/>
    <n v="70645.77308322725"/>
    <n v="0"/>
    <n v="84068.469969040423"/>
    <n v="76.456464375787064"/>
    <n v="0"/>
    <n v="90.983192607186609"/>
    <n v="924"/>
    <x v="2"/>
    <s v="Provision (Based on External Report)"/>
    <x v="0"/>
    <s v="Variable"/>
    <x v="1"/>
    <s v="CDT"/>
    <m/>
    <n v="0"/>
    <n v="0"/>
    <n v="0"/>
    <n v="0"/>
    <n v="0"/>
    <m/>
  </r>
  <r>
    <x v="0"/>
    <s v="2026 Mar"/>
    <x v="0"/>
    <x v="0"/>
    <x v="2"/>
    <m/>
    <m/>
    <x v="1"/>
    <s v="3P"/>
    <x v="3"/>
    <s v="WM"/>
    <n v="13281405.339646721"/>
    <n v="0"/>
    <n v="15804872.354179598"/>
    <n v="14373.815302647967"/>
    <n v="0"/>
    <n v="17104.84021015108"/>
    <n v="924"/>
    <x v="2"/>
    <s v="Provision (Based on External Report)"/>
    <x v="0"/>
    <s v="Variable"/>
    <x v="1"/>
    <s v="DFT"/>
    <m/>
    <n v="0"/>
    <n v="0"/>
    <n v="0"/>
    <n v="0"/>
    <n v="0"/>
    <m/>
  </r>
  <r>
    <x v="0"/>
    <s v="2026 Mar"/>
    <x v="0"/>
    <x v="0"/>
    <x v="2"/>
    <m/>
    <m/>
    <x v="1"/>
    <s v="3P"/>
    <x v="4"/>
    <s v="VCC"/>
    <n v="0"/>
    <n v="0"/>
    <n v="0"/>
    <n v="0"/>
    <n v="0"/>
    <n v="0"/>
    <n v="924"/>
    <x v="2"/>
    <s v="Provision (Based on External Report)"/>
    <x v="0"/>
    <s v="Variable"/>
    <x v="1"/>
    <s v="DVT"/>
    <m/>
    <n v="0"/>
    <n v="0"/>
    <n v="0"/>
    <n v="0"/>
    <n v="0"/>
    <m/>
  </r>
  <r>
    <x v="0"/>
    <s v="2026 Mar"/>
    <x v="0"/>
    <x v="0"/>
    <x v="2"/>
    <m/>
    <m/>
    <x v="1"/>
    <s v="3P"/>
    <x v="5"/>
    <s v="Television"/>
    <n v="2896476.696412317"/>
    <n v="0"/>
    <n v="3446807.2687306572"/>
    <n v="3134.7150394072696"/>
    <n v="0"/>
    <n v="3730.3108968946508"/>
    <n v="924"/>
    <x v="2"/>
    <s v="Provision (Based on External Report)"/>
    <x v="0"/>
    <s v="Variable"/>
    <x v="1"/>
    <s v="GLT"/>
    <m/>
    <n v="0"/>
    <n v="0"/>
    <n v="0"/>
    <n v="0"/>
    <n v="0"/>
    <m/>
  </r>
  <r>
    <x v="0"/>
    <s v="2026 Mar"/>
    <x v="0"/>
    <x v="0"/>
    <x v="2"/>
    <m/>
    <m/>
    <x v="1"/>
    <s v="3P"/>
    <x v="6"/>
    <s v="Audio"/>
    <n v="494520.41158259072"/>
    <n v="0"/>
    <n v="588479.2897832829"/>
    <n v="535.19525063050946"/>
    <n v="0"/>
    <n v="636.88234825030622"/>
    <n v="924"/>
    <x v="2"/>
    <s v="Provision (Based on External Report)"/>
    <x v="0"/>
    <s v="Variable"/>
    <x v="1"/>
    <s v="PNT"/>
    <m/>
    <n v="0"/>
    <n v="0"/>
    <n v="0"/>
    <n v="0"/>
    <n v="0"/>
    <m/>
  </r>
  <r>
    <x v="0"/>
    <s v="2026 Mar"/>
    <x v="0"/>
    <x v="0"/>
    <x v="2"/>
    <m/>
    <m/>
    <x v="1"/>
    <s v="3P"/>
    <x v="7"/>
    <s v="Monitor"/>
    <n v="282583.092332909"/>
    <n v="0"/>
    <n v="336273.87987616169"/>
    <n v="305.82585750314826"/>
    <n v="0"/>
    <n v="363.93277042874644"/>
    <n v="924"/>
    <x v="2"/>
    <s v="Provision (Based on External Report)"/>
    <x v="0"/>
    <s v="Variable"/>
    <x v="1"/>
    <s v="GTT"/>
    <m/>
    <n v="0"/>
    <n v="0"/>
    <n v="0"/>
    <n v="0"/>
    <n v="0"/>
    <m/>
  </r>
  <r>
    <x v="0"/>
    <s v="2026 Mar"/>
    <x v="0"/>
    <x v="0"/>
    <x v="2"/>
    <m/>
    <m/>
    <x v="1"/>
    <s v="3P"/>
    <x v="8"/>
    <s v="RAC"/>
    <n v="211937.31924968172"/>
    <n v="0"/>
    <n v="252205.40990712124"/>
    <n v="229.36939312736118"/>
    <n v="0"/>
    <n v="272.94957782155979"/>
    <n v="924"/>
    <x v="2"/>
    <s v="Provision (Based on External Report)"/>
    <x v="0"/>
    <s v="Variable"/>
    <x v="1"/>
    <s v="DGT"/>
    <m/>
    <n v="0"/>
    <n v="0"/>
    <n v="0"/>
    <n v="0"/>
    <n v="0"/>
    <m/>
  </r>
  <r>
    <x v="0"/>
    <s v="2026 Mar"/>
    <x v="0"/>
    <x v="0"/>
    <x v="2"/>
    <m/>
    <m/>
    <x v="1"/>
    <s v="3P"/>
    <x v="9"/>
    <s v="Air Cleaner"/>
    <n v="70645.77308322725"/>
    <n v="0"/>
    <n v="84068.469969040423"/>
    <n v="76.456464375787064"/>
    <n v="0"/>
    <n v="90.983192607186609"/>
    <n v="924"/>
    <x v="2"/>
    <s v="Provision (Based on External Report)"/>
    <x v="0"/>
    <s v="Variable"/>
    <x v="1"/>
    <s v="DLT"/>
    <m/>
    <n v="0"/>
    <n v="0"/>
    <n v="0"/>
    <n v="0"/>
    <n v="0"/>
    <m/>
  </r>
  <r>
    <x v="0"/>
    <s v="2026 Mar"/>
    <x v="0"/>
    <x v="0"/>
    <x v="2"/>
    <m/>
    <m/>
    <x v="1"/>
    <s v="3P"/>
    <x v="10"/>
    <s v="SAC"/>
    <n v="0"/>
    <n v="0"/>
    <n v="0"/>
    <n v="0"/>
    <n v="0"/>
    <n v="0"/>
    <n v="924"/>
    <x v="2"/>
    <s v="Provision (Based on External Report)"/>
    <x v="0"/>
    <s v="Variable"/>
    <x v="1"/>
    <s v="DMT"/>
    <m/>
    <n v="0"/>
    <n v="0"/>
    <n v="0"/>
    <n v="0"/>
    <n v="0"/>
    <m/>
  </r>
  <r>
    <x v="0"/>
    <s v="2026 Mar"/>
    <x v="0"/>
    <x v="0"/>
    <x v="2"/>
    <m/>
    <m/>
    <x v="1"/>
    <s v="3P"/>
    <x v="11"/>
    <s v="TOTAL"/>
    <n v="22818584.7058824"/>
    <n v="4335531.0941176564"/>
    <n v="27154115.800000057"/>
    <n v="24695.437993379222"/>
    <n v="4692.1332187420521"/>
    <n v="29387.571212121275"/>
    <n v="924"/>
    <x v="2"/>
    <s v="Provision (Based on External Report)"/>
    <x v="0"/>
    <s v="Variable"/>
    <x v="1"/>
    <s v="TOTAL"/>
    <m/>
    <n v="0"/>
    <n v="0"/>
    <n v="0"/>
    <n v="0"/>
    <n v="0"/>
    <m/>
  </r>
  <r>
    <x v="0"/>
    <s v="2026 Apr"/>
    <x v="0"/>
    <x v="0"/>
    <x v="2"/>
    <m/>
    <m/>
    <x v="1"/>
    <s v="3P"/>
    <x v="0"/>
    <s v="Refrigeration"/>
    <n v="2753819.4613003097"/>
    <n v="0"/>
    <n v="3277045.1589473686"/>
    <n v="2980.3240923163526"/>
    <n v="0"/>
    <n v="3546.5856698564594"/>
    <n v="924"/>
    <x v="2"/>
    <s v="Provision (Based on External Report)"/>
    <x v="0"/>
    <s v="Variable"/>
    <x v="1"/>
    <s v="CNT"/>
    <m/>
    <n v="0"/>
    <n v="0"/>
    <n v="0"/>
    <n v="0"/>
    <n v="0"/>
    <m/>
  </r>
  <r>
    <x v="0"/>
    <s v="2026 Apr"/>
    <x v="0"/>
    <x v="0"/>
    <x v="2"/>
    <m/>
    <m/>
    <x v="1"/>
    <s v="3P"/>
    <x v="1"/>
    <s v="Cooking"/>
    <n v="0"/>
    <n v="0"/>
    <n v="0"/>
    <n v="0"/>
    <n v="0"/>
    <n v="0"/>
    <n v="924"/>
    <x v="2"/>
    <s v="Provision (Based on External Report)"/>
    <x v="0"/>
    <s v="Variable"/>
    <x v="1"/>
    <s v="CVT"/>
    <m/>
    <n v="0"/>
    <n v="0"/>
    <n v="0"/>
    <n v="0"/>
    <n v="0"/>
    <m/>
  </r>
  <r>
    <x v="0"/>
    <s v="2026 Apr"/>
    <x v="0"/>
    <x v="0"/>
    <x v="2"/>
    <m/>
    <m/>
    <x v="1"/>
    <s v="3P"/>
    <x v="2"/>
    <s v="Dishwasher"/>
    <n v="35305.377708978333"/>
    <n v="0"/>
    <n v="42013.399473684214"/>
    <n v="38.209283234825037"/>
    <n v="0"/>
    <n v="45.469047049441791"/>
    <n v="924"/>
    <x v="2"/>
    <s v="Provision (Based on External Report)"/>
    <x v="0"/>
    <s v="Variable"/>
    <x v="1"/>
    <s v="CDT"/>
    <m/>
    <n v="0"/>
    <n v="0"/>
    <n v="0"/>
    <n v="0"/>
    <n v="0"/>
    <m/>
  </r>
  <r>
    <x v="0"/>
    <s v="2026 Apr"/>
    <x v="0"/>
    <x v="0"/>
    <x v="2"/>
    <m/>
    <m/>
    <x v="1"/>
    <s v="3P"/>
    <x v="3"/>
    <s v="WM"/>
    <n v="6637411.0092879254"/>
    <n v="0"/>
    <n v="7898519.1010526307"/>
    <n v="7183.3452481471058"/>
    <n v="0"/>
    <n v="8548.1808452950554"/>
    <n v="924"/>
    <x v="2"/>
    <s v="Provision (Based on External Report)"/>
    <x v="0"/>
    <s v="Variable"/>
    <x v="1"/>
    <s v="DFT"/>
    <m/>
    <n v="0"/>
    <n v="0"/>
    <n v="0"/>
    <n v="0"/>
    <n v="0"/>
    <m/>
  </r>
  <r>
    <x v="0"/>
    <s v="2026 Apr"/>
    <x v="0"/>
    <x v="0"/>
    <x v="2"/>
    <m/>
    <m/>
    <x v="1"/>
    <s v="3P"/>
    <x v="4"/>
    <s v="VCC"/>
    <n v="0"/>
    <n v="0"/>
    <n v="0"/>
    <n v="0"/>
    <n v="0"/>
    <n v="0"/>
    <n v="924"/>
    <x v="2"/>
    <s v="Provision (Based on External Report)"/>
    <x v="0"/>
    <s v="Variable"/>
    <x v="1"/>
    <s v="DVT"/>
    <m/>
    <n v="0"/>
    <n v="0"/>
    <n v="0"/>
    <n v="0"/>
    <n v="0"/>
    <m/>
  </r>
  <r>
    <x v="0"/>
    <s v="2026 Apr"/>
    <x v="0"/>
    <x v="0"/>
    <x v="2"/>
    <m/>
    <m/>
    <x v="1"/>
    <s v="3P"/>
    <x v="5"/>
    <s v="Television"/>
    <n v="1447520.4860681114"/>
    <n v="0"/>
    <n v="1722549.3784210524"/>
    <n v="1566.5806126278262"/>
    <n v="0"/>
    <n v="1864.230929027113"/>
    <n v="924"/>
    <x v="2"/>
    <s v="Provision (Based on External Report)"/>
    <x v="0"/>
    <s v="Variable"/>
    <x v="1"/>
    <s v="GLT"/>
    <m/>
    <n v="0"/>
    <n v="0"/>
    <n v="0"/>
    <n v="0"/>
    <n v="0"/>
    <m/>
  </r>
  <r>
    <x v="0"/>
    <s v="2026 Apr"/>
    <x v="0"/>
    <x v="0"/>
    <x v="2"/>
    <m/>
    <m/>
    <x v="1"/>
    <s v="3P"/>
    <x v="6"/>
    <s v="Audio"/>
    <n v="247137.64396284829"/>
    <n v="0"/>
    <n v="294093.79631578946"/>
    <n v="267.46498264377522"/>
    <n v="0"/>
    <n v="318.2833293460925"/>
    <n v="924"/>
    <x v="2"/>
    <s v="Provision (Based on External Report)"/>
    <x v="0"/>
    <s v="Variable"/>
    <x v="1"/>
    <s v="PNT"/>
    <m/>
    <n v="0"/>
    <n v="0"/>
    <n v="0"/>
    <n v="0"/>
    <n v="0"/>
    <m/>
  </r>
  <r>
    <x v="0"/>
    <s v="2026 Apr"/>
    <x v="0"/>
    <x v="0"/>
    <x v="2"/>
    <m/>
    <m/>
    <x v="1"/>
    <s v="3P"/>
    <x v="7"/>
    <s v="Monitor"/>
    <n v="141221.51083591333"/>
    <n v="0"/>
    <n v="168053.59789473686"/>
    <n v="152.83713293930015"/>
    <n v="0"/>
    <n v="181.87618819776716"/>
    <n v="924"/>
    <x v="2"/>
    <s v="Provision (Based on External Report)"/>
    <x v="0"/>
    <s v="Variable"/>
    <x v="1"/>
    <s v="GTT"/>
    <m/>
    <n v="0"/>
    <n v="0"/>
    <n v="0"/>
    <n v="0"/>
    <n v="0"/>
    <m/>
  </r>
  <r>
    <x v="0"/>
    <s v="2026 Apr"/>
    <x v="0"/>
    <x v="0"/>
    <x v="2"/>
    <m/>
    <m/>
    <x v="1"/>
    <s v="3P"/>
    <x v="8"/>
    <s v="RAC"/>
    <n v="105916.13312693498"/>
    <n v="0"/>
    <n v="126040.19842105261"/>
    <n v="114.62784970447508"/>
    <n v="0"/>
    <n v="136.40714114832534"/>
    <n v="924"/>
    <x v="2"/>
    <s v="Provision (Based on External Report)"/>
    <x v="0"/>
    <s v="Variable"/>
    <x v="1"/>
    <s v="DGT"/>
    <m/>
    <n v="0"/>
    <n v="0"/>
    <n v="0"/>
    <n v="0"/>
    <n v="0"/>
    <m/>
  </r>
  <r>
    <x v="0"/>
    <s v="2026 Apr"/>
    <x v="0"/>
    <x v="0"/>
    <x v="2"/>
    <m/>
    <m/>
    <x v="1"/>
    <s v="3P"/>
    <x v="9"/>
    <s v="Air Cleaner"/>
    <n v="35305.377708978333"/>
    <n v="0"/>
    <n v="42013.399473684214"/>
    <n v="38.209283234825037"/>
    <n v="0"/>
    <n v="45.469047049441791"/>
    <n v="924"/>
    <x v="2"/>
    <s v="Provision (Based on External Report)"/>
    <x v="0"/>
    <s v="Variable"/>
    <x v="1"/>
    <s v="DLT"/>
    <m/>
    <n v="0"/>
    <n v="0"/>
    <n v="0"/>
    <n v="0"/>
    <n v="0"/>
    <m/>
  </r>
  <r>
    <x v="0"/>
    <s v="2026 Apr"/>
    <x v="0"/>
    <x v="0"/>
    <x v="2"/>
    <m/>
    <m/>
    <x v="1"/>
    <s v="3P"/>
    <x v="10"/>
    <s v="SAC"/>
    <n v="0"/>
    <n v="0"/>
    <n v="0"/>
    <n v="0"/>
    <n v="0"/>
    <n v="0"/>
    <n v="924"/>
    <x v="2"/>
    <s v="Provision (Based on External Report)"/>
    <x v="0"/>
    <s v="Variable"/>
    <x v="1"/>
    <s v="DMT"/>
    <m/>
    <n v="0"/>
    <n v="0"/>
    <n v="0"/>
    <n v="0"/>
    <n v="0"/>
    <m/>
  </r>
  <r>
    <x v="0"/>
    <s v="2026 Apr"/>
    <x v="0"/>
    <x v="0"/>
    <x v="2"/>
    <m/>
    <m/>
    <x v="1"/>
    <s v="3P"/>
    <x v="11"/>
    <s v="TOTAL"/>
    <n v="11403637.000000002"/>
    <n v="2166691.0300000003"/>
    <n v="13570328.030000001"/>
    <n v="12341.598484848488"/>
    <n v="2344.9037121212127"/>
    <n v="14686.502196969699"/>
    <n v="924"/>
    <x v="2"/>
    <s v="Provision (Based on External Report)"/>
    <x v="0"/>
    <s v="Variable"/>
    <x v="1"/>
    <s v="TOTAL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0"/>
    <s v="Refrigeration"/>
    <n v="4386097.151701197"/>
    <n v="0"/>
    <n v="5219455.6105244244"/>
    <n v="4752.0012477802784"/>
    <n v="0"/>
    <n v="5654.8814848585307"/>
    <n v="923"/>
    <x v="2"/>
    <s v="Provision (Based on External Report)"/>
    <x v="0"/>
    <s v="Variable"/>
    <x v="0"/>
    <s v="CN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1"/>
    <s v="Cooking"/>
    <n v="106612.12639544965"/>
    <n v="0"/>
    <n v="126868.43041058508"/>
    <n v="115.50609576971793"/>
    <n v="0"/>
    <n v="137.45225396596433"/>
    <n v="923"/>
    <x v="2"/>
    <s v="Provision (Based on External Report)"/>
    <x v="0"/>
    <s v="Variable"/>
    <x v="0"/>
    <s v="CV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2"/>
    <s v="Dishwasher"/>
    <n v="109759.65830688897"/>
    <n v="0"/>
    <n v="130613.99338519787"/>
    <n v="118.9162061829783"/>
    <n v="0"/>
    <n v="141.51028535774418"/>
    <n v="923"/>
    <x v="2"/>
    <s v="Provision (Based on External Report)"/>
    <x v="0"/>
    <s v="Variable"/>
    <x v="0"/>
    <s v="CD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3"/>
    <s v="WM"/>
    <n v="9147577.4149127286"/>
    <n v="0"/>
    <n v="10885617.123746147"/>
    <n v="9910.7014246075069"/>
    <n v="0"/>
    <n v="11793.734695282932"/>
    <n v="923"/>
    <x v="2"/>
    <s v="Provision (Based on External Report)"/>
    <x v="0"/>
    <s v="Variable"/>
    <x v="0"/>
    <s v="DF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4"/>
    <s v="VCC"/>
    <n v="0"/>
    <n v="0"/>
    <n v="0"/>
    <n v="0"/>
    <n v="0"/>
    <n v="0"/>
    <n v="923"/>
    <x v="2"/>
    <s v="Provision (Based on External Report)"/>
    <x v="0"/>
    <s v="Variable"/>
    <x v="0"/>
    <s v="DV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5"/>
    <s v="Television"/>
    <n v="5944270.2785713021"/>
    <n v="0"/>
    <n v="7073681.6314998493"/>
    <n v="6440.162815353523"/>
    <n v="0"/>
    <n v="7663.7937502706918"/>
    <n v="923"/>
    <x v="2"/>
    <s v="Provision (Based on External Report)"/>
    <x v="0"/>
    <s v="Variable"/>
    <x v="0"/>
    <s v="GL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6"/>
    <s v="Audio"/>
    <n v="644985.28714678006"/>
    <n v="0"/>
    <n v="767532.49170466827"/>
    <n v="698.79229376682565"/>
    <n v="0"/>
    <n v="831.56282958252245"/>
    <n v="923"/>
    <x v="2"/>
    <s v="Provision (Based on External Report)"/>
    <x v="0"/>
    <s v="Variable"/>
    <x v="0"/>
    <s v="PN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7"/>
    <s v="Monitor"/>
    <n v="395194.55455529626"/>
    <n v="0"/>
    <n v="470281.5199208025"/>
    <n v="428.16311436110107"/>
    <n v="0"/>
    <n v="509.51410608971025"/>
    <n v="923"/>
    <x v="2"/>
    <s v="Provision (Based on External Report)"/>
    <x v="0"/>
    <s v="Variable"/>
    <x v="0"/>
    <s v="GT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8"/>
    <s v="RAC"/>
    <n v="352083.61984921497"/>
    <n v="0"/>
    <n v="418979.50762056577"/>
    <n v="381.45570947910613"/>
    <n v="0"/>
    <n v="453.93229428013626"/>
    <n v="923"/>
    <x v="2"/>
    <s v="Provision (Based on External Report)"/>
    <x v="0"/>
    <s v="Variable"/>
    <x v="0"/>
    <s v="DG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9"/>
    <s v="Air Cleaner"/>
    <n v="79535.908561135089"/>
    <n v="0"/>
    <n v="94647.731187750745"/>
    <n v="86.171081864718403"/>
    <n v="0"/>
    <n v="102.5435874190149"/>
    <n v="923"/>
    <x v="2"/>
    <s v="Provision (Based on External Report)"/>
    <x v="0"/>
    <s v="Variable"/>
    <x v="0"/>
    <s v="DL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10"/>
    <s v="SAC"/>
    <n v="0"/>
    <n v="0"/>
    <n v="0"/>
    <n v="0"/>
    <n v="0"/>
    <n v="0"/>
    <n v="923"/>
    <x v="2"/>
    <s v="Provision (Based on External Report)"/>
    <x v="0"/>
    <s v="Variable"/>
    <x v="0"/>
    <s v="DMT"/>
    <m/>
    <n v="0"/>
    <n v="0"/>
    <n v="0"/>
    <n v="0"/>
    <n v="0"/>
    <m/>
  </r>
  <r>
    <x v="0"/>
    <s v="Nov-Dic 2025 / Jan-Feb 2026"/>
    <x v="1"/>
    <x v="0"/>
    <x v="1"/>
    <d v="2026-07-06T00:00:00"/>
    <n v="3825"/>
    <x v="1"/>
    <s v="3P"/>
    <x v="11"/>
    <s v="TOTAL"/>
    <n v="21166115.999999996"/>
    <n v="4021562.0399999996"/>
    <n v="25187678.039999995"/>
    <n v="22931.86998916576"/>
    <n v="4357.0552979414942"/>
    <n v="27288.925287107253"/>
    <n v="923"/>
    <x v="2"/>
    <s v="Provision (Based on External Report)"/>
    <x v="0"/>
    <s v="Variable"/>
    <x v="0"/>
    <s v="TOTAL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0"/>
    <s v="Refrigeration"/>
    <n v="2930386.9214732647"/>
    <n v="0"/>
    <n v="3487160.4365531849"/>
    <n v="3174.8504024629087"/>
    <n v="0"/>
    <n v="3778.0719789308614"/>
    <n v="923"/>
    <x v="2"/>
    <s v="Provision (Based on External Report)"/>
    <x v="0"/>
    <s v="Variable"/>
    <x v="0"/>
    <s v="CN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1"/>
    <s v="Cooking"/>
    <n v="71228.422457196764"/>
    <n v="0"/>
    <n v="84761.822724064143"/>
    <n v="77.17055520823051"/>
    <n v="0"/>
    <n v="91.832960697794306"/>
    <n v="923"/>
    <x v="2"/>
    <s v="Provision (Based on External Report)"/>
    <x v="0"/>
    <s v="Variable"/>
    <x v="0"/>
    <s v="CV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2"/>
    <s v="Dishwasher"/>
    <n v="73331.313941172237"/>
    <n v="0"/>
    <n v="87264.263589994953"/>
    <n v="79.4488775093957"/>
    <n v="0"/>
    <n v="94.544164236180876"/>
    <n v="923"/>
    <x v="2"/>
    <s v="Provision (Based on External Report)"/>
    <x v="0"/>
    <s v="Variable"/>
    <x v="0"/>
    <s v="CD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3"/>
    <s v="WM"/>
    <n v="6111570.3306816835"/>
    <n v="0"/>
    <n v="7272768.6935112029"/>
    <n v="6621.4196432087574"/>
    <n v="0"/>
    <n v="7879.4893754184213"/>
    <n v="923"/>
    <x v="2"/>
    <s v="Provision (Based on External Report)"/>
    <x v="0"/>
    <s v="Variable"/>
    <x v="0"/>
    <s v="DF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4"/>
    <s v="VCC"/>
    <n v="0"/>
    <n v="0"/>
    <n v="0"/>
    <n v="0"/>
    <n v="0"/>
    <n v="0"/>
    <n v="923"/>
    <x v="2"/>
    <s v="Provision (Based on External Report)"/>
    <x v="0"/>
    <s v="Variable"/>
    <x v="0"/>
    <s v="DV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5"/>
    <s v="Television"/>
    <n v="3971414.9686062983"/>
    <n v="0"/>
    <n v="4725983.8126414949"/>
    <n v="4302.7247763881887"/>
    <n v="0"/>
    <n v="5120.2424839019441"/>
    <n v="923"/>
    <x v="2"/>
    <s v="Provision (Based on External Report)"/>
    <x v="0"/>
    <s v="Variable"/>
    <x v="0"/>
    <s v="GL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6"/>
    <s v="Audio"/>
    <n v="430919.8781118021"/>
    <n v="0"/>
    <n v="512794.65495304449"/>
    <n v="466.86877368559271"/>
    <n v="0"/>
    <n v="555.57384068585532"/>
    <n v="923"/>
    <x v="2"/>
    <s v="Provision (Based on External Report)"/>
    <x v="0"/>
    <s v="Variable"/>
    <x v="0"/>
    <s v="PN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7"/>
    <s v="Monitor"/>
    <n v="264032.67279593227"/>
    <n v="0"/>
    <n v="314198.88062715938"/>
    <n v="286.05923379840982"/>
    <n v="0"/>
    <n v="340.41048822010765"/>
    <n v="923"/>
    <x v="2"/>
    <s v="Provision (Based on External Report)"/>
    <x v="0"/>
    <s v="Variable"/>
    <x v="0"/>
    <s v="GT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8"/>
    <s v="RAC"/>
    <n v="235229.90923056315"/>
    <n v="0"/>
    <n v="279923.59198437014"/>
    <n v="254.85363946973254"/>
    <n v="0"/>
    <n v="303.27583096898172"/>
    <n v="923"/>
    <x v="2"/>
    <s v="Provision (Based on External Report)"/>
    <x v="0"/>
    <s v="Variable"/>
    <x v="0"/>
    <s v="DG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9"/>
    <s v="Air Cleaner"/>
    <n v="53138.582702082764"/>
    <n v="0"/>
    <n v="63234.913415478484"/>
    <n v="57.571595560219677"/>
    <n v="0"/>
    <n v="68.510198716661407"/>
    <n v="923"/>
    <x v="2"/>
    <s v="Provision (Based on External Report)"/>
    <x v="0"/>
    <s v="Variable"/>
    <x v="0"/>
    <s v="DL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10"/>
    <s v="SAC"/>
    <n v="0"/>
    <n v="0"/>
    <n v="0"/>
    <n v="0"/>
    <n v="0"/>
    <n v="0"/>
    <n v="923"/>
    <x v="2"/>
    <s v="Provision (Based on External Report)"/>
    <x v="0"/>
    <s v="Variable"/>
    <x v="0"/>
    <s v="DMT"/>
    <m/>
    <n v="0"/>
    <n v="0"/>
    <n v="0"/>
    <n v="0"/>
    <n v="0"/>
    <m/>
  </r>
  <r>
    <x v="0"/>
    <s v="Nov-Dic 2025 / Jan-Feb 2026"/>
    <x v="1"/>
    <x v="0"/>
    <x v="1"/>
    <d v="2026-07-06T00:00:00"/>
    <n v="3826"/>
    <x v="1"/>
    <s v="3P"/>
    <x v="11"/>
    <s v="TOTAL"/>
    <n v="14141252.999999998"/>
    <n v="2686838.07"/>
    <n v="16828091.069999997"/>
    <n v="15320.967497291438"/>
    <n v="2910.9838244853731"/>
    <n v="18231.951321776811"/>
    <n v="923"/>
    <x v="2"/>
    <s v="Provision (Based on External Report)"/>
    <x v="0"/>
    <s v="Variable"/>
    <x v="0"/>
    <s v="TOTAL"/>
    <m/>
    <n v="0"/>
    <n v="0"/>
    <n v="0"/>
    <n v="0"/>
    <n v="0"/>
    <m/>
  </r>
  <r>
    <x v="0"/>
    <s v="May 27 to Jun 10"/>
    <x v="1"/>
    <x v="0"/>
    <x v="1"/>
    <d v="2026-07-15T00:00:00"/>
    <n v="3864"/>
    <x v="1"/>
    <s v="3P"/>
    <x v="0"/>
    <s v="Refrigeration"/>
    <n v="8616450.3716824111"/>
    <n v="0"/>
    <n v="10253575.942302069"/>
    <n v="9335.2658414760681"/>
    <n v="0"/>
    <n v="11108.966351356521"/>
    <n v="923"/>
    <x v="3"/>
    <s v="Provision (Based on External Report)"/>
    <x v="0"/>
    <s v="Variable"/>
    <x v="0"/>
    <s v="CNT"/>
    <n v="6586061.9820968052"/>
    <n v="0"/>
    <n v="7837413.7586951982"/>
    <n v="7135.495105196972"/>
    <n v="0"/>
    <n v="8491.239175184397"/>
    <m/>
  </r>
  <r>
    <x v="0"/>
    <s v="May 27 to Jun 10"/>
    <x v="1"/>
    <x v="0"/>
    <x v="1"/>
    <d v="2026-07-15T00:00:00"/>
    <n v="3864"/>
    <x v="1"/>
    <s v="3P"/>
    <x v="1"/>
    <s v="Cooking"/>
    <n v="209438.61121489928"/>
    <n v="0"/>
    <n v="249231.94734573015"/>
    <n v="226.91073804431124"/>
    <n v="0"/>
    <n v="270.0237782727304"/>
    <n v="923"/>
    <x v="3"/>
    <s v="Provision (Based on External Report)"/>
    <x v="0"/>
    <s v="Variable"/>
    <x v="0"/>
    <s v="CVT"/>
    <n v="160086.30183014341"/>
    <n v="0"/>
    <n v="190502.69917787064"/>
    <n v="173.44128042269057"/>
    <n v="0"/>
    <n v="206.39512370300176"/>
    <m/>
  </r>
  <r>
    <x v="0"/>
    <s v="May 27 to Jun 10"/>
    <x v="1"/>
    <x v="0"/>
    <x v="1"/>
    <d v="2026-07-15T00:00:00"/>
    <n v="3864"/>
    <x v="1"/>
    <s v="3P"/>
    <x v="2"/>
    <s v="Dishwasher"/>
    <n v="215621.91075665358"/>
    <n v="0"/>
    <n v="256590.07380041774"/>
    <n v="233.60987080894213"/>
    <n v="0"/>
    <n v="277.99574626264115"/>
    <n v="923"/>
    <x v="3"/>
    <s v="Provision (Based on External Report)"/>
    <x v="0"/>
    <s v="Variable"/>
    <x v="0"/>
    <s v="CDT"/>
    <n v="164812.56290972914"/>
    <n v="0"/>
    <n v="196126.94986257766"/>
    <n v="178.56182330414859"/>
    <n v="0"/>
    <n v="212.48856973193682"/>
    <m/>
  </r>
  <r>
    <x v="0"/>
    <s v="May 27 to Jun 10"/>
    <x v="1"/>
    <x v="0"/>
    <x v="1"/>
    <d v="2026-07-15T00:00:00"/>
    <n v="3864"/>
    <x v="1"/>
    <s v="3P"/>
    <x v="3"/>
    <s v="WM"/>
    <n v="17970337.657967135"/>
    <n v="0"/>
    <n v="21384701.81298089"/>
    <n v="19469.488253485521"/>
    <n v="0"/>
    <n v="23168.69102164777"/>
    <n v="923"/>
    <x v="3"/>
    <s v="Provision (Based on External Report)"/>
    <x v="0"/>
    <s v="Variable"/>
    <x v="0"/>
    <s v="DFT"/>
    <n v="13735790.557506647"/>
    <n v="0"/>
    <n v="16345590.763432909"/>
    <n v="14881.679910624753"/>
    <n v="0"/>
    <n v="17709.199093643456"/>
    <m/>
  </r>
  <r>
    <x v="0"/>
    <s v="May 27 to Jun 10"/>
    <x v="1"/>
    <x v="0"/>
    <x v="1"/>
    <d v="2026-07-15T00:00:00"/>
    <n v="3864"/>
    <x v="1"/>
    <s v="3P"/>
    <x v="4"/>
    <s v="VCC"/>
    <n v="0"/>
    <n v="0"/>
    <n v="0"/>
    <n v="0"/>
    <n v="0"/>
    <n v="0"/>
    <n v="923"/>
    <x v="3"/>
    <s v="Provision (Based on External Report)"/>
    <x v="0"/>
    <s v="Variable"/>
    <x v="0"/>
    <s v="DVT"/>
    <n v="0"/>
    <n v="0"/>
    <n v="0"/>
    <n v="0"/>
    <n v="0"/>
    <n v="0"/>
    <m/>
  </r>
  <r>
    <x v="0"/>
    <s v="May 27 to Jun 10"/>
    <x v="1"/>
    <x v="0"/>
    <x v="1"/>
    <d v="2026-07-15T00:00:00"/>
    <n v="3864"/>
    <x v="1"/>
    <s v="3P"/>
    <x v="5"/>
    <s v="Television"/>
    <n v="11677468.163538219"/>
    <n v="0"/>
    <n v="13896187.11461048"/>
    <n v="12651.644814234258"/>
    <n v="0"/>
    <n v="15055.457328938766"/>
    <n v="923"/>
    <x v="3"/>
    <s v="Provision (Based on External Report)"/>
    <x v="0"/>
    <s v="Variable"/>
    <x v="0"/>
    <s v="GLT"/>
    <n v="8925778.6909307111"/>
    <n v="0"/>
    <n v="10621676.642207546"/>
    <n v="9670.399448462309"/>
    <n v="0"/>
    <n v="11507.775343670148"/>
    <m/>
  </r>
  <r>
    <x v="0"/>
    <s v="May 27 to Jun 10"/>
    <x v="1"/>
    <x v="0"/>
    <x v="1"/>
    <d v="2026-07-15T00:00:00"/>
    <n v="3864"/>
    <x v="1"/>
    <s v="3P"/>
    <x v="6"/>
    <s v="Audio"/>
    <n v="1267068.0846661197"/>
    <n v="0"/>
    <n v="1507811.0207526824"/>
    <n v="1372.7714893457419"/>
    <n v="0"/>
    <n v="1633.5980723214327"/>
    <n v="923"/>
    <x v="3"/>
    <s v="Provision (Based on External Report)"/>
    <x v="0"/>
    <s v="Variable"/>
    <x v="0"/>
    <s v="PNT"/>
    <n v="968494.98124810064"/>
    <n v="0"/>
    <n v="1152509.0276852397"/>
    <n v="1049.2903372135436"/>
    <n v="0"/>
    <n v="1248.6555012841168"/>
    <m/>
  </r>
  <r>
    <x v="0"/>
    <s v="May 27 to Jun 10"/>
    <x v="1"/>
    <x v="0"/>
    <x v="1"/>
    <d v="2026-07-15T00:00:00"/>
    <n v="3864"/>
    <x v="1"/>
    <s v="3P"/>
    <x v="7"/>
    <s v="Monitor"/>
    <n v="776356.32515894261"/>
    <n v="0"/>
    <n v="923864.02693914168"/>
    <n v="841.12277915378399"/>
    <n v="0"/>
    <n v="1000.936107193003"/>
    <n v="923"/>
    <x v="3"/>
    <s v="Provision (Based on External Report)"/>
    <x v="0"/>
    <s v="Variable"/>
    <x v="0"/>
    <s v="GTT"/>
    <n v="593414.99772270257"/>
    <n v="0"/>
    <n v="706163.84729001601"/>
    <n v="642.9198241849432"/>
    <n v="0"/>
    <n v="765.07459078008242"/>
    <m/>
  </r>
  <r>
    <x v="0"/>
    <s v="May 27 to Jun 10"/>
    <x v="1"/>
    <x v="0"/>
    <x v="1"/>
    <d v="2026-07-15T00:00:00"/>
    <n v="3864"/>
    <x v="1"/>
    <s v="3P"/>
    <x v="8"/>
    <s v="RAC"/>
    <n v="691665.26234750578"/>
    <n v="0"/>
    <n v="823081.66219353187"/>
    <n v="749.36648141658259"/>
    <n v="0"/>
    <n v="891.74611288573328"/>
    <n v="923"/>
    <x v="3"/>
    <s v="Provision (Based on External Report)"/>
    <x v="0"/>
    <s v="Variable"/>
    <x v="0"/>
    <s v="DGT"/>
    <n v="528680.61582004593"/>
    <n v="0"/>
    <n v="629129.93282585463"/>
    <n v="572.78506589387428"/>
    <n v="0"/>
    <n v="681.61422841371041"/>
    <m/>
  </r>
  <r>
    <x v="0"/>
    <s v="May 27 to Jun 10"/>
    <x v="1"/>
    <x v="0"/>
    <x v="1"/>
    <d v="2026-07-15T00:00:00"/>
    <n v="3864"/>
    <x v="1"/>
    <s v="3P"/>
    <x v="9"/>
    <s v="Air Cleaner"/>
    <n v="156247.61266810575"/>
    <n v="0"/>
    <n v="185934.65907504584"/>
    <n v="169.28235391994122"/>
    <n v="0"/>
    <n v="201.44600116473003"/>
    <n v="923"/>
    <x v="3"/>
    <s v="Provision (Based on External Report)"/>
    <x v="0"/>
    <s v="Variable"/>
    <x v="0"/>
    <s v="DLT"/>
    <n v="119429.27971461981"/>
    <n v="0"/>
    <n v="142120.84286039756"/>
    <n v="129.39250239937141"/>
    <n v="0"/>
    <n v="153.97707785525196"/>
    <m/>
  </r>
  <r>
    <x v="0"/>
    <s v="May 27 to Jun 10"/>
    <x v="1"/>
    <x v="0"/>
    <x v="1"/>
    <d v="2026-07-15T00:00:00"/>
    <n v="3864"/>
    <x v="1"/>
    <s v="3P"/>
    <x v="10"/>
    <s v="SAC"/>
    <n v="0"/>
    <n v="0"/>
    <n v="0"/>
    <n v="0"/>
    <n v="0"/>
    <n v="0"/>
    <n v="923"/>
    <x v="3"/>
    <s v="Provision (Based on External Report)"/>
    <x v="0"/>
    <s v="Variable"/>
    <x v="0"/>
    <s v="DMT"/>
    <n v="0"/>
    <n v="0"/>
    <n v="0"/>
    <n v="0"/>
    <n v="0"/>
    <n v="0"/>
    <m/>
  </r>
  <r>
    <x v="0"/>
    <s v="May 27 to Jun 10"/>
    <x v="1"/>
    <x v="0"/>
    <x v="1"/>
    <d v="2026-07-15T00:00:00"/>
    <n v="3864"/>
    <x v="1"/>
    <s v="3P"/>
    <x v="11"/>
    <s v="TOTAL"/>
    <n v="41580653.999999993"/>
    <n v="7900324.2599999988"/>
    <n v="49480978.25999999"/>
    <n v="45049.462621885148"/>
    <n v="8559.3978981581786"/>
    <n v="53608.860520043323"/>
    <n v="923"/>
    <x v="3"/>
    <s v="Provision (Based on External Report)"/>
    <x v="0"/>
    <s v="Variable"/>
    <x v="0"/>
    <s v="TOTAL"/>
    <n v="31782549.96977951"/>
    <n v="6038684.4942581067"/>
    <n v="37821234.464037612"/>
    <n v="34433.965297702613"/>
    <n v="6542.4534065634962"/>
    <n v="40976.418704266107"/>
    <m/>
  </r>
  <r>
    <x v="0"/>
    <s v="Jun 10 to Jun 26"/>
    <x v="1"/>
    <x v="0"/>
    <x v="1"/>
    <d v="2026-07-15T00:00:00"/>
    <n v="3867"/>
    <x v="1"/>
    <s v="3P"/>
    <x v="0"/>
    <s v="Refrigeration"/>
    <n v="2811915.0640626037"/>
    <n v="0"/>
    <n v="3346178.9262344982"/>
    <n v="3046.495194000654"/>
    <n v="0"/>
    <n v="3625.329280860778"/>
    <n v="923"/>
    <x v="1"/>
    <s v="Provision (Based on PO, One View)"/>
    <x v="0"/>
    <s v="Variable"/>
    <x v="0"/>
    <s v="CN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1"/>
    <s v="Cooking"/>
    <n v="68348.746927969099"/>
    <n v="0"/>
    <n v="81335.00884428322"/>
    <n v="74.050646725860346"/>
    <n v="0"/>
    <n v="88.120269603773806"/>
    <n v="923"/>
    <x v="1"/>
    <s v="Provision (Based on PO, One View)"/>
    <x v="0"/>
    <s v="Variable"/>
    <x v="0"/>
    <s v="CV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2"/>
    <s v="Dishwasher"/>
    <n v="70366.62115425276"/>
    <n v="0"/>
    <n v="83736.279173560775"/>
    <n v="76.236859322050663"/>
    <n v="0"/>
    <n v="90.721862593240289"/>
    <n v="923"/>
    <x v="1"/>
    <s v="Provision (Based on PO, One View)"/>
    <x v="0"/>
    <s v="Variable"/>
    <x v="0"/>
    <s v="CD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3"/>
    <s v="WM"/>
    <n v="5864487.2293116683"/>
    <n v="0"/>
    <n v="6978739.8028808851"/>
    <n v="6353.7239754189259"/>
    <n v="0"/>
    <n v="7560.9315307485213"/>
    <n v="923"/>
    <x v="1"/>
    <s v="Provision (Based on PO, One View)"/>
    <x v="0"/>
    <s v="Variable"/>
    <x v="0"/>
    <s v="DF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4"/>
    <s v="VCC"/>
    <n v="0"/>
    <n v="0"/>
    <n v="0"/>
    <n v="0"/>
    <n v="0"/>
    <n v="0"/>
    <n v="923"/>
    <x v="1"/>
    <s v="Provision (Based on PO, One View)"/>
    <x v="0"/>
    <s v="Variable"/>
    <x v="0"/>
    <s v="DV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5"/>
    <s v="Television"/>
    <n v="3810855.6566493828"/>
    <n v="0"/>
    <n v="4534918.2314127656"/>
    <n v="4128.7710256222999"/>
    <n v="0"/>
    <n v="4913.2375204905366"/>
    <n v="923"/>
    <x v="1"/>
    <s v="Provision (Based on PO, One View)"/>
    <x v="0"/>
    <s v="Variable"/>
    <x v="0"/>
    <s v="GL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6"/>
    <s v="Audio"/>
    <n v="413498.32944838726"/>
    <n v="0"/>
    <n v="492063.01204358082"/>
    <n v="447.99385639045209"/>
    <n v="0"/>
    <n v="533.11268910463798"/>
    <n v="923"/>
    <x v="1"/>
    <s v="Provision (Based on PO, One View)"/>
    <x v="0"/>
    <s v="Variable"/>
    <x v="0"/>
    <s v="PN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7"/>
    <s v="Monitor"/>
    <n v="253358.16393363191"/>
    <n v="0"/>
    <n v="301496.21508102195"/>
    <n v="274.4942187796662"/>
    <n v="0"/>
    <n v="326.64812034780277"/>
    <n v="923"/>
    <x v="1"/>
    <s v="Provision (Based on PO, One View)"/>
    <x v="0"/>
    <s v="Variable"/>
    <x v="0"/>
    <s v="GT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8"/>
    <s v="RAC"/>
    <n v="225719.85987125357"/>
    <n v="0"/>
    <n v="268606.63324679172"/>
    <n v="244.550227379473"/>
    <n v="0"/>
    <n v="291.01477058157286"/>
    <n v="923"/>
    <x v="1"/>
    <s v="Provision (Based on PO, One View)"/>
    <x v="0"/>
    <s v="Variable"/>
    <x v="0"/>
    <s v="DG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9"/>
    <s v="Air Cleaner"/>
    <n v="50990.256640853717"/>
    <n v="0"/>
    <n v="60678.405402615921"/>
    <n v="55.244048364955276"/>
    <n v="0"/>
    <n v="65.740417554296769"/>
    <n v="923"/>
    <x v="1"/>
    <s v="Provision (Based on PO, One View)"/>
    <x v="0"/>
    <s v="Variable"/>
    <x v="0"/>
    <s v="DL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10"/>
    <s v="SAC"/>
    <n v="0"/>
    <n v="0"/>
    <n v="0"/>
    <n v="0"/>
    <n v="0"/>
    <n v="0"/>
    <n v="923"/>
    <x v="1"/>
    <s v="Provision (Based on PO, One View)"/>
    <x v="0"/>
    <s v="Variable"/>
    <x v="0"/>
    <s v="DMT"/>
    <m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11"/>
    <s v="TOTAL"/>
    <n v="13569539.928000001"/>
    <n v="2578212.5863200002"/>
    <n v="16147752.514320001"/>
    <n v="14701.560052004335"/>
    <n v="2793.2964098808238"/>
    <n v="17494.85646188516"/>
    <n v="923"/>
    <x v="1"/>
    <s v="Provision (Based on PO, One View)"/>
    <x v="0"/>
    <s v="Variable"/>
    <x v="0"/>
    <s v="TOTAL"/>
    <n v="0"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0"/>
    <s v="Refrigeration"/>
    <m/>
    <n v="0"/>
    <n v="0"/>
    <n v="0"/>
    <n v="0"/>
    <n v="0"/>
    <n v="923"/>
    <x v="1"/>
    <s v="Provision (Based on PO, One View)"/>
    <x v="0"/>
    <s v="Variable"/>
    <x v="0"/>
    <s v="CNT"/>
    <n v="2941240.1304139649"/>
    <n v="0"/>
    <n v="3500075.7551926179"/>
    <n v="3186.6090253672423"/>
    <n v="0"/>
    <n v="3792.0647401870183"/>
    <m/>
  </r>
  <r>
    <x v="0"/>
    <s v="Jun 10 to Jun 26"/>
    <x v="1"/>
    <x v="0"/>
    <x v="1"/>
    <d v="2026-07-15T00:00:00"/>
    <n v="3867"/>
    <x v="1"/>
    <s v="3P"/>
    <x v="1"/>
    <s v="Cooking"/>
    <m/>
    <n v="0"/>
    <n v="0"/>
    <n v="0"/>
    <n v="0"/>
    <n v="0"/>
    <n v="923"/>
    <x v="1"/>
    <s v="Provision (Based on PO, One View)"/>
    <x v="0"/>
    <s v="Variable"/>
    <x v="0"/>
    <s v="CVT"/>
    <n v="71492.22958306795"/>
    <n v="0"/>
    <n v="85075.753203850851"/>
    <n v="77.456370079163548"/>
    <n v="0"/>
    <n v="92.173080394204618"/>
    <m/>
  </r>
  <r>
    <x v="0"/>
    <s v="Jun 10 to Jun 26"/>
    <x v="1"/>
    <x v="0"/>
    <x v="1"/>
    <d v="2026-07-15T00:00:00"/>
    <n v="3867"/>
    <x v="1"/>
    <s v="3P"/>
    <x v="2"/>
    <s v="Dishwasher"/>
    <m/>
    <n v="0"/>
    <n v="0"/>
    <n v="0"/>
    <n v="0"/>
    <n v="0"/>
    <n v="923"/>
    <x v="1"/>
    <s v="Provision (Based on PO, One View)"/>
    <x v="0"/>
    <s v="Variable"/>
    <x v="0"/>
    <s v="CDT"/>
    <n v="73602.909499515605"/>
    <n v="0"/>
    <n v="87587.462304423563"/>
    <n v="79.743130552021242"/>
    <n v="0"/>
    <n v="94.89432535690527"/>
    <m/>
  </r>
  <r>
    <x v="0"/>
    <s v="Jun 10 to Jun 26"/>
    <x v="1"/>
    <x v="0"/>
    <x v="1"/>
    <d v="2026-07-15T00:00:00"/>
    <n v="3867"/>
    <x v="1"/>
    <s v="3P"/>
    <x v="3"/>
    <s v="WM"/>
    <m/>
    <n v="0"/>
    <n v="0"/>
    <n v="0"/>
    <n v="0"/>
    <n v="0"/>
    <n v="923"/>
    <x v="1"/>
    <s v="Provision (Based on PO, One View)"/>
    <x v="0"/>
    <s v="Variable"/>
    <x v="0"/>
    <s v="DFT"/>
    <n v="6134205.6179431099"/>
    <n v="0"/>
    <n v="7299704.6853523003"/>
    <n v="6645.9432480423729"/>
    <n v="0"/>
    <n v="7908.6724651704235"/>
    <m/>
  </r>
  <r>
    <x v="0"/>
    <s v="Jun 10 to Jun 26"/>
    <x v="1"/>
    <x v="0"/>
    <x v="1"/>
    <d v="2026-07-15T00:00:00"/>
    <n v="3867"/>
    <x v="1"/>
    <s v="3P"/>
    <x v="4"/>
    <s v="VCC"/>
    <m/>
    <n v="0"/>
    <n v="0"/>
    <n v="0"/>
    <n v="0"/>
    <n v="0"/>
    <n v="923"/>
    <x v="1"/>
    <s v="Provision (Based on PO, One View)"/>
    <x v="0"/>
    <s v="Variable"/>
    <x v="0"/>
    <s v="DVT"/>
    <n v="0"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5"/>
    <s v="Television"/>
    <m/>
    <n v="0"/>
    <n v="0"/>
    <n v="0"/>
    <n v="0"/>
    <n v="0"/>
    <n v="923"/>
    <x v="1"/>
    <s v="Provision (Based on PO, One View)"/>
    <x v="0"/>
    <s v="Variable"/>
    <x v="0"/>
    <s v="GLT"/>
    <n v="3986123.8099980815"/>
    <n v="0"/>
    <n v="4743487.3338977164"/>
    <n v="4318.6606825548015"/>
    <n v="0"/>
    <n v="5139.206212240214"/>
    <m/>
  </r>
  <r>
    <x v="0"/>
    <s v="Jun 10 to Jun 26"/>
    <x v="1"/>
    <x v="0"/>
    <x v="1"/>
    <d v="2026-07-15T00:00:00"/>
    <n v="3867"/>
    <x v="1"/>
    <s v="3P"/>
    <x v="6"/>
    <s v="Audio"/>
    <m/>
    <n v="0"/>
    <n v="0"/>
    <n v="0"/>
    <n v="0"/>
    <n v="0"/>
    <n v="923"/>
    <x v="1"/>
    <s v="Provision (Based on PO, One View)"/>
    <x v="0"/>
    <s v="Variable"/>
    <x v="0"/>
    <s v="PNT"/>
    <n v="432515.86649121274"/>
    <n v="0"/>
    <n v="514693.88112454314"/>
    <n v="468.59790519091302"/>
    <n v="0"/>
    <n v="557.63150717718645"/>
    <m/>
  </r>
  <r>
    <x v="0"/>
    <s v="Jun 10 to Jun 26"/>
    <x v="1"/>
    <x v="0"/>
    <x v="1"/>
    <d v="2026-07-15T00:00:00"/>
    <n v="3867"/>
    <x v="1"/>
    <s v="3P"/>
    <x v="7"/>
    <s v="Monitor"/>
    <m/>
    <n v="0"/>
    <n v="0"/>
    <n v="0"/>
    <n v="0"/>
    <n v="0"/>
    <n v="923"/>
    <x v="1"/>
    <s v="Provision (Based on PO, One View)"/>
    <x v="0"/>
    <s v="Variable"/>
    <x v="0"/>
    <s v="GTT"/>
    <n v="265010.56474051718"/>
    <n v="0"/>
    <n v="315362.57204121543"/>
    <n v="287.11870502764589"/>
    <n v="0"/>
    <n v="341.67125898289856"/>
    <m/>
  </r>
  <r>
    <x v="0"/>
    <s v="Jun 10 to Jun 26"/>
    <x v="1"/>
    <x v="0"/>
    <x v="1"/>
    <d v="2026-07-15T00:00:00"/>
    <n v="3867"/>
    <x v="1"/>
    <s v="3P"/>
    <x v="8"/>
    <s v="RAC"/>
    <m/>
    <n v="0"/>
    <n v="0"/>
    <n v="0"/>
    <n v="0"/>
    <n v="0"/>
    <n v="923"/>
    <x v="1"/>
    <s v="Provision (Based on PO, One View)"/>
    <x v="0"/>
    <s v="Variable"/>
    <x v="0"/>
    <s v="DGT"/>
    <n v="236101.12501960227"/>
    <n v="0"/>
    <n v="280960.33877332672"/>
    <n v="255.79753523250517"/>
    <n v="0"/>
    <n v="304.39906692668114"/>
    <m/>
  </r>
  <r>
    <x v="0"/>
    <s v="Jun 10 to Jun 26"/>
    <x v="1"/>
    <x v="0"/>
    <x v="1"/>
    <d v="2026-07-15T00:00:00"/>
    <n v="3867"/>
    <x v="1"/>
    <s v="3P"/>
    <x v="9"/>
    <s v="Air Cleaner"/>
    <m/>
    <n v="0"/>
    <n v="0"/>
    <n v="0"/>
    <n v="0"/>
    <n v="0"/>
    <n v="923"/>
    <x v="1"/>
    <s v="Provision (Based on PO, One View)"/>
    <x v="0"/>
    <s v="Variable"/>
    <x v="0"/>
    <s v="DLT"/>
    <n v="53335.390890329931"/>
    <n v="0"/>
    <n v="63469.115159492612"/>
    <n v="57.784822199707399"/>
    <n v="0"/>
    <n v="68.763938417651801"/>
    <m/>
  </r>
  <r>
    <x v="0"/>
    <s v="Jun 10 to Jun 26"/>
    <x v="1"/>
    <x v="0"/>
    <x v="1"/>
    <d v="2026-07-15T00:00:00"/>
    <n v="3867"/>
    <x v="1"/>
    <s v="3P"/>
    <x v="10"/>
    <s v="SAC"/>
    <m/>
    <n v="0"/>
    <n v="0"/>
    <n v="0"/>
    <n v="0"/>
    <n v="0"/>
    <n v="923"/>
    <x v="1"/>
    <s v="Provision (Based on PO, One View)"/>
    <x v="0"/>
    <s v="Variable"/>
    <x v="0"/>
    <s v="DMT"/>
    <n v="0"/>
    <n v="0"/>
    <n v="0"/>
    <n v="0"/>
    <n v="0"/>
    <n v="0"/>
    <m/>
  </r>
  <r>
    <x v="0"/>
    <s v="Jun 10 to Jun 26"/>
    <x v="1"/>
    <x v="0"/>
    <x v="1"/>
    <d v="2026-07-15T00:00:00"/>
    <n v="3867"/>
    <x v="1"/>
    <s v="3P"/>
    <x v="11"/>
    <s v="TOTAL"/>
    <n v="0"/>
    <n v="0"/>
    <n v="0"/>
    <n v="0"/>
    <n v="0"/>
    <n v="0"/>
    <n v="923"/>
    <x v="1"/>
    <s v="Provision (Based on PO, One View)"/>
    <x v="0"/>
    <s v="Variable"/>
    <x v="0"/>
    <s v="TOTAL"/>
    <n v="14193627.644579403"/>
    <n v="2696789.2524700868"/>
    <n v="16890416.89704949"/>
    <n v="15377.711424246374"/>
    <n v="2921.7651706068109"/>
    <n v="18299.476594853186"/>
    <m/>
  </r>
  <r>
    <x v="0"/>
    <s v="Jun27 to Jul15"/>
    <x v="0"/>
    <x v="0"/>
    <x v="2"/>
    <m/>
    <m/>
    <x v="1"/>
    <s v="3P"/>
    <x v="0"/>
    <s v="Refrigeration"/>
    <n v="4169389.651475904"/>
    <n v="0"/>
    <n v="4961573.6852563256"/>
    <n v="4512.3264626362597"/>
    <n v="0"/>
    <n v="5369.6684905371485"/>
    <n v="924"/>
    <x v="3"/>
    <s v="Provision (Based on PO, One View)"/>
    <x v="0"/>
    <s v="Variable"/>
    <x v="1"/>
    <s v="CNT"/>
    <m/>
    <n v="0"/>
    <n v="0"/>
    <n v="0"/>
    <n v="0"/>
    <n v="0"/>
    <m/>
  </r>
  <r>
    <x v="0"/>
    <s v="Jun27 to Jul15"/>
    <x v="0"/>
    <x v="0"/>
    <x v="2"/>
    <m/>
    <m/>
    <x v="1"/>
    <s v="3P"/>
    <x v="1"/>
    <s v="Cooking"/>
    <n v="0"/>
    <n v="0"/>
    <n v="0"/>
    <n v="0"/>
    <n v="0"/>
    <n v="0"/>
    <n v="924"/>
    <x v="3"/>
    <s v="Provision (Based on PO, One View)"/>
    <x v="0"/>
    <s v="Variable"/>
    <x v="1"/>
    <s v="CVT"/>
    <m/>
    <n v="0"/>
    <n v="0"/>
    <n v="0"/>
    <n v="0"/>
    <n v="0"/>
    <m/>
  </r>
  <r>
    <x v="0"/>
    <s v="Jun27 to Jul15"/>
    <x v="0"/>
    <x v="0"/>
    <x v="2"/>
    <m/>
    <m/>
    <x v="1"/>
    <s v="3P"/>
    <x v="2"/>
    <s v="Dishwasher"/>
    <n v="53453.713480460305"/>
    <n v="0"/>
    <n v="63609.919041747758"/>
    <n v="57.850339264567431"/>
    <n v="0"/>
    <n v="68.841903724835234"/>
    <n v="924"/>
    <x v="3"/>
    <s v="Provision (Based on PO, One View)"/>
    <x v="0"/>
    <s v="Variable"/>
    <x v="1"/>
    <s v="CDT"/>
    <m/>
    <n v="0"/>
    <n v="0"/>
    <n v="0"/>
    <n v="0"/>
    <n v="0"/>
    <m/>
  </r>
  <r>
    <x v="0"/>
    <s v="Jun27 to Jul15"/>
    <x v="0"/>
    <x v="0"/>
    <x v="2"/>
    <m/>
    <m/>
    <x v="1"/>
    <s v="3P"/>
    <x v="3"/>
    <s v="WM"/>
    <n v="10049298.134326536"/>
    <n v="0"/>
    <n v="11958664.779848577"/>
    <n v="10875.863781738675"/>
    <n v="0"/>
    <n v="12942.277900269022"/>
    <n v="924"/>
    <x v="3"/>
    <s v="Provision (Based on PO, One View)"/>
    <x v="0"/>
    <s v="Variable"/>
    <x v="1"/>
    <s v="DFT"/>
    <m/>
    <n v="0"/>
    <n v="0"/>
    <n v="0"/>
    <n v="0"/>
    <n v="0"/>
    <m/>
  </r>
  <r>
    <x v="0"/>
    <s v="Jun27 to Jul15"/>
    <x v="0"/>
    <x v="0"/>
    <x v="2"/>
    <m/>
    <m/>
    <x v="1"/>
    <s v="3P"/>
    <x v="4"/>
    <s v="VCC"/>
    <n v="0"/>
    <n v="0"/>
    <n v="0"/>
    <n v="0"/>
    <n v="0"/>
    <n v="0"/>
    <n v="924"/>
    <x v="3"/>
    <s v="Provision (Based on PO, One View)"/>
    <x v="0"/>
    <s v="Variable"/>
    <x v="1"/>
    <s v="DVT"/>
    <m/>
    <n v="0"/>
    <n v="0"/>
    <n v="0"/>
    <n v="0"/>
    <n v="0"/>
    <m/>
  </r>
  <r>
    <x v="0"/>
    <s v="Jun27 to Jul15"/>
    <x v="0"/>
    <x v="0"/>
    <x v="2"/>
    <m/>
    <m/>
    <x v="1"/>
    <s v="3P"/>
    <x v="5"/>
    <s v="Television"/>
    <n v="2191602.2526988722"/>
    <n v="0"/>
    <n v="2608006.6807116577"/>
    <n v="2371.8639098472645"/>
    <n v="0"/>
    <n v="2822.5180527182447"/>
    <n v="924"/>
    <x v="3"/>
    <s v="Provision (Based on PO, One View)"/>
    <x v="0"/>
    <s v="Variable"/>
    <x v="1"/>
    <s v="GLT"/>
    <m/>
    <n v="0"/>
    <n v="0"/>
    <n v="0"/>
    <n v="0"/>
    <n v="0"/>
    <m/>
  </r>
  <r>
    <x v="0"/>
    <s v="Jun27 to Jul15"/>
    <x v="0"/>
    <x v="0"/>
    <x v="2"/>
    <m/>
    <m/>
    <x v="1"/>
    <s v="3P"/>
    <x v="6"/>
    <s v="Audio"/>
    <n v="374175.99436322215"/>
    <n v="0"/>
    <n v="445269.43329223432"/>
    <n v="404.95237485197202"/>
    <n v="0"/>
    <n v="481.89332607384671"/>
    <n v="924"/>
    <x v="3"/>
    <s v="Provision (Based on PO, One View)"/>
    <x v="0"/>
    <s v="Variable"/>
    <x v="1"/>
    <s v="PNT"/>
    <m/>
    <n v="0"/>
    <n v="0"/>
    <n v="0"/>
    <n v="0"/>
    <n v="0"/>
    <m/>
  </r>
  <r>
    <x v="0"/>
    <s v="Jun27 to Jul15"/>
    <x v="0"/>
    <x v="0"/>
    <x v="2"/>
    <m/>
    <m/>
    <x v="1"/>
    <s v="3P"/>
    <x v="7"/>
    <s v="Monitor"/>
    <n v="213814.85392184122"/>
    <n v="0"/>
    <n v="254439.67616699103"/>
    <n v="231.40135705826972"/>
    <n v="0"/>
    <n v="275.36761489934094"/>
    <n v="924"/>
    <x v="3"/>
    <s v="Provision (Based on PO, One View)"/>
    <x v="0"/>
    <s v="Variable"/>
    <x v="1"/>
    <s v="GTT"/>
    <m/>
    <n v="0"/>
    <n v="0"/>
    <n v="0"/>
    <n v="0"/>
    <n v="0"/>
    <m/>
  </r>
  <r>
    <x v="0"/>
    <s v="Jun27 to Jul15"/>
    <x v="0"/>
    <x v="0"/>
    <x v="2"/>
    <m/>
    <m/>
    <x v="1"/>
    <s v="3P"/>
    <x v="8"/>
    <s v="RAC"/>
    <n v="160361.14044138091"/>
    <n v="0"/>
    <n v="190829.75712524328"/>
    <n v="173.55101779370227"/>
    <n v="0"/>
    <n v="206.52571117450569"/>
    <n v="924"/>
    <x v="3"/>
    <s v="Provision (Based on PO, One View)"/>
    <x v="0"/>
    <s v="Variable"/>
    <x v="1"/>
    <s v="DGT"/>
    <m/>
    <n v="0"/>
    <n v="0"/>
    <n v="0"/>
    <n v="0"/>
    <n v="0"/>
    <m/>
  </r>
  <r>
    <x v="0"/>
    <s v="Jun27 to Jul15"/>
    <x v="0"/>
    <x v="0"/>
    <x v="2"/>
    <m/>
    <m/>
    <x v="1"/>
    <s v="3P"/>
    <x v="9"/>
    <s v="Air Cleaner"/>
    <n v="53453.713480460305"/>
    <n v="0"/>
    <n v="63609.919041747758"/>
    <n v="57.850339264567431"/>
    <n v="0"/>
    <n v="68.841903724835234"/>
    <n v="924"/>
    <x v="3"/>
    <s v="Provision (Based on PO, One View)"/>
    <x v="0"/>
    <s v="Variable"/>
    <x v="1"/>
    <s v="DLT"/>
    <m/>
    <n v="0"/>
    <n v="0"/>
    <n v="0"/>
    <n v="0"/>
    <n v="0"/>
    <m/>
  </r>
  <r>
    <x v="0"/>
    <s v="Jun27 to Jul15"/>
    <x v="0"/>
    <x v="0"/>
    <x v="2"/>
    <m/>
    <m/>
    <x v="1"/>
    <s v="3P"/>
    <x v="10"/>
    <s v="SAC"/>
    <n v="0"/>
    <n v="0"/>
    <n v="0"/>
    <n v="0"/>
    <n v="0"/>
    <n v="0"/>
    <n v="924"/>
    <x v="3"/>
    <s v="Provision (Based on PO, One View)"/>
    <x v="0"/>
    <s v="Variable"/>
    <x v="1"/>
    <s v="DMT"/>
    <m/>
    <n v="0"/>
    <n v="0"/>
    <n v="0"/>
    <n v="0"/>
    <n v="0"/>
    <m/>
  </r>
  <r>
    <x v="0"/>
    <s v="Jun27 to Jul15"/>
    <x v="0"/>
    <x v="0"/>
    <x v="2"/>
    <m/>
    <m/>
    <x v="1"/>
    <s v="3P"/>
    <x v="11"/>
    <s v="TOTAL"/>
    <n v="17265549.454188678"/>
    <n v="3280454.3962958488"/>
    <n v="20546003.850484528"/>
    <n v="18685.659582455279"/>
    <n v="3550.2753206665029"/>
    <n v="22235.934903121779"/>
    <n v="924"/>
    <x v="3"/>
    <s v="Provision (Based on PO, One View)"/>
    <x v="0"/>
    <s v="Variable"/>
    <x v="1"/>
    <s v="TOTAL"/>
    <m/>
    <n v="0"/>
    <n v="0"/>
    <n v="0"/>
    <n v="0"/>
    <n v="0"/>
    <m/>
  </r>
  <r>
    <x v="0"/>
    <s v="Jul16 to Jul31"/>
    <x v="0"/>
    <x v="0"/>
    <x v="2"/>
    <m/>
    <m/>
    <x v="1"/>
    <s v="3P"/>
    <x v="0"/>
    <s v="Refrigeration"/>
    <n v="4054902.2436003112"/>
    <n v="0"/>
    <n v="4825333.6698843697"/>
    <n v="4388.4223415587785"/>
    <n v="0"/>
    <n v="5222.2225864549464"/>
    <n v="924"/>
    <x v="1"/>
    <s v="Provision (Based on PO, One View)"/>
    <x v="0"/>
    <s v="Variable"/>
    <x v="1"/>
    <s v="CNT"/>
    <m/>
    <n v="0"/>
    <n v="0"/>
    <n v="0"/>
    <n v="0"/>
    <n v="0"/>
    <m/>
  </r>
  <r>
    <x v="0"/>
    <s v="Jul16 to Jul31"/>
    <x v="0"/>
    <x v="0"/>
    <x v="2"/>
    <m/>
    <m/>
    <x v="1"/>
    <s v="3P"/>
    <x v="1"/>
    <s v="Cooking"/>
    <n v="0"/>
    <n v="0"/>
    <n v="0"/>
    <n v="0"/>
    <n v="0"/>
    <n v="0"/>
    <n v="924"/>
    <x v="1"/>
    <s v="Provision (Based on PO, One View)"/>
    <x v="0"/>
    <s v="Variable"/>
    <x v="1"/>
    <s v="CVT"/>
    <m/>
    <n v="0"/>
    <n v="0"/>
    <n v="0"/>
    <n v="0"/>
    <n v="0"/>
    <m/>
  </r>
  <r>
    <x v="0"/>
    <s v="Jul16 to Jul31"/>
    <x v="0"/>
    <x v="0"/>
    <x v="2"/>
    <m/>
    <m/>
    <x v="1"/>
    <s v="3P"/>
    <x v="2"/>
    <s v="Dishwasher"/>
    <n v="51985.926200003989"/>
    <n v="0"/>
    <n v="61863.252178004746"/>
    <n v="56.261824891779206"/>
    <n v="0"/>
    <n v="66.951571621217255"/>
    <n v="924"/>
    <x v="1"/>
    <s v="Provision (Based on PO, One View)"/>
    <x v="0"/>
    <s v="Variable"/>
    <x v="1"/>
    <s v="CDT"/>
    <m/>
    <n v="0"/>
    <n v="0"/>
    <n v="0"/>
    <n v="0"/>
    <n v="0"/>
    <m/>
  </r>
  <r>
    <x v="0"/>
    <s v="Jul16 to Jul31"/>
    <x v="0"/>
    <x v="0"/>
    <x v="2"/>
    <m/>
    <m/>
    <x v="1"/>
    <s v="3P"/>
    <x v="3"/>
    <s v="WM"/>
    <n v="9773354.1256007496"/>
    <n v="0"/>
    <n v="11630291.409464892"/>
    <n v="10577.223079654492"/>
    <n v="0"/>
    <n v="12586.895464788844"/>
    <n v="924"/>
    <x v="1"/>
    <s v="Provision (Based on PO, One View)"/>
    <x v="0"/>
    <s v="Variable"/>
    <x v="1"/>
    <s v="DFT"/>
    <m/>
    <n v="0"/>
    <n v="0"/>
    <n v="0"/>
    <n v="0"/>
    <n v="0"/>
    <m/>
  </r>
  <r>
    <x v="0"/>
    <s v="Jul16 to Jul31"/>
    <x v="0"/>
    <x v="0"/>
    <x v="2"/>
    <m/>
    <m/>
    <x v="1"/>
    <s v="3P"/>
    <x v="4"/>
    <s v="VCC"/>
    <n v="0"/>
    <n v="0"/>
    <n v="0"/>
    <n v="0"/>
    <n v="0"/>
    <n v="0"/>
    <n v="924"/>
    <x v="1"/>
    <s v="Provision (Based on PO, One View)"/>
    <x v="0"/>
    <s v="Variable"/>
    <x v="1"/>
    <s v="DVT"/>
    <m/>
    <n v="0"/>
    <n v="0"/>
    <n v="0"/>
    <n v="0"/>
    <n v="0"/>
    <m/>
  </r>
  <r>
    <x v="0"/>
    <s v="Jul16 to Jul31"/>
    <x v="0"/>
    <x v="0"/>
    <x v="2"/>
    <m/>
    <m/>
    <x v="1"/>
    <s v="3P"/>
    <x v="5"/>
    <s v="Television"/>
    <n v="2131422.9742001635"/>
    <n v="0"/>
    <n v="2536393.3392981943"/>
    <n v="2306.7348205629473"/>
    <n v="0"/>
    <n v="2745.0144364699072"/>
    <n v="924"/>
    <x v="1"/>
    <s v="Provision (Based on PO, One View)"/>
    <x v="0"/>
    <s v="Variable"/>
    <x v="1"/>
    <s v="GLT"/>
    <m/>
    <n v="0"/>
    <n v="0"/>
    <n v="0"/>
    <n v="0"/>
    <n v="0"/>
    <m/>
  </r>
  <r>
    <x v="0"/>
    <s v="Jul16 to Jul31"/>
    <x v="0"/>
    <x v="0"/>
    <x v="2"/>
    <m/>
    <m/>
    <x v="1"/>
    <s v="3P"/>
    <x v="6"/>
    <s v="Audio"/>
    <n v="363901.48340002791"/>
    <n v="0"/>
    <n v="433042.7652460332"/>
    <n v="393.83277424245443"/>
    <n v="0"/>
    <n v="468.66100134852076"/>
    <n v="924"/>
    <x v="1"/>
    <s v="Provision (Based on PO, One View)"/>
    <x v="0"/>
    <s v="Variable"/>
    <x v="1"/>
    <s v="PNT"/>
    <m/>
    <n v="0"/>
    <n v="0"/>
    <n v="0"/>
    <n v="0"/>
    <n v="0"/>
    <m/>
  </r>
  <r>
    <x v="0"/>
    <s v="Jul16 to Jul31"/>
    <x v="0"/>
    <x v="0"/>
    <x v="2"/>
    <m/>
    <m/>
    <x v="1"/>
    <s v="3P"/>
    <x v="7"/>
    <s v="Monitor"/>
    <n v="207943.70480001596"/>
    <n v="0"/>
    <n v="247453.00871201899"/>
    <n v="225.04729956711682"/>
    <n v="0"/>
    <n v="267.80628648486902"/>
    <n v="924"/>
    <x v="1"/>
    <s v="Provision (Based on PO, One View)"/>
    <x v="0"/>
    <s v="Variable"/>
    <x v="1"/>
    <s v="GTT"/>
    <m/>
    <n v="0"/>
    <n v="0"/>
    <n v="0"/>
    <n v="0"/>
    <n v="0"/>
    <m/>
  </r>
  <r>
    <x v="0"/>
    <s v="Jul16 to Jul31"/>
    <x v="0"/>
    <x v="0"/>
    <x v="2"/>
    <m/>
    <m/>
    <x v="1"/>
    <s v="3P"/>
    <x v="8"/>
    <s v="RAC"/>
    <n v="155957.77860001195"/>
    <n v="0"/>
    <n v="185589.75653401422"/>
    <n v="168.78547467533761"/>
    <n v="0"/>
    <n v="200.85471486365174"/>
    <n v="924"/>
    <x v="1"/>
    <s v="Provision (Based on PO, One View)"/>
    <x v="0"/>
    <s v="Variable"/>
    <x v="1"/>
    <s v="DGT"/>
    <m/>
    <n v="0"/>
    <n v="0"/>
    <n v="0"/>
    <n v="0"/>
    <n v="0"/>
    <m/>
  </r>
  <r>
    <x v="0"/>
    <s v="Jul16 to Jul31"/>
    <x v="0"/>
    <x v="0"/>
    <x v="2"/>
    <m/>
    <m/>
    <x v="1"/>
    <s v="3P"/>
    <x v="9"/>
    <s v="Air Cleaner"/>
    <n v="51985.926200003989"/>
    <n v="0"/>
    <n v="61863.252178004746"/>
    <n v="56.261824891779206"/>
    <n v="0"/>
    <n v="66.951571621217255"/>
    <n v="924"/>
    <x v="1"/>
    <s v="Provision (Based on PO, One View)"/>
    <x v="0"/>
    <s v="Variable"/>
    <x v="1"/>
    <s v="DLT"/>
    <m/>
    <n v="0"/>
    <n v="0"/>
    <n v="0"/>
    <n v="0"/>
    <n v="0"/>
    <m/>
  </r>
  <r>
    <x v="0"/>
    <s v="Jul16 to Jul31"/>
    <x v="0"/>
    <x v="0"/>
    <x v="2"/>
    <m/>
    <m/>
    <x v="1"/>
    <s v="3P"/>
    <x v="10"/>
    <s v="SAC"/>
    <n v="0"/>
    <n v="0"/>
    <n v="0"/>
    <n v="0"/>
    <n v="0"/>
    <n v="0"/>
    <n v="924"/>
    <x v="1"/>
    <s v="Provision (Based on PO, One View)"/>
    <x v="0"/>
    <s v="Variable"/>
    <x v="1"/>
    <s v="DMT"/>
    <m/>
    <n v="0"/>
    <n v="0"/>
    <n v="0"/>
    <n v="0"/>
    <n v="0"/>
    <m/>
  </r>
  <r>
    <x v="0"/>
    <s v="Jul16 to Jul31"/>
    <x v="0"/>
    <x v="0"/>
    <x v="2"/>
    <m/>
    <m/>
    <x v="1"/>
    <s v="3P"/>
    <x v="11"/>
    <s v="TOTAL"/>
    <n v="16791454.162601285"/>
    <n v="3190376.2908942443"/>
    <n v="19981830.453495529"/>
    <n v="18172.569440044681"/>
    <n v="3452.7881936084896"/>
    <n v="21625.35763365317"/>
    <n v="924"/>
    <x v="1"/>
    <s v="Provision (Based on PO, One View)"/>
    <x v="0"/>
    <s v="Variable"/>
    <x v="1"/>
    <s v="TOTAL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0"/>
    <s v="Refrigeration"/>
    <n v="1325228.2175812337"/>
    <n v="0"/>
    <n v="1577021.578921668"/>
    <n v="1487.3492902146281"/>
    <n v="0"/>
    <n v="1769.9456553554073"/>
    <n v="891"/>
    <x v="1"/>
    <s v="Provision (Based on PO, One View)"/>
    <x v="0"/>
    <s v="Variable"/>
    <x v="0"/>
    <s v="CN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1"/>
    <s v="Cooking"/>
    <n v="50387.812733799146"/>
    <n v="0"/>
    <n v="59961.497153220982"/>
    <n v="56.551978376878949"/>
    <n v="0"/>
    <n v="67.296854268485944"/>
    <n v="891"/>
    <x v="1"/>
    <s v="Provision (Based on PO, One View)"/>
    <x v="0"/>
    <s v="Variable"/>
    <x v="0"/>
    <s v="CV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2"/>
    <s v="Dishwasher"/>
    <n v="0"/>
    <n v="0"/>
    <n v="0"/>
    <n v="0"/>
    <n v="0"/>
    <n v="0"/>
    <n v="891"/>
    <x v="1"/>
    <s v="Provision (Based on PO, One View)"/>
    <x v="0"/>
    <s v="Variable"/>
    <x v="0"/>
    <s v="CD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3"/>
    <s v="WM"/>
    <n v="3665967.1340406328"/>
    <n v="0"/>
    <n v="4362500.8895083526"/>
    <n v="4114.441227879498"/>
    <n v="0"/>
    <n v="4896.1850611766022"/>
    <n v="891"/>
    <x v="1"/>
    <s v="Provision (Based on PO, One View)"/>
    <x v="0"/>
    <s v="Variable"/>
    <x v="0"/>
    <s v="DF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4"/>
    <s v="VCC"/>
    <n v="0"/>
    <n v="0"/>
    <n v="0"/>
    <n v="0"/>
    <n v="0"/>
    <n v="0"/>
    <n v="891"/>
    <x v="1"/>
    <s v="Provision (Based on PO, One View)"/>
    <x v="0"/>
    <s v="Variable"/>
    <x v="0"/>
    <s v="DV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5"/>
    <s v="Television"/>
    <n v="2025456.3030721142"/>
    <n v="0"/>
    <n v="2410293.0006558159"/>
    <n v="2273.2393973873336"/>
    <n v="0"/>
    <n v="2705.1548828909267"/>
    <n v="891"/>
    <x v="1"/>
    <s v="Provision (Based on PO, One View)"/>
    <x v="0"/>
    <s v="Variable"/>
    <x v="0"/>
    <s v="GL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6"/>
    <s v="Audio"/>
    <n v="171815.27615723221"/>
    <n v="0"/>
    <n v="204460.1786271063"/>
    <n v="192.83420444133804"/>
    <n v="0"/>
    <n v="229.47270328519227"/>
    <n v="891"/>
    <x v="1"/>
    <s v="Provision (Based on PO, One View)"/>
    <x v="0"/>
    <s v="Variable"/>
    <x v="0"/>
    <s v="PN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7"/>
    <s v="Monitor"/>
    <n v="128072.55335994321"/>
    <n v="0"/>
    <n v="152406.33849833242"/>
    <n v="143.74023946121574"/>
    <n v="0"/>
    <n v="171.05088495884672"/>
    <n v="891"/>
    <x v="1"/>
    <s v="Provision (Based on PO, One View)"/>
    <x v="0"/>
    <s v="Variable"/>
    <x v="0"/>
    <s v="GT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8"/>
    <s v="RAC"/>
    <n v="88185.397788631177"/>
    <n v="0"/>
    <n v="104940.62336847109"/>
    <n v="98.973510424950817"/>
    <n v="0"/>
    <n v="117.77847740569146"/>
    <n v="891"/>
    <x v="1"/>
    <s v="Provision (Based on PO, One View)"/>
    <x v="0"/>
    <s v="Variable"/>
    <x v="0"/>
    <s v="DG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9"/>
    <s v="Air Cleaner"/>
    <n v="22395.305266414551"/>
    <n v="0"/>
    <n v="26650.413267033313"/>
    <n v="25.135022745695345"/>
    <n v="0"/>
    <n v="29.91067706737746"/>
    <n v="891"/>
    <x v="1"/>
    <s v="Provision (Based on PO, One View)"/>
    <x v="0"/>
    <s v="Variable"/>
    <x v="0"/>
    <s v="DL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10"/>
    <s v="SAC"/>
    <n v="0"/>
    <n v="0"/>
    <n v="0"/>
    <n v="0"/>
    <n v="0"/>
    <n v="0"/>
    <n v="891"/>
    <x v="1"/>
    <s v="Provision (Based on PO, One View)"/>
    <x v="0"/>
    <s v="Variable"/>
    <x v="0"/>
    <s v="DMT"/>
    <m/>
    <n v="0"/>
    <n v="0"/>
    <n v="0"/>
    <n v="0"/>
    <n v="0"/>
    <m/>
  </r>
  <r>
    <x v="0"/>
    <s v="May11 to May 26"/>
    <x v="2"/>
    <x v="0"/>
    <x v="1"/>
    <d v="2026-06-04T00:00:00"/>
    <n v="3720"/>
    <x v="2"/>
    <s v="3P"/>
    <x v="11"/>
    <s v="TOTAL"/>
    <n v="7477508.0000000009"/>
    <n v="1420726.5200000003"/>
    <n v="8898234.5200000014"/>
    <n v="8392.2648709315381"/>
    <n v="1594.5303254769922"/>
    <n v="9986.7951964085296"/>
    <n v="891"/>
    <x v="1"/>
    <s v="Provision (Based on PO, One View)"/>
    <x v="0"/>
    <s v="Variable"/>
    <x v="0"/>
    <s v="TOTAL"/>
    <m/>
    <n v="0"/>
    <n v="0"/>
    <n v="0"/>
    <n v="0"/>
    <n v="0"/>
    <m/>
  </r>
  <r>
    <x v="0"/>
    <s v="May 27 to Jun 10"/>
    <x v="1"/>
    <x v="0"/>
    <x v="1"/>
    <d v="2026-07-15T00:00:00"/>
    <n v="3865"/>
    <x v="2"/>
    <s v="3P"/>
    <x v="0"/>
    <s v="Refrigeration"/>
    <n v="5925697"/>
    <n v="0"/>
    <n v="7051579.4299999997"/>
    <n v="6420.0400866738892"/>
    <n v="0"/>
    <n v="7639.8477031419279"/>
    <n v="923"/>
    <x v="3"/>
    <s v="Provision (Based on External Report)"/>
    <x v="0"/>
    <s v="Variable"/>
    <x v="0"/>
    <s v="CNT"/>
    <n v="5535770.1671148753"/>
    <n v="0"/>
    <n v="6587566.4988667015"/>
    <n v="5997.5841463866473"/>
    <n v="0"/>
    <n v="7137.1251342001096"/>
    <m/>
  </r>
  <r>
    <x v="0"/>
    <s v="May 27 to Jun 10"/>
    <x v="1"/>
    <x v="0"/>
    <x v="1"/>
    <d v="2026-07-15T00:00:00"/>
    <n v="3865"/>
    <x v="2"/>
    <s v="3P"/>
    <x v="1"/>
    <s v="Cooking"/>
    <n v="114459"/>
    <n v="0"/>
    <n v="136206.21"/>
    <n v="124.00758396533044"/>
    <n v="0"/>
    <n v="147.56902491874322"/>
    <n v="923"/>
    <x v="3"/>
    <s v="Provision (Based on External Report)"/>
    <x v="0"/>
    <s v="Variable"/>
    <x v="0"/>
    <s v="CVT"/>
    <n v="106927.54384855067"/>
    <n v="0"/>
    <n v="127243.77717977529"/>
    <n v="115.84782648813724"/>
    <n v="0"/>
    <n v="137.85891352088331"/>
    <m/>
  </r>
  <r>
    <x v="0"/>
    <s v="May 27 to Jun 10"/>
    <x v="1"/>
    <x v="0"/>
    <x v="1"/>
    <d v="2026-07-15T00:00:00"/>
    <n v="3865"/>
    <x v="2"/>
    <s v="3P"/>
    <x v="2"/>
    <s v="Dishwasher"/>
    <n v="198680"/>
    <n v="0"/>
    <n v="236429.19999999998"/>
    <n v="215.25460455037918"/>
    <n v="0"/>
    <n v="256.15297941495123"/>
    <n v="923"/>
    <x v="3"/>
    <s v="Provision (Based on External Report)"/>
    <x v="0"/>
    <s v="Variable"/>
    <x v="0"/>
    <s v="CDT"/>
    <n v="185605.88752124683"/>
    <n v="0"/>
    <n v="220871.00615028371"/>
    <n v="201.08980229820892"/>
    <n v="0"/>
    <n v="239.29686473486862"/>
    <m/>
  </r>
  <r>
    <x v="0"/>
    <s v="May 27 to Jun 10"/>
    <x v="1"/>
    <x v="0"/>
    <x v="1"/>
    <d v="2026-07-15T00:00:00"/>
    <n v="3865"/>
    <x v="2"/>
    <s v="3P"/>
    <x v="3"/>
    <s v="WM"/>
    <n v="11121938.999999996"/>
    <n v="0"/>
    <n v="13235107.409999995"/>
    <n v="12049.771397616463"/>
    <n v="0"/>
    <n v="14339.22796316359"/>
    <n v="923"/>
    <x v="3"/>
    <s v="Provision (Based on External Report)"/>
    <x v="0"/>
    <s v="Variable"/>
    <x v="0"/>
    <s v="DFT"/>
    <n v="10390084.153111497"/>
    <n v="0"/>
    <n v="12364200.142202681"/>
    <n v="11256.862571085045"/>
    <n v="0"/>
    <n v="13395.666459591203"/>
    <m/>
  </r>
  <r>
    <x v="0"/>
    <s v="May 27 to Jun 10"/>
    <x v="1"/>
    <x v="0"/>
    <x v="1"/>
    <d v="2026-07-15T00:00:00"/>
    <n v="3865"/>
    <x v="2"/>
    <s v="3P"/>
    <x v="4"/>
    <s v="VCC"/>
    <n v="61402"/>
    <n v="0"/>
    <n v="73068.37999999999"/>
    <n v="66.524377031419291"/>
    <n v="0"/>
    <n v="79.164008667388956"/>
    <n v="923"/>
    <x v="3"/>
    <s v="Provision (Based on External Report)"/>
    <x v="0"/>
    <s v="Variable"/>
    <x v="0"/>
    <s v="DVT"/>
    <n v="57361.613020384815"/>
    <n v="0"/>
    <n v="68260.319494257928"/>
    <n v="62.146926349279326"/>
    <n v="0"/>
    <n v="73.954842355642398"/>
    <m/>
  </r>
  <r>
    <x v="0"/>
    <s v="May 27 to Jun 10"/>
    <x v="1"/>
    <x v="0"/>
    <x v="1"/>
    <d v="2026-07-15T00:00:00"/>
    <n v="3865"/>
    <x v="2"/>
    <s v="3P"/>
    <x v="5"/>
    <s v="Television"/>
    <n v="10585988"/>
    <n v="0"/>
    <n v="12597325.719999999"/>
    <n v="11469.109425785482"/>
    <n v="0"/>
    <n v="13648.240216684722"/>
    <n v="923"/>
    <x v="3"/>
    <s v="Provision (Based on External Report)"/>
    <x v="0"/>
    <s v="Variable"/>
    <x v="0"/>
    <s v="GLT"/>
    <n v="9889401.0582665373"/>
    <n v="0"/>
    <n v="11768387.259337179"/>
    <n v="10714.410680678806"/>
    <n v="0"/>
    <n v="12750.148710007779"/>
    <m/>
  </r>
  <r>
    <x v="0"/>
    <s v="May 27 to Jun 10"/>
    <x v="1"/>
    <x v="0"/>
    <x v="1"/>
    <d v="2026-07-15T00:00:00"/>
    <n v="3865"/>
    <x v="2"/>
    <s v="3P"/>
    <x v="6"/>
    <s v="Audio"/>
    <n v="333751"/>
    <n v="0"/>
    <n v="397163.69"/>
    <n v="361.59371614301193"/>
    <n v="0"/>
    <n v="430.29652221018421"/>
    <n v="923"/>
    <x v="3"/>
    <s v="Provision (Based on External Report)"/>
    <x v="0"/>
    <s v="Variable"/>
    <x v="0"/>
    <s v="PNT"/>
    <n v="311789.6952255927"/>
    <n v="0"/>
    <n v="371029.7373184553"/>
    <n v="337.80031985437995"/>
    <n v="0"/>
    <n v="401.98238062671214"/>
    <m/>
  </r>
  <r>
    <x v="0"/>
    <s v="May 27 to Jun 10"/>
    <x v="1"/>
    <x v="0"/>
    <x v="1"/>
    <d v="2026-07-15T00:00:00"/>
    <n v="3865"/>
    <x v="2"/>
    <s v="3P"/>
    <x v="7"/>
    <s v="Monitor"/>
    <n v="460621"/>
    <n v="0"/>
    <n v="548138.99"/>
    <n v="499.04767063921992"/>
    <n v="0"/>
    <n v="593.86672806067168"/>
    <n v="923"/>
    <x v="3"/>
    <s v="Provision (Based on External Report)"/>
    <x v="0"/>
    <s v="Variable"/>
    <x v="0"/>
    <s v="GTT"/>
    <n v="430311.27154398826"/>
    <n v="0"/>
    <n v="512070.41313734598"/>
    <n v="466.20939495556689"/>
    <n v="0"/>
    <n v="554.78917999712462"/>
    <m/>
  </r>
  <r>
    <x v="0"/>
    <s v="May 27 to Jun 10"/>
    <x v="1"/>
    <x v="0"/>
    <x v="1"/>
    <d v="2026-07-15T00:00:00"/>
    <n v="3865"/>
    <x v="2"/>
    <s v="3P"/>
    <x v="8"/>
    <s v="RAC"/>
    <n v="271921"/>
    <n v="0"/>
    <n v="323585.99"/>
    <n v="294.6056338028169"/>
    <n v="0"/>
    <n v="350.58070422535206"/>
    <n v="923"/>
    <x v="3"/>
    <s v="Provision (Based on External Report)"/>
    <x v="0"/>
    <s v="Variable"/>
    <x v="0"/>
    <s v="DGT"/>
    <n v="254028.11985087369"/>
    <n v="0"/>
    <n v="302293.46262253966"/>
    <n v="275.22006484385014"/>
    <n v="0"/>
    <n v="327.51187716418167"/>
    <m/>
  </r>
  <r>
    <x v="0"/>
    <s v="May 27 to Jun 10"/>
    <x v="1"/>
    <x v="0"/>
    <x v="1"/>
    <d v="2026-07-15T00:00:00"/>
    <n v="3865"/>
    <x v="2"/>
    <s v="3P"/>
    <x v="9"/>
    <s v="Air Cleaner"/>
    <n v="107887"/>
    <n v="0"/>
    <n v="128385.53"/>
    <n v="116.88732394366197"/>
    <n v="0"/>
    <n v="139.09591549295774"/>
    <n v="923"/>
    <x v="3"/>
    <s v="Provision (Based on External Report)"/>
    <x v="0"/>
    <s v="Variable"/>
    <x v="0"/>
    <s v="DLT"/>
    <n v="100787.73408295128"/>
    <n v="0"/>
    <n v="119937.40355871202"/>
    <n v="109.19581157416174"/>
    <n v="0"/>
    <n v="129.94301577325245"/>
    <m/>
  </r>
  <r>
    <x v="0"/>
    <s v="May 27 to Jun 10"/>
    <x v="1"/>
    <x v="0"/>
    <x v="1"/>
    <d v="2026-07-15T00:00:00"/>
    <n v="3865"/>
    <x v="2"/>
    <s v="3P"/>
    <x v="10"/>
    <s v="SAC"/>
    <n v="0"/>
    <n v="0"/>
    <n v="0"/>
    <n v="0"/>
    <n v="0"/>
    <n v="0"/>
    <n v="923"/>
    <x v="3"/>
    <s v="Provision (Based on External Report)"/>
    <x v="0"/>
    <s v="Variable"/>
    <x v="0"/>
    <s v="DMT"/>
    <n v="0"/>
    <n v="0"/>
    <n v="0"/>
    <n v="0"/>
    <n v="0"/>
    <n v="0"/>
    <m/>
  </r>
  <r>
    <x v="0"/>
    <s v="May 27 to Jun 10"/>
    <x v="1"/>
    <x v="0"/>
    <x v="1"/>
    <d v="2026-07-15T00:00:00"/>
    <n v="3865"/>
    <x v="2"/>
    <s v="3P"/>
    <x v="11"/>
    <s v="TOTAL"/>
    <n v="29182344.999999996"/>
    <n v="5544645.5499999998"/>
    <n v="34726990.549999997"/>
    <n v="31616.841820151676"/>
    <n v="6007.1999458288183"/>
    <n v="37624.041765980495"/>
    <n v="923"/>
    <x v="3"/>
    <s v="Provision (Based on External Report)"/>
    <x v="0"/>
    <s v="Variable"/>
    <x v="0"/>
    <s v="TOTAL"/>
    <n v="27262067.243586499"/>
    <n v="5179792.776281435"/>
    <n v="32441860.019867934"/>
    <n v="29536.367544514083"/>
    <n v="5611.9098334576756"/>
    <n v="35148.277377971761"/>
    <m/>
  </r>
  <r>
    <x v="0"/>
    <s v="May 27 to Jun 10"/>
    <x v="1"/>
    <x v="0"/>
    <x v="1"/>
    <d v="2026-07-15T00:00:00"/>
    <n v="3865"/>
    <x v="2"/>
    <s v="3P"/>
    <x v="0"/>
    <s v="Refrigeration"/>
    <m/>
    <n v="0"/>
    <n v="0"/>
    <n v="0"/>
    <n v="0"/>
    <n v="0"/>
    <n v="923"/>
    <x v="4"/>
    <s v="Provision (Based on External Report)"/>
    <x v="0"/>
    <s v="Variable"/>
    <x v="0"/>
    <s v="CNT"/>
    <n v="1667877.4898939773"/>
    <n v="0"/>
    <n v="1984774.2129738329"/>
    <n v="1807.0178655406037"/>
    <n v="0"/>
    <n v="2150.3512599933183"/>
    <m/>
  </r>
  <r>
    <x v="0"/>
    <s v="May 27 to Jun 10"/>
    <x v="1"/>
    <x v="0"/>
    <x v="1"/>
    <d v="2026-07-15T00:00:00"/>
    <n v="3865"/>
    <x v="2"/>
    <s v="3P"/>
    <x v="1"/>
    <s v="Cooking"/>
    <m/>
    <n v="0"/>
    <n v="0"/>
    <n v="0"/>
    <n v="0"/>
    <n v="0"/>
    <n v="923"/>
    <x v="4"/>
    <s v="Provision (Based on External Report)"/>
    <x v="0"/>
    <s v="Variable"/>
    <x v="0"/>
    <s v="CVT"/>
    <n v="32216.30198704527"/>
    <n v="0"/>
    <n v="38337.399364583871"/>
    <n v="34.903902477838862"/>
    <n v="0"/>
    <n v="41.535643948628241"/>
    <m/>
  </r>
  <r>
    <x v="0"/>
    <s v="May 27 to Jun 10"/>
    <x v="1"/>
    <x v="0"/>
    <x v="1"/>
    <d v="2026-07-15T00:00:00"/>
    <n v="3865"/>
    <x v="2"/>
    <s v="3P"/>
    <x v="2"/>
    <s v="Dishwasher"/>
    <m/>
    <n v="0"/>
    <n v="0"/>
    <n v="0"/>
    <n v="0"/>
    <n v="0"/>
    <n v="923"/>
    <x v="4"/>
    <s v="Provision (Based on External Report)"/>
    <x v="0"/>
    <s v="Variable"/>
    <x v="0"/>
    <s v="CDT"/>
    <n v="55921.375426216655"/>
    <n v="0"/>
    <n v="66546.436757197822"/>
    <n v="60.58653892331165"/>
    <n v="0"/>
    <n v="72.097981318740864"/>
    <m/>
  </r>
  <r>
    <x v="0"/>
    <s v="May 27 to Jun 10"/>
    <x v="1"/>
    <x v="0"/>
    <x v="1"/>
    <d v="2026-07-15T00:00:00"/>
    <n v="3865"/>
    <x v="2"/>
    <s v="3P"/>
    <x v="3"/>
    <s v="WM"/>
    <m/>
    <n v="0"/>
    <n v="0"/>
    <n v="0"/>
    <n v="0"/>
    <n v="0"/>
    <n v="923"/>
    <x v="4"/>
    <s v="Provision (Based on External Report)"/>
    <x v="0"/>
    <s v="Variable"/>
    <x v="0"/>
    <s v="DFT"/>
    <n v="3130438.3950084583"/>
    <n v="0"/>
    <n v="3725221.6900600651"/>
    <n v="3391.5908938336493"/>
    <n v="0"/>
    <n v="4035.9931636620427"/>
    <m/>
  </r>
  <r>
    <x v="0"/>
    <s v="May 27 to Jun 10"/>
    <x v="1"/>
    <x v="0"/>
    <x v="1"/>
    <d v="2026-07-15T00:00:00"/>
    <n v="3865"/>
    <x v="2"/>
    <s v="3P"/>
    <x v="4"/>
    <s v="VCC"/>
    <m/>
    <n v="0"/>
    <n v="0"/>
    <n v="0"/>
    <n v="0"/>
    <n v="0"/>
    <n v="923"/>
    <x v="4"/>
    <s v="Provision (Based on External Report)"/>
    <x v="0"/>
    <s v="Variable"/>
    <x v="0"/>
    <s v="DVT"/>
    <n v="17282.535266555577"/>
    <n v="0"/>
    <n v="20566.216967201137"/>
    <n v="18.72430689767668"/>
    <n v="0"/>
    <n v="22.281925208235247"/>
    <m/>
  </r>
  <r>
    <x v="0"/>
    <s v="May 27 to Jun 10"/>
    <x v="1"/>
    <x v="0"/>
    <x v="1"/>
    <d v="2026-07-15T00:00:00"/>
    <n v="3865"/>
    <x v="2"/>
    <s v="3P"/>
    <x v="5"/>
    <s v="Television"/>
    <m/>
    <n v="0"/>
    <n v="0"/>
    <n v="0"/>
    <n v="0"/>
    <n v="0"/>
    <n v="923"/>
    <x v="4"/>
    <s v="Provision (Based on External Report)"/>
    <x v="0"/>
    <s v="Variable"/>
    <x v="0"/>
    <s v="GLT"/>
    <n v="2979587.1063434905"/>
    <n v="0"/>
    <n v="3545708.6565487534"/>
    <n v="3228.1550447925142"/>
    <n v="0"/>
    <n v="3841.504503303092"/>
    <m/>
  </r>
  <r>
    <x v="0"/>
    <s v="May 27 to Jun 10"/>
    <x v="1"/>
    <x v="0"/>
    <x v="1"/>
    <d v="2026-07-15T00:00:00"/>
    <n v="3865"/>
    <x v="2"/>
    <s v="3P"/>
    <x v="6"/>
    <s v="Audio"/>
    <m/>
    <n v="0"/>
    <n v="0"/>
    <n v="0"/>
    <n v="0"/>
    <n v="0"/>
    <n v="923"/>
    <x v="4"/>
    <s v="Provision (Based on External Report)"/>
    <x v="0"/>
    <s v="Variable"/>
    <x v="0"/>
    <s v="PNT"/>
    <n v="93939.415573442544"/>
    <n v="0"/>
    <n v="111787.90453239663"/>
    <n v="101.77618155302551"/>
    <n v="0"/>
    <n v="121.11365604810035"/>
    <m/>
  </r>
  <r>
    <x v="0"/>
    <s v="May 27 to Jun 10"/>
    <x v="1"/>
    <x v="0"/>
    <x v="1"/>
    <d v="2026-07-15T00:00:00"/>
    <n v="3865"/>
    <x v="2"/>
    <s v="3P"/>
    <x v="7"/>
    <s v="Monitor"/>
    <m/>
    <n v="0"/>
    <n v="0"/>
    <n v="0"/>
    <n v="0"/>
    <n v="0"/>
    <n v="923"/>
    <x v="4"/>
    <s v="Provision (Based on External Report)"/>
    <x v="0"/>
    <s v="Variable"/>
    <x v="0"/>
    <s v="GTT"/>
    <n v="129648.89469569977"/>
    <n v="0"/>
    <n v="154282.18468788272"/>
    <n v="140.46467464322836"/>
    <n v="0"/>
    <n v="167.15296282544173"/>
    <m/>
  </r>
  <r>
    <x v="0"/>
    <s v="May 27 to Jun 10"/>
    <x v="1"/>
    <x v="0"/>
    <x v="1"/>
    <d v="2026-07-15T00:00:00"/>
    <n v="3865"/>
    <x v="2"/>
    <s v="3P"/>
    <x v="8"/>
    <s v="RAC"/>
    <m/>
    <n v="0"/>
    <n v="0"/>
    <n v="0"/>
    <n v="0"/>
    <n v="0"/>
    <n v="923"/>
    <x v="4"/>
    <s v="Provision (Based on External Report)"/>
    <x v="0"/>
    <s v="Variable"/>
    <x v="0"/>
    <s v="DGT"/>
    <n v="76536.375266493153"/>
    <n v="0"/>
    <n v="91078.286567126852"/>
    <n v="82.921316648421623"/>
    <n v="0"/>
    <n v="98.676366811621733"/>
    <m/>
  </r>
  <r>
    <x v="0"/>
    <s v="May 27 to Jun 10"/>
    <x v="1"/>
    <x v="0"/>
    <x v="1"/>
    <d v="2026-07-15T00:00:00"/>
    <n v="3865"/>
    <x v="2"/>
    <s v="3P"/>
    <x v="9"/>
    <s v="Air Cleaner"/>
    <m/>
    <n v="0"/>
    <n v="0"/>
    <n v="0"/>
    <n v="0"/>
    <n v="0"/>
    <n v="923"/>
    <x v="4"/>
    <s v="Provision (Based on External Report)"/>
    <x v="0"/>
    <s v="Variable"/>
    <x v="0"/>
    <s v="DLT"/>
    <n v="30366.432828620374"/>
    <n v="0"/>
    <n v="36136.055066058245"/>
    <n v="32.899710540217093"/>
    <n v="0"/>
    <n v="39.150655542858338"/>
    <m/>
  </r>
  <r>
    <x v="0"/>
    <s v="May 27 to Jun 10"/>
    <x v="1"/>
    <x v="0"/>
    <x v="1"/>
    <d v="2026-07-15T00:00:00"/>
    <n v="3865"/>
    <x v="2"/>
    <s v="3P"/>
    <x v="10"/>
    <s v="SAC"/>
    <m/>
    <n v="0"/>
    <n v="0"/>
    <n v="0"/>
    <n v="0"/>
    <n v="0"/>
    <n v="923"/>
    <x v="4"/>
    <s v="Provision (Based on External Report)"/>
    <x v="0"/>
    <s v="Variable"/>
    <x v="0"/>
    <s v="DMT"/>
    <n v="0"/>
    <n v="0"/>
    <n v="0"/>
    <n v="0"/>
    <n v="0"/>
    <n v="0"/>
    <m/>
  </r>
  <r>
    <x v="0"/>
    <s v="May 27 to Jun 10"/>
    <x v="1"/>
    <x v="0"/>
    <x v="1"/>
    <d v="2026-07-15T00:00:00"/>
    <n v="3865"/>
    <x v="2"/>
    <s v="3P"/>
    <x v="11"/>
    <s v="TOTAL"/>
    <n v="0"/>
    <n v="0"/>
    <n v="0"/>
    <n v="0"/>
    <n v="0"/>
    <n v="0"/>
    <n v="923"/>
    <x v="4"/>
    <s v="Provision (Based on External Report)"/>
    <x v="0"/>
    <s v="Variable"/>
    <x v="0"/>
    <s v="TOTAL"/>
    <n v="8213814.3222899996"/>
    <n v="1560624.7212350999"/>
    <n v="9774439.0435250998"/>
    <n v="8899.0404358504875"/>
    <n v="1690.8176828115927"/>
    <n v="10589.85811866208"/>
    <m/>
  </r>
  <r>
    <x v="0"/>
    <s v="Jun 10 to Jun 26"/>
    <x v="1"/>
    <x v="0"/>
    <x v="1"/>
    <d v="2026-07-15T00:00:00"/>
    <n v="3868"/>
    <x v="2"/>
    <s v="3P"/>
    <x v="0"/>
    <s v="Refrigeration"/>
    <n v="1371493.930453686"/>
    <n v="0"/>
    <n v="1632077.7772398863"/>
    <n v="1485.9089170679156"/>
    <n v="0"/>
    <n v="1768.2316113108195"/>
    <n v="923"/>
    <x v="1"/>
    <s v="Provision (Based on PO, One View)"/>
    <x v="0"/>
    <s v="Variable"/>
    <x v="0"/>
    <s v="CNT"/>
    <n v="1393215.8490377492"/>
    <n v="0"/>
    <n v="1657926.8603549215"/>
    <n v="1509.4429567039538"/>
    <n v="0"/>
    <n v="1796.2371184777048"/>
    <m/>
  </r>
  <r>
    <x v="0"/>
    <s v="Jun 10 to Jun 26"/>
    <x v="1"/>
    <x v="0"/>
    <x v="1"/>
    <d v="2026-07-15T00:00:00"/>
    <n v="3868"/>
    <x v="2"/>
    <s v="3P"/>
    <x v="1"/>
    <s v="Cooking"/>
    <n v="26491.431717628315"/>
    <n v="0"/>
    <n v="31524.803743977693"/>
    <n v="28.70144281433187"/>
    <n v="0"/>
    <n v="34.154716949054922"/>
    <n v="923"/>
    <x v="1"/>
    <s v="Provision (Based on PO, One View)"/>
    <x v="0"/>
    <s v="Variable"/>
    <x v="0"/>
    <s v="CVT"/>
    <n v="26911.006832157069"/>
    <n v="0"/>
    <n v="32024.09813026691"/>
    <n v="29.156020403203758"/>
    <n v="0"/>
    <n v="34.695664279812469"/>
    <m/>
  </r>
  <r>
    <x v="0"/>
    <s v="Jun 10 to Jun 26"/>
    <x v="1"/>
    <x v="0"/>
    <x v="1"/>
    <d v="2026-07-15T00:00:00"/>
    <n v="3868"/>
    <x v="2"/>
    <s v="3P"/>
    <x v="2"/>
    <s v="Dishwasher"/>
    <n v="45984.089025959212"/>
    <n v="0"/>
    <n v="54721.065940891458"/>
    <n v="49.820248132133493"/>
    <n v="0"/>
    <n v="59.286095277238857"/>
    <n v="923"/>
    <x v="1"/>
    <s v="Provision (Based on PO, One View)"/>
    <x v="0"/>
    <s v="Variable"/>
    <x v="0"/>
    <s v="CDT"/>
    <n v="46712.391656984197"/>
    <n v="0"/>
    <n v="55587.746071811191"/>
    <n v="50.609308404099885"/>
    <n v="0"/>
    <n v="60.225077000878862"/>
    <m/>
  </r>
  <r>
    <x v="0"/>
    <s v="Jun 10 to Jun 26"/>
    <x v="1"/>
    <x v="0"/>
    <x v="1"/>
    <d v="2026-07-15T00:00:00"/>
    <n v="3868"/>
    <x v="2"/>
    <s v="3P"/>
    <x v="3"/>
    <s v="WM"/>
    <n v="2574156.2461438323"/>
    <n v="0"/>
    <n v="3063245.9329111604"/>
    <n v="2788.9016751287459"/>
    <n v="0"/>
    <n v="3318.7929934032072"/>
    <n v="923"/>
    <x v="1"/>
    <s v="Provision (Based on PO, One View)"/>
    <x v="0"/>
    <s v="Variable"/>
    <x v="0"/>
    <s v="DFT"/>
    <n v="2614926.1038586954"/>
    <n v="0"/>
    <n v="3111762.0635918472"/>
    <n v="2833.072701905412"/>
    <n v="0"/>
    <n v="3371.35651526744"/>
    <m/>
  </r>
  <r>
    <x v="0"/>
    <s v="Jun 10 to Jun 26"/>
    <x v="1"/>
    <x v="0"/>
    <x v="1"/>
    <d v="2026-07-15T00:00:00"/>
    <n v="3868"/>
    <x v="2"/>
    <s v="3P"/>
    <x v="4"/>
    <s v="VCC"/>
    <n v="14211.410828765056"/>
    <n v="0"/>
    <n v="16911.578886230414"/>
    <n v="15.396978146007644"/>
    <n v="0"/>
    <n v="18.322403993749095"/>
    <n v="923"/>
    <x v="1"/>
    <s v="Provision (Based on PO, One View)"/>
    <x v="0"/>
    <s v="Variable"/>
    <x v="0"/>
    <s v="DVT"/>
    <n v="14436.49320217738"/>
    <n v="0"/>
    <n v="17179.426910591083"/>
    <n v="15.640837705500953"/>
    <n v="0"/>
    <n v="18.612596869546135"/>
    <m/>
  </r>
  <r>
    <x v="0"/>
    <s v="Jun 10 to Jun 26"/>
    <x v="1"/>
    <x v="0"/>
    <x v="1"/>
    <d v="2026-07-15T00:00:00"/>
    <n v="3868"/>
    <x v="2"/>
    <s v="3P"/>
    <x v="5"/>
    <s v="Television"/>
    <n v="2450111.3878981159"/>
    <n v="0"/>
    <n v="2915632.551598758"/>
    <n v="2654.5085459351203"/>
    <n v="0"/>
    <n v="3158.8651696627931"/>
    <n v="923"/>
    <x v="1"/>
    <s v="Provision (Based on PO, One View)"/>
    <x v="0"/>
    <s v="Variable"/>
    <x v="0"/>
    <s v="GLT"/>
    <n v="2488916.6052658693"/>
    <n v="0"/>
    <n v="2961810.7602663841"/>
    <n v="2696.5510349576048"/>
    <n v="0"/>
    <n v="3208.8957315995494"/>
    <m/>
  </r>
  <r>
    <x v="0"/>
    <s v="Jun 10 to Jun 26"/>
    <x v="1"/>
    <x v="0"/>
    <x v="1"/>
    <d v="2026-07-15T00:00:00"/>
    <n v="3868"/>
    <x v="2"/>
    <s v="3P"/>
    <x v="6"/>
    <s v="Audio"/>
    <n v="77246.284016659265"/>
    <n v="0"/>
    <n v="91923.07797982452"/>
    <n v="83.690448555427153"/>
    <n v="0"/>
    <n v="99.591633780958304"/>
    <n v="923"/>
    <x v="1"/>
    <s v="Provision (Based on PO, One View)"/>
    <x v="0"/>
    <s v="Variable"/>
    <x v="0"/>
    <s v="PNT"/>
    <n v="78469.721798681567"/>
    <n v="0"/>
    <n v="93378.968940431063"/>
    <n v="85.015949944400404"/>
    <n v="0"/>
    <n v="101.16898043383648"/>
    <m/>
  </r>
  <r>
    <x v="0"/>
    <s v="Jun 10 to Jun 26"/>
    <x v="1"/>
    <x v="0"/>
    <x v="1"/>
    <d v="2026-07-15T00:00:00"/>
    <n v="3868"/>
    <x v="2"/>
    <s v="3P"/>
    <x v="7"/>
    <s v="Monitor"/>
    <n v="106610.15167036303"/>
    <n v="0"/>
    <n v="126866.080487732"/>
    <n v="115.50395630591878"/>
    <n v="0"/>
    <n v="137.44970800404334"/>
    <n v="923"/>
    <x v="1"/>
    <s v="Provision (Based on PO, One View)"/>
    <x v="0"/>
    <s v="Variable"/>
    <x v="0"/>
    <s v="GTT"/>
    <n v="108298.65862135787"/>
    <n v="0"/>
    <n v="128875.40375941586"/>
    <n v="117.33332461685576"/>
    <n v="0"/>
    <n v="139.62665629405836"/>
    <m/>
  </r>
  <r>
    <x v="0"/>
    <s v="Jun 10 to Jun 26"/>
    <x v="1"/>
    <x v="0"/>
    <x v="1"/>
    <d v="2026-07-15T00:00:00"/>
    <n v="3868"/>
    <x v="2"/>
    <s v="3P"/>
    <x v="8"/>
    <s v="RAC"/>
    <n v="62935.782018134669"/>
    <n v="0"/>
    <n v="74893.580601580252"/>
    <n v="68.186112695703869"/>
    <n v="0"/>
    <n v="81.141474107887603"/>
    <n v="923"/>
    <x v="1"/>
    <s v="Provision (Based on PO, One View)"/>
    <x v="0"/>
    <s v="Variable"/>
    <x v="0"/>
    <s v="DGT"/>
    <n v="63932.568006513087"/>
    <n v="0"/>
    <n v="76079.755927750564"/>
    <n v="69.266054178237368"/>
    <n v="0"/>
    <n v="82.426604472102468"/>
    <m/>
  </r>
  <r>
    <x v="0"/>
    <s v="Jun 10 to Jun 26"/>
    <x v="1"/>
    <x v="0"/>
    <x v="1"/>
    <d v="2026-07-15T00:00:00"/>
    <n v="3868"/>
    <x v="2"/>
    <s v="3P"/>
    <x v="9"/>
    <s v="Air Cleaner"/>
    <n v="24970.286226855795"/>
    <n v="0"/>
    <n v="29714.640609958395"/>
    <n v="27.053397862248964"/>
    <n v="0"/>
    <n v="32.193543456076263"/>
    <n v="923"/>
    <x v="1"/>
    <s v="Provision (Based on PO, One View)"/>
    <x v="0"/>
    <s v="Variable"/>
    <x v="0"/>
    <s v="DLT"/>
    <n v="25365.769219814498"/>
    <n v="0"/>
    <n v="30185.265371579251"/>
    <n v="27.481873477588838"/>
    <n v="0"/>
    <n v="32.703429438330716"/>
    <m/>
  </r>
  <r>
    <x v="0"/>
    <s v="Jun 10 to Jun 26"/>
    <x v="1"/>
    <x v="0"/>
    <x v="1"/>
    <d v="2026-07-15T00:00:00"/>
    <n v="3868"/>
    <x v="2"/>
    <s v="3P"/>
    <x v="10"/>
    <s v="SAC"/>
    <m/>
    <n v="0"/>
    <n v="0"/>
    <n v="0"/>
    <n v="0"/>
    <n v="0"/>
    <n v="923"/>
    <x v="1"/>
    <s v="Provision (Based on PO, One View)"/>
    <x v="0"/>
    <s v="Variable"/>
    <x v="0"/>
    <s v="DMT"/>
    <n v="0"/>
    <n v="0"/>
    <n v="0"/>
    <n v="0"/>
    <n v="0"/>
    <n v="0"/>
    <m/>
  </r>
  <r>
    <x v="0"/>
    <s v="Jun 10 to Jun 26"/>
    <x v="1"/>
    <x v="0"/>
    <x v="1"/>
    <d v="2026-07-15T00:00:00"/>
    <n v="3868"/>
    <x v="2"/>
    <s v="3P"/>
    <x v="11"/>
    <s v="TOTAL"/>
    <n v="6754210.9999999991"/>
    <n v="1283300.0899999999"/>
    <n v="8037511.0899999989"/>
    <n v="7317.671722643553"/>
    <n v="1390.3576273022752"/>
    <n v="8708.0293499458276"/>
    <n v="923"/>
    <x v="1"/>
    <s v="Provision (Based on PO, One View)"/>
    <x v="0"/>
    <s v="Variable"/>
    <x v="0"/>
    <s v="TOTAL"/>
    <n v="6861185.1674999995"/>
    <n v="1303625.1818249999"/>
    <n v="8164810.3493249994"/>
    <n v="7433.5700622968579"/>
    <n v="1412.3783118364031"/>
    <n v="8845.9483741332606"/>
    <m/>
  </r>
  <r>
    <x v="0"/>
    <s v="Jun27 to Jul15"/>
    <x v="0"/>
    <x v="0"/>
    <x v="2"/>
    <m/>
    <m/>
    <x v="2"/>
    <s v="3P"/>
    <x v="0"/>
    <s v="Refrigeration"/>
    <n v="1478313.9149305087"/>
    <n v="0"/>
    <n v="1759193.5587673052"/>
    <n v="1599.9068343403774"/>
    <n v="0"/>
    <n v="1903.8891328650491"/>
    <n v="924"/>
    <x v="3"/>
    <s v="Provision (Based on PO, One View)"/>
    <x v="0"/>
    <s v="Variable"/>
    <x v="1"/>
    <s v="CNT"/>
    <m/>
    <n v="0"/>
    <n v="0"/>
    <n v="0"/>
    <n v="0"/>
    <n v="0"/>
    <m/>
  </r>
  <r>
    <x v="0"/>
    <s v="Jun27 to Jul15"/>
    <x v="0"/>
    <x v="0"/>
    <x v="2"/>
    <m/>
    <m/>
    <x v="2"/>
    <s v="3P"/>
    <x v="1"/>
    <s v="Cooking"/>
    <n v="0"/>
    <n v="0"/>
    <n v="0"/>
    <n v="0"/>
    <n v="0"/>
    <n v="0"/>
    <n v="924"/>
    <x v="3"/>
    <s v="Provision (Based on PO, One View)"/>
    <x v="0"/>
    <s v="Variable"/>
    <x v="1"/>
    <s v="CVT"/>
    <m/>
    <n v="0"/>
    <n v="0"/>
    <n v="0"/>
    <n v="0"/>
    <n v="0"/>
    <m/>
  </r>
  <r>
    <x v="0"/>
    <s v="Jun27 to Jul15"/>
    <x v="0"/>
    <x v="0"/>
    <x v="2"/>
    <m/>
    <m/>
    <x v="2"/>
    <s v="3P"/>
    <x v="2"/>
    <s v="Dishwasher"/>
    <n v="0"/>
    <n v="0"/>
    <n v="0"/>
    <n v="0"/>
    <n v="0"/>
    <n v="0"/>
    <n v="924"/>
    <x v="3"/>
    <s v="Provision (Based on PO, One View)"/>
    <x v="0"/>
    <s v="Variable"/>
    <x v="1"/>
    <s v="CDT"/>
    <m/>
    <n v="0"/>
    <n v="0"/>
    <n v="0"/>
    <n v="0"/>
    <n v="0"/>
    <m/>
  </r>
  <r>
    <x v="0"/>
    <s v="Jun27 to Jul15"/>
    <x v="0"/>
    <x v="0"/>
    <x v="2"/>
    <m/>
    <m/>
    <x v="2"/>
    <s v="3P"/>
    <x v="3"/>
    <s v="WM"/>
    <n v="4619730.9841578398"/>
    <n v="0"/>
    <n v="5497479.8711478291"/>
    <n v="4999.7088573136798"/>
    <n v="0"/>
    <n v="5949.6535402032787"/>
    <n v="924"/>
    <x v="3"/>
    <s v="Provision (Based on PO, One View)"/>
    <x v="0"/>
    <s v="Variable"/>
    <x v="1"/>
    <s v="DFT"/>
    <m/>
    <n v="0"/>
    <n v="0"/>
    <n v="0"/>
    <n v="0"/>
    <n v="0"/>
    <m/>
  </r>
  <r>
    <x v="0"/>
    <s v="Jun27 to Jul15"/>
    <x v="0"/>
    <x v="0"/>
    <x v="2"/>
    <m/>
    <m/>
    <x v="2"/>
    <s v="3P"/>
    <x v="4"/>
    <s v="VCC"/>
    <n v="0"/>
    <n v="0"/>
    <n v="0"/>
    <n v="0"/>
    <n v="0"/>
    <n v="0"/>
    <n v="924"/>
    <x v="3"/>
    <s v="Provision (Based on PO, One View)"/>
    <x v="0"/>
    <s v="Variable"/>
    <x v="1"/>
    <s v="DVT"/>
    <m/>
    <n v="0"/>
    <n v="0"/>
    <n v="0"/>
    <n v="0"/>
    <n v="0"/>
    <m/>
  </r>
  <r>
    <x v="0"/>
    <s v="Jun27 to Jul15"/>
    <x v="0"/>
    <x v="0"/>
    <x v="2"/>
    <m/>
    <m/>
    <x v="2"/>
    <s v="3P"/>
    <x v="5"/>
    <s v="Television"/>
    <n v="2808796.4383679666"/>
    <n v="0"/>
    <n v="3342467.7616578802"/>
    <n v="3039.8229852467171"/>
    <n v="0"/>
    <n v="3617.389352443593"/>
    <n v="924"/>
    <x v="3"/>
    <s v="Provision (Based on PO, One View)"/>
    <x v="0"/>
    <s v="Variable"/>
    <x v="1"/>
    <s v="GLT"/>
    <m/>
    <n v="0"/>
    <n v="0"/>
    <n v="0"/>
    <n v="0"/>
    <n v="0"/>
    <m/>
  </r>
  <r>
    <x v="0"/>
    <s v="Jun27 to Jul15"/>
    <x v="0"/>
    <x v="0"/>
    <x v="2"/>
    <m/>
    <m/>
    <x v="2"/>
    <s v="3P"/>
    <x v="6"/>
    <s v="Audio"/>
    <n v="147831.39149305085"/>
    <n v="0"/>
    <n v="175919.35587673049"/>
    <n v="159.99068343403772"/>
    <n v="0"/>
    <n v="190.38891328650487"/>
    <n v="924"/>
    <x v="3"/>
    <s v="Provision (Based on PO, One View)"/>
    <x v="0"/>
    <s v="Variable"/>
    <x v="1"/>
    <s v="PNT"/>
    <m/>
    <n v="0"/>
    <n v="0"/>
    <n v="0"/>
    <n v="0"/>
    <n v="0"/>
    <m/>
  </r>
  <r>
    <x v="0"/>
    <s v="Jun27 to Jul15"/>
    <x v="0"/>
    <x v="0"/>
    <x v="2"/>
    <m/>
    <m/>
    <x v="2"/>
    <s v="3P"/>
    <x v="7"/>
    <s v="Monitor"/>
    <n v="147831.39149305085"/>
    <n v="0"/>
    <n v="175919.35587673049"/>
    <n v="159.99068343403772"/>
    <n v="0"/>
    <n v="190.38891328650487"/>
    <n v="924"/>
    <x v="3"/>
    <s v="Provision (Based on PO, One View)"/>
    <x v="0"/>
    <s v="Variable"/>
    <x v="1"/>
    <s v="GTT"/>
    <m/>
    <n v="0"/>
    <n v="0"/>
    <n v="0"/>
    <n v="0"/>
    <n v="0"/>
    <m/>
  </r>
  <r>
    <x v="0"/>
    <s v="Jun27 to Jul15"/>
    <x v="0"/>
    <x v="0"/>
    <x v="2"/>
    <m/>
    <m/>
    <x v="2"/>
    <s v="3P"/>
    <x v="8"/>
    <s v="RAC"/>
    <n v="0"/>
    <n v="0"/>
    <n v="0"/>
    <n v="0"/>
    <n v="0"/>
    <n v="0"/>
    <n v="924"/>
    <x v="3"/>
    <s v="Provision (Based on PO, One View)"/>
    <x v="0"/>
    <s v="Variable"/>
    <x v="1"/>
    <s v="DGT"/>
    <m/>
    <n v="0"/>
    <n v="0"/>
    <n v="0"/>
    <n v="0"/>
    <n v="0"/>
    <m/>
  </r>
  <r>
    <x v="0"/>
    <s v="Jun27 to Jul15"/>
    <x v="0"/>
    <x v="0"/>
    <x v="2"/>
    <m/>
    <m/>
    <x v="2"/>
    <s v="3P"/>
    <x v="9"/>
    <s v="Air Cleaner"/>
    <n v="0"/>
    <n v="0"/>
    <n v="0"/>
    <n v="0"/>
    <n v="0"/>
    <n v="0"/>
    <n v="924"/>
    <x v="3"/>
    <s v="Provision (Based on PO, One View)"/>
    <x v="0"/>
    <s v="Variable"/>
    <x v="1"/>
    <s v="DLT"/>
    <m/>
    <n v="0"/>
    <n v="0"/>
    <n v="0"/>
    <n v="0"/>
    <n v="0"/>
    <m/>
  </r>
  <r>
    <x v="0"/>
    <s v="Jun27 to Jul15"/>
    <x v="0"/>
    <x v="0"/>
    <x v="2"/>
    <m/>
    <m/>
    <x v="2"/>
    <s v="3P"/>
    <x v="10"/>
    <s v="SAC"/>
    <n v="0"/>
    <n v="0"/>
    <n v="0"/>
    <n v="0"/>
    <n v="0"/>
    <n v="0"/>
    <n v="924"/>
    <x v="3"/>
    <s v="Provision (Based on PO, One View)"/>
    <x v="0"/>
    <s v="Variable"/>
    <x v="1"/>
    <s v="DMT"/>
    <m/>
    <n v="0"/>
    <n v="0"/>
    <n v="0"/>
    <n v="0"/>
    <n v="0"/>
    <m/>
  </r>
  <r>
    <x v="0"/>
    <s v="Jun27 to Jul15"/>
    <x v="0"/>
    <x v="0"/>
    <x v="2"/>
    <m/>
    <m/>
    <x v="2"/>
    <s v="3P"/>
    <x v="11"/>
    <s v="TOTAL"/>
    <n v="9202504.1204424165"/>
    <n v="1748475.7828840592"/>
    <n v="10950979.903326476"/>
    <n v="9959.4200437688487"/>
    <n v="1892.2898083160812"/>
    <n v="11851.709852084929"/>
    <n v="924"/>
    <x v="3"/>
    <s v="Provision (Based on PO, One View)"/>
    <x v="0"/>
    <s v="Variable"/>
    <x v="1"/>
    <s v="TOTAL"/>
    <m/>
    <n v="0"/>
    <n v="0"/>
    <n v="0"/>
    <n v="0"/>
    <n v="0"/>
    <m/>
  </r>
  <r>
    <x v="0"/>
    <s v="Jul16 to Jul31"/>
    <x v="0"/>
    <x v="0"/>
    <x v="2"/>
    <m/>
    <m/>
    <x v="2"/>
    <s v="3P"/>
    <x v="0"/>
    <s v="Refrigeration"/>
    <n v="1472757.2515830637"/>
    <n v="0"/>
    <n v="1752581.1293838457"/>
    <n v="1593.8931294189001"/>
    <n v="0"/>
    <n v="1896.732824008491"/>
    <n v="924"/>
    <x v="1"/>
    <s v="Provision (Based on PO, One View)"/>
    <x v="0"/>
    <s v="Variable"/>
    <x v="1"/>
    <s v="CNT"/>
    <m/>
    <n v="0"/>
    <n v="0"/>
    <n v="0"/>
    <n v="0"/>
    <n v="0"/>
    <m/>
  </r>
  <r>
    <x v="0"/>
    <s v="Jul16 to Jul31"/>
    <x v="0"/>
    <x v="0"/>
    <x v="2"/>
    <m/>
    <m/>
    <x v="2"/>
    <s v="3P"/>
    <x v="1"/>
    <s v="Cooking"/>
    <n v="0"/>
    <n v="0"/>
    <n v="0"/>
    <n v="0"/>
    <n v="0"/>
    <n v="0"/>
    <n v="924"/>
    <x v="1"/>
    <s v="Provision (Based on PO, One View)"/>
    <x v="0"/>
    <s v="Variable"/>
    <x v="1"/>
    <s v="CVT"/>
    <m/>
    <n v="0"/>
    <n v="0"/>
    <n v="0"/>
    <n v="0"/>
    <n v="0"/>
    <m/>
  </r>
  <r>
    <x v="0"/>
    <s v="Jul16 to Jul31"/>
    <x v="0"/>
    <x v="0"/>
    <x v="2"/>
    <m/>
    <m/>
    <x v="2"/>
    <s v="3P"/>
    <x v="2"/>
    <s v="Dishwasher"/>
    <n v="0"/>
    <n v="0"/>
    <n v="0"/>
    <n v="0"/>
    <n v="0"/>
    <n v="0"/>
    <n v="924"/>
    <x v="1"/>
    <s v="Provision (Based on PO, One View)"/>
    <x v="0"/>
    <s v="Variable"/>
    <x v="1"/>
    <s v="CDT"/>
    <m/>
    <n v="0"/>
    <n v="0"/>
    <n v="0"/>
    <n v="0"/>
    <n v="0"/>
    <m/>
  </r>
  <r>
    <x v="0"/>
    <s v="Jul16 to Jul31"/>
    <x v="0"/>
    <x v="0"/>
    <x v="2"/>
    <m/>
    <m/>
    <x v="2"/>
    <s v="3P"/>
    <x v="3"/>
    <s v="WM"/>
    <n v="4602366.4111970747"/>
    <n v="0"/>
    <n v="5476816.0293245185"/>
    <n v="4980.9160294340636"/>
    <n v="0"/>
    <n v="5927.2900750265353"/>
    <n v="924"/>
    <x v="1"/>
    <s v="Provision (Based on PO, One View)"/>
    <x v="0"/>
    <s v="Variable"/>
    <x v="1"/>
    <s v="DFT"/>
    <m/>
    <n v="0"/>
    <n v="0"/>
    <n v="0"/>
    <n v="0"/>
    <n v="0"/>
    <m/>
  </r>
  <r>
    <x v="0"/>
    <s v="Jul16 to Jul31"/>
    <x v="0"/>
    <x v="0"/>
    <x v="2"/>
    <m/>
    <m/>
    <x v="2"/>
    <s v="3P"/>
    <x v="4"/>
    <s v="VCC"/>
    <n v="0"/>
    <n v="0"/>
    <n v="0"/>
    <n v="0"/>
    <n v="0"/>
    <n v="0"/>
    <n v="924"/>
    <x v="1"/>
    <s v="Provision (Based on PO, One View)"/>
    <x v="0"/>
    <s v="Variable"/>
    <x v="1"/>
    <s v="DVT"/>
    <m/>
    <n v="0"/>
    <n v="0"/>
    <n v="0"/>
    <n v="0"/>
    <n v="0"/>
    <m/>
  </r>
  <r>
    <x v="0"/>
    <s v="Jul16 to Jul31"/>
    <x v="0"/>
    <x v="0"/>
    <x v="2"/>
    <m/>
    <m/>
    <x v="2"/>
    <s v="3P"/>
    <x v="5"/>
    <s v="Television"/>
    <n v="2798238.7780078212"/>
    <n v="0"/>
    <n v="3329904.1458293069"/>
    <n v="3028.3969458959104"/>
    <n v="0"/>
    <n v="3603.7923656161333"/>
    <n v="924"/>
    <x v="1"/>
    <s v="Provision (Based on PO, One View)"/>
    <x v="0"/>
    <s v="Variable"/>
    <x v="1"/>
    <s v="GLT"/>
    <m/>
    <n v="0"/>
    <n v="0"/>
    <n v="0"/>
    <n v="0"/>
    <n v="0"/>
    <m/>
  </r>
  <r>
    <x v="0"/>
    <s v="Jul16 to Jul31"/>
    <x v="0"/>
    <x v="0"/>
    <x v="2"/>
    <m/>
    <m/>
    <x v="2"/>
    <s v="3P"/>
    <x v="6"/>
    <s v="Audio"/>
    <n v="147275.72515830636"/>
    <n v="0"/>
    <n v="175258.11293838455"/>
    <n v="159.38931294189001"/>
    <n v="0"/>
    <n v="189.6732824008491"/>
    <n v="924"/>
    <x v="1"/>
    <s v="Provision (Based on PO, One View)"/>
    <x v="0"/>
    <s v="Variable"/>
    <x v="1"/>
    <s v="PNT"/>
    <m/>
    <n v="0"/>
    <n v="0"/>
    <n v="0"/>
    <n v="0"/>
    <n v="0"/>
    <m/>
  </r>
  <r>
    <x v="0"/>
    <s v="Jul16 to Jul31"/>
    <x v="0"/>
    <x v="0"/>
    <x v="2"/>
    <m/>
    <m/>
    <x v="2"/>
    <s v="3P"/>
    <x v="7"/>
    <s v="Monitor"/>
    <n v="147275.72515830636"/>
    <n v="0"/>
    <n v="175258.11293838455"/>
    <n v="159.38931294189001"/>
    <n v="0"/>
    <n v="189.6732824008491"/>
    <n v="924"/>
    <x v="1"/>
    <s v="Provision (Based on PO, One View)"/>
    <x v="0"/>
    <s v="Variable"/>
    <x v="1"/>
    <s v="GTT"/>
    <m/>
    <n v="0"/>
    <n v="0"/>
    <n v="0"/>
    <n v="0"/>
    <n v="0"/>
    <m/>
  </r>
  <r>
    <x v="0"/>
    <s v="Jul16 to Jul31"/>
    <x v="0"/>
    <x v="0"/>
    <x v="2"/>
    <m/>
    <m/>
    <x v="2"/>
    <s v="3P"/>
    <x v="8"/>
    <s v="RAC"/>
    <n v="0"/>
    <n v="0"/>
    <n v="0"/>
    <n v="0"/>
    <n v="0"/>
    <n v="0"/>
    <n v="924"/>
    <x v="1"/>
    <s v="Provision (Based on PO, One View)"/>
    <x v="0"/>
    <s v="Variable"/>
    <x v="1"/>
    <s v="DGT"/>
    <m/>
    <n v="0"/>
    <n v="0"/>
    <n v="0"/>
    <n v="0"/>
    <n v="0"/>
    <m/>
  </r>
  <r>
    <x v="0"/>
    <s v="Jul16 to Jul31"/>
    <x v="0"/>
    <x v="0"/>
    <x v="2"/>
    <m/>
    <m/>
    <x v="2"/>
    <s v="3P"/>
    <x v="9"/>
    <s v="Air Cleaner"/>
    <n v="0"/>
    <n v="0"/>
    <n v="0"/>
    <n v="0"/>
    <n v="0"/>
    <n v="0"/>
    <n v="924"/>
    <x v="1"/>
    <s v="Provision (Based on PO, One View)"/>
    <x v="0"/>
    <s v="Variable"/>
    <x v="1"/>
    <s v="DLT"/>
    <m/>
    <n v="0"/>
    <n v="0"/>
    <n v="0"/>
    <n v="0"/>
    <n v="0"/>
    <m/>
  </r>
  <r>
    <x v="0"/>
    <s v="Jul16 to Jul31"/>
    <x v="0"/>
    <x v="0"/>
    <x v="2"/>
    <m/>
    <m/>
    <x v="2"/>
    <s v="3P"/>
    <x v="10"/>
    <s v="SAC"/>
    <n v="0"/>
    <n v="0"/>
    <n v="0"/>
    <n v="0"/>
    <n v="0"/>
    <n v="0"/>
    <n v="924"/>
    <x v="1"/>
    <s v="Provision (Based on PO, One View)"/>
    <x v="0"/>
    <s v="Variable"/>
    <x v="1"/>
    <s v="DMT"/>
    <m/>
    <n v="0"/>
    <n v="0"/>
    <n v="0"/>
    <n v="0"/>
    <n v="0"/>
    <m/>
  </r>
  <r>
    <x v="0"/>
    <s v="Jul16 to Jul31"/>
    <x v="0"/>
    <x v="0"/>
    <x v="2"/>
    <m/>
    <m/>
    <x v="2"/>
    <s v="3P"/>
    <x v="11"/>
    <s v="TOTAL"/>
    <n v="9167913.8911045715"/>
    <n v="1741903.6393098687"/>
    <n v="10909817.53041444"/>
    <n v="9921.9847306326537"/>
    <n v="1885.1770988202043"/>
    <n v="11807.161829452858"/>
    <n v="924"/>
    <x v="1"/>
    <s v="Provision (Based on PO, One View)"/>
    <x v="0"/>
    <s v="Variable"/>
    <x v="1"/>
    <s v="TOTAL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0"/>
    <s v="Refrigeration"/>
    <n v="414117.40075180947"/>
    <n v="0"/>
    <n v="492799.70689465327"/>
    <n v="464.77822755534174"/>
    <n v="0"/>
    <n v="553.0860907908567"/>
    <n v="891"/>
    <x v="1"/>
    <s v="Provision (Based on PO, One View)"/>
    <x v="0"/>
    <s v="Variable"/>
    <x v="0"/>
    <s v="CN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1"/>
    <s v="Cooking"/>
    <n v="0"/>
    <n v="0"/>
    <n v="0"/>
    <n v="0"/>
    <n v="0"/>
    <n v="0"/>
    <n v="891"/>
    <x v="1"/>
    <s v="Provision (Based on PO, One View)"/>
    <x v="0"/>
    <s v="Variable"/>
    <x v="0"/>
    <s v="CV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2"/>
    <s v="Dishwasher"/>
    <n v="0"/>
    <n v="0"/>
    <n v="0"/>
    <n v="0"/>
    <n v="0"/>
    <n v="0"/>
    <n v="891"/>
    <x v="1"/>
    <s v="Provision (Based on PO, One View)"/>
    <x v="0"/>
    <s v="Variable"/>
    <x v="0"/>
    <s v="CD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3"/>
    <s v="WM"/>
    <n v="490365.70400647318"/>
    <n v="0"/>
    <n v="583535.18776770309"/>
    <n v="550.35432548425717"/>
    <n v="0"/>
    <n v="654.921647326266"/>
    <n v="891"/>
    <x v="1"/>
    <s v="Provision (Based on PO, One View)"/>
    <x v="0"/>
    <s v="Variable"/>
    <x v="0"/>
    <s v="DF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4"/>
    <s v="VCC"/>
    <n v="0"/>
    <n v="0"/>
    <n v="0"/>
    <n v="0"/>
    <n v="0"/>
    <n v="0"/>
    <n v="891"/>
    <x v="1"/>
    <s v="Provision (Based on PO, One View)"/>
    <x v="0"/>
    <s v="Variable"/>
    <x v="0"/>
    <s v="DV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5"/>
    <s v="Television"/>
    <n v="86109.895241717342"/>
    <n v="0"/>
    <n v="102470.77533764363"/>
    <n v="96.644102403723167"/>
    <n v="0"/>
    <n v="115.00648186043057"/>
    <n v="891"/>
    <x v="1"/>
    <s v="Provision (Based on PO, One View)"/>
    <x v="0"/>
    <s v="Variable"/>
    <x v="0"/>
    <s v="GL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6"/>
    <s v="Audio"/>
    <n v="0"/>
    <n v="0"/>
    <n v="0"/>
    <n v="0"/>
    <n v="0"/>
    <n v="0"/>
    <n v="891"/>
    <x v="1"/>
    <s v="Provision (Based on PO, One View)"/>
    <x v="0"/>
    <s v="Variable"/>
    <x v="0"/>
    <s v="PN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7"/>
    <s v="Monitor"/>
    <m/>
    <n v="0"/>
    <n v="0"/>
    <n v="0"/>
    <n v="0"/>
    <n v="0"/>
    <n v="891"/>
    <x v="1"/>
    <s v="Provision (Based on PO, One View)"/>
    <x v="0"/>
    <s v="Variable"/>
    <x v="0"/>
    <s v="GT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8"/>
    <s v="RAC"/>
    <m/>
    <n v="0"/>
    <n v="0"/>
    <n v="0"/>
    <n v="0"/>
    <n v="0"/>
    <n v="891"/>
    <x v="1"/>
    <s v="Provision (Based on PO, One View)"/>
    <x v="0"/>
    <s v="Variable"/>
    <x v="0"/>
    <s v="DG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9"/>
    <s v="Air Cleaner"/>
    <m/>
    <n v="0"/>
    <n v="0"/>
    <n v="0"/>
    <n v="0"/>
    <n v="0"/>
    <n v="891"/>
    <x v="1"/>
    <s v="Provision (Based on PO, One View)"/>
    <x v="0"/>
    <s v="Variable"/>
    <x v="0"/>
    <s v="DL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10"/>
    <s v="SAC"/>
    <m/>
    <n v="0"/>
    <n v="0"/>
    <n v="0"/>
    <n v="0"/>
    <n v="0"/>
    <n v="891"/>
    <x v="1"/>
    <s v="Provision (Based on PO, One View)"/>
    <x v="0"/>
    <s v="Variable"/>
    <x v="0"/>
    <s v="DMT"/>
    <m/>
    <n v="0"/>
    <n v="0"/>
    <n v="0"/>
    <n v="0"/>
    <n v="0"/>
    <m/>
  </r>
  <r>
    <x v="0"/>
    <s v="May11 to May 26"/>
    <x v="2"/>
    <x v="0"/>
    <x v="1"/>
    <d v="2026-06-04T00:00:00"/>
    <n v="3721"/>
    <x v="3"/>
    <s v="3P"/>
    <x v="11"/>
    <s v="TOTAL"/>
    <n v="990593"/>
    <n v="188212.67"/>
    <n v="1178805.67"/>
    <n v="1111.7766554433222"/>
    <n v="211.23756453423121"/>
    <n v="1323.0142199775532"/>
    <n v="891"/>
    <x v="1"/>
    <s v="Provision (Based on PO, One View)"/>
    <x v="0"/>
    <s v="Variable"/>
    <x v="0"/>
    <s v="TOTAL"/>
    <m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0"/>
    <s v="Refrigeration"/>
    <n v="2833971.8922443022"/>
    <n v="0"/>
    <n v="3372426.5517707197"/>
    <n v="3070.3920826048779"/>
    <n v="0"/>
    <n v="3653.7665782998047"/>
    <n v="923"/>
    <x v="3"/>
    <s v="Provision (Based on External Report)"/>
    <x v="0"/>
    <s v="Variable"/>
    <x v="0"/>
    <s v="CNT"/>
    <n v="2479513.6565157967"/>
    <n v="0"/>
    <n v="2950621.2512537977"/>
    <n v="2686.3636581969627"/>
    <n v="0"/>
    <n v="3196.7727532543854"/>
    <m/>
  </r>
  <r>
    <x v="0"/>
    <s v="May 27 to Jun 10"/>
    <x v="1"/>
    <x v="0"/>
    <x v="1"/>
    <d v="2026-07-15T00:00:00"/>
    <n v="3866"/>
    <x v="3"/>
    <s v="3P"/>
    <x v="1"/>
    <s v="Cooking"/>
    <n v="0"/>
    <n v="0"/>
    <n v="0"/>
    <n v="0"/>
    <n v="0"/>
    <n v="0"/>
    <n v="923"/>
    <x v="3"/>
    <s v="Provision (Based on External Report)"/>
    <x v="0"/>
    <s v="Variable"/>
    <x v="0"/>
    <s v="CV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2"/>
    <s v="Dishwasher"/>
    <n v="0"/>
    <n v="0"/>
    <n v="0"/>
    <n v="0"/>
    <n v="0"/>
    <n v="0"/>
    <n v="923"/>
    <x v="3"/>
    <s v="Provision (Based on External Report)"/>
    <x v="0"/>
    <s v="Variable"/>
    <x v="0"/>
    <s v="CD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3"/>
    <s v="WM"/>
    <n v="2026297.187071939"/>
    <n v="0"/>
    <n v="2411293.6526156073"/>
    <n v="2195.338230847171"/>
    <n v="0"/>
    <n v="2612.4524947081331"/>
    <n v="923"/>
    <x v="3"/>
    <s v="Provision (Based on External Report)"/>
    <x v="0"/>
    <s v="Variable"/>
    <x v="0"/>
    <s v="DFT"/>
    <n v="1772858.6374671436"/>
    <n v="0"/>
    <n v="2109701.7785859006"/>
    <n v="1920.7569203327666"/>
    <n v="0"/>
    <n v="2285.7007351959924"/>
    <m/>
  </r>
  <r>
    <x v="0"/>
    <s v="May 27 to Jun 10"/>
    <x v="1"/>
    <x v="0"/>
    <x v="1"/>
    <d v="2026-07-15T00:00:00"/>
    <n v="3866"/>
    <x v="3"/>
    <s v="3P"/>
    <x v="4"/>
    <s v="VCC"/>
    <n v="0"/>
    <n v="0"/>
    <n v="0"/>
    <n v="0"/>
    <n v="0"/>
    <n v="0"/>
    <n v="923"/>
    <x v="3"/>
    <s v="Provision (Based on External Report)"/>
    <x v="0"/>
    <s v="Variable"/>
    <x v="0"/>
    <s v="DV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5"/>
    <s v="Television"/>
    <n v="1746948.8874267892"/>
    <n v="0"/>
    <n v="2078869.176037879"/>
    <n v="1892.6856851861205"/>
    <n v="0"/>
    <n v="2252.2959653714834"/>
    <n v="923"/>
    <x v="3"/>
    <s v="Provision (Based on External Report)"/>
    <x v="0"/>
    <s v="Variable"/>
    <x v="0"/>
    <s v="GLT"/>
    <n v="1528449.7476718083"/>
    <n v="0"/>
    <n v="1818855.1997294519"/>
    <n v="1655.9585565241694"/>
    <n v="0"/>
    <n v="1970.5906822637614"/>
    <m/>
  </r>
  <r>
    <x v="0"/>
    <s v="May 27 to Jun 10"/>
    <x v="1"/>
    <x v="0"/>
    <x v="1"/>
    <d v="2026-07-15T00:00:00"/>
    <n v="3866"/>
    <x v="3"/>
    <s v="3P"/>
    <x v="6"/>
    <s v="Audio"/>
    <n v="0"/>
    <n v="0"/>
    <n v="0"/>
    <n v="0"/>
    <n v="0"/>
    <n v="0"/>
    <n v="923"/>
    <x v="3"/>
    <s v="Provision (Based on External Report)"/>
    <x v="0"/>
    <s v="Variable"/>
    <x v="0"/>
    <s v="PN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7"/>
    <s v="Monitor"/>
    <n v="27657.065804026068"/>
    <n v="0"/>
    <n v="32911.908306791018"/>
    <n v="29.964318314221092"/>
    <n v="0"/>
    <n v="35.657538793923095"/>
    <n v="923"/>
    <x v="3"/>
    <s v="Provision (Based on External Report)"/>
    <x v="0"/>
    <s v="Variable"/>
    <x v="0"/>
    <s v="GTT"/>
    <n v="24197.86609313593"/>
    <n v="0"/>
    <n v="28795.460650831756"/>
    <n v="26.216539645867748"/>
    <n v="0"/>
    <n v="31.197682178582617"/>
    <m/>
  </r>
  <r>
    <x v="0"/>
    <s v="May 27 to Jun 10"/>
    <x v="1"/>
    <x v="0"/>
    <x v="1"/>
    <d v="2026-07-15T00:00:00"/>
    <n v="3866"/>
    <x v="3"/>
    <s v="3P"/>
    <x v="8"/>
    <s v="RAC"/>
    <n v="0"/>
    <n v="0"/>
    <n v="0"/>
    <n v="0"/>
    <n v="0"/>
    <n v="0"/>
    <n v="923"/>
    <x v="3"/>
    <s v="Provision (Based on External Report)"/>
    <x v="0"/>
    <s v="Variable"/>
    <x v="0"/>
    <s v="DG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9"/>
    <s v="Air Cleaner"/>
    <n v="7190.9674529434978"/>
    <n v="0"/>
    <n v="8557.2512690027615"/>
    <n v="7.7908639793537358"/>
    <n v="0"/>
    <n v="9.2711281354309456"/>
    <n v="923"/>
    <x v="3"/>
    <s v="Provision (Based on External Report)"/>
    <x v="0"/>
    <s v="Variable"/>
    <x v="0"/>
    <s v="DLT"/>
    <n v="6291.559225385914"/>
    <n v="0"/>
    <n v="7486.9554782092373"/>
    <n v="6.8164238628233091"/>
    <n v="0"/>
    <n v="8.1115443967597383"/>
    <m/>
  </r>
  <r>
    <x v="0"/>
    <s v="May 27 to Jun 10"/>
    <x v="1"/>
    <x v="0"/>
    <x v="1"/>
    <d v="2026-07-15T00:00:00"/>
    <n v="3866"/>
    <x v="3"/>
    <s v="3P"/>
    <x v="10"/>
    <s v="SAC"/>
    <n v="0"/>
    <n v="0"/>
    <n v="0"/>
    <n v="0"/>
    <n v="0"/>
    <n v="0"/>
    <n v="923"/>
    <x v="3"/>
    <s v="Provision (Based on External Report)"/>
    <x v="0"/>
    <s v="Variable"/>
    <x v="0"/>
    <s v="DM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11"/>
    <s v="TOTAL"/>
    <n v="6642066"/>
    <n v="1261992.54"/>
    <n v="7904058.54"/>
    <n v="7196.1711809317439"/>
    <n v="1367.2725243770315"/>
    <n v="8563.443705308775"/>
    <n v="923"/>
    <x v="3"/>
    <s v="Provision (Based on External Report)"/>
    <x v="0"/>
    <s v="Variable"/>
    <x v="0"/>
    <s v="TOTAL"/>
    <n v="5811311.4669732703"/>
    <n v="1104149.1787249213"/>
    <n v="6915460.6456981916"/>
    <n v="6296.1120985625894"/>
    <n v="1196.2612987268919"/>
    <n v="7492.3733972894806"/>
    <m/>
  </r>
  <r>
    <x v="0"/>
    <s v="May 27 to Jun 10"/>
    <x v="1"/>
    <x v="0"/>
    <x v="1"/>
    <d v="2026-07-15T00:00:00"/>
    <n v="3866"/>
    <x v="3"/>
    <s v="3P"/>
    <x v="0"/>
    <s v="Refrigeration"/>
    <m/>
    <n v="0"/>
    <n v="0"/>
    <n v="0"/>
    <n v="0"/>
    <n v="0"/>
    <n v="923"/>
    <x v="4"/>
    <s v="Provision (Based on External Report)"/>
    <x v="0"/>
    <s v="Variable"/>
    <x v="0"/>
    <s v="CNT"/>
    <n v="747808.45054630388"/>
    <n v="0"/>
    <n v="889892.05615010159"/>
    <n v="810.19333753662397"/>
    <n v="0"/>
    <n v="964.13007166858245"/>
    <m/>
  </r>
  <r>
    <x v="0"/>
    <s v="May 27 to Jun 10"/>
    <x v="1"/>
    <x v="0"/>
    <x v="1"/>
    <d v="2026-07-15T00:00:00"/>
    <n v="3866"/>
    <x v="3"/>
    <s v="3P"/>
    <x v="1"/>
    <s v="Cooking"/>
    <m/>
    <n v="0"/>
    <n v="0"/>
    <n v="0"/>
    <n v="0"/>
    <n v="0"/>
    <n v="923"/>
    <x v="4"/>
    <s v="Provision (Based on External Report)"/>
    <x v="0"/>
    <s v="Variable"/>
    <x v="0"/>
    <s v="CV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2"/>
    <s v="Dishwasher"/>
    <m/>
    <n v="0"/>
    <n v="0"/>
    <n v="0"/>
    <n v="0"/>
    <n v="0"/>
    <n v="923"/>
    <x v="4"/>
    <s v="Provision (Based on External Report)"/>
    <x v="0"/>
    <s v="Variable"/>
    <x v="0"/>
    <s v="CD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3"/>
    <s v="WM"/>
    <m/>
    <n v="0"/>
    <n v="0"/>
    <n v="0"/>
    <n v="0"/>
    <n v="0"/>
    <n v="923"/>
    <x v="4"/>
    <s v="Provision (Based on External Report)"/>
    <x v="0"/>
    <s v="Variable"/>
    <x v="0"/>
    <s v="DFT"/>
    <n v="534684.96422193025"/>
    <n v="0"/>
    <n v="636275.10742409702"/>
    <n v="579.29031876698832"/>
    <n v="0"/>
    <n v="689.35547933271607"/>
    <m/>
  </r>
  <r>
    <x v="0"/>
    <s v="May 27 to Jun 10"/>
    <x v="1"/>
    <x v="0"/>
    <x v="1"/>
    <d v="2026-07-15T00:00:00"/>
    <n v="3866"/>
    <x v="3"/>
    <s v="3P"/>
    <x v="4"/>
    <s v="VCC"/>
    <m/>
    <n v="0"/>
    <n v="0"/>
    <n v="0"/>
    <n v="0"/>
    <n v="0"/>
    <n v="923"/>
    <x v="4"/>
    <s v="Provision (Based on External Report)"/>
    <x v="0"/>
    <s v="Variable"/>
    <x v="0"/>
    <s v="DV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5"/>
    <s v="Television"/>
    <m/>
    <n v="0"/>
    <n v="0"/>
    <n v="0"/>
    <n v="0"/>
    <n v="0"/>
    <n v="923"/>
    <x v="4"/>
    <s v="Provision (Based on External Report)"/>
    <x v="0"/>
    <s v="Variable"/>
    <x v="0"/>
    <s v="GLT"/>
    <n v="460972.51150068926"/>
    <n v="0"/>
    <n v="548557.28868582018"/>
    <n v="499.4285065012885"/>
    <n v="0"/>
    <n v="594.31992273653327"/>
    <m/>
  </r>
  <r>
    <x v="0"/>
    <s v="May 27 to Jun 10"/>
    <x v="1"/>
    <x v="0"/>
    <x v="1"/>
    <d v="2026-07-15T00:00:00"/>
    <n v="3866"/>
    <x v="3"/>
    <s v="3P"/>
    <x v="6"/>
    <s v="Audio"/>
    <m/>
    <n v="0"/>
    <n v="0"/>
    <n v="0"/>
    <n v="0"/>
    <n v="0"/>
    <n v="923"/>
    <x v="4"/>
    <s v="Provision (Based on External Report)"/>
    <x v="0"/>
    <s v="Variable"/>
    <x v="0"/>
    <s v="PN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7"/>
    <s v="Monitor"/>
    <m/>
    <n v="0"/>
    <n v="0"/>
    <n v="0"/>
    <n v="0"/>
    <n v="0"/>
    <n v="923"/>
    <x v="4"/>
    <s v="Provision (Based on External Report)"/>
    <x v="0"/>
    <s v="Variable"/>
    <x v="0"/>
    <s v="GTT"/>
    <n v="7297.9508308344912"/>
    <n v="0"/>
    <n v="8684.5614886930434"/>
    <n v="7.9067722977621786"/>
    <n v="0"/>
    <n v="9.4090590343369929"/>
    <m/>
  </r>
  <r>
    <x v="0"/>
    <s v="May 27 to Jun 10"/>
    <x v="1"/>
    <x v="0"/>
    <x v="1"/>
    <d v="2026-07-15T00:00:00"/>
    <n v="3866"/>
    <x v="3"/>
    <s v="3P"/>
    <x v="8"/>
    <s v="RAC"/>
    <m/>
    <n v="0"/>
    <n v="0"/>
    <n v="0"/>
    <n v="0"/>
    <n v="0"/>
    <n v="923"/>
    <x v="4"/>
    <s v="Provision (Based on External Report)"/>
    <x v="0"/>
    <s v="Variable"/>
    <x v="0"/>
    <s v="DG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9"/>
    <s v="Air Cleaner"/>
    <m/>
    <n v="0"/>
    <n v="0"/>
    <n v="0"/>
    <n v="0"/>
    <n v="0"/>
    <n v="923"/>
    <x v="4"/>
    <s v="Provision (Based on External Report)"/>
    <x v="0"/>
    <s v="Variable"/>
    <x v="0"/>
    <s v="DLT"/>
    <n v="1897.5016102421578"/>
    <n v="0"/>
    <n v="2258.0269161881674"/>
    <n v="2.055798060934082"/>
    <n v="0"/>
    <n v="2.4463996925115574"/>
    <m/>
  </r>
  <r>
    <x v="0"/>
    <s v="May 27 to Jun 10"/>
    <x v="1"/>
    <x v="0"/>
    <x v="1"/>
    <d v="2026-07-15T00:00:00"/>
    <n v="3866"/>
    <x v="3"/>
    <s v="3P"/>
    <x v="10"/>
    <s v="SAC"/>
    <m/>
    <n v="0"/>
    <n v="0"/>
    <n v="0"/>
    <n v="0"/>
    <n v="0"/>
    <n v="923"/>
    <x v="4"/>
    <s v="Provision (Based on External Report)"/>
    <x v="0"/>
    <s v="Variable"/>
    <x v="0"/>
    <s v="DMT"/>
    <n v="0"/>
    <n v="0"/>
    <n v="0"/>
    <n v="0"/>
    <n v="0"/>
    <n v="0"/>
    <m/>
  </r>
  <r>
    <x v="0"/>
    <s v="May 27 to Jun 10"/>
    <x v="1"/>
    <x v="0"/>
    <x v="1"/>
    <d v="2026-07-15T00:00:00"/>
    <n v="3866"/>
    <x v="3"/>
    <s v="3P"/>
    <x v="11"/>
    <s v="TOTAL"/>
    <n v="0"/>
    <n v="0"/>
    <n v="0"/>
    <n v="0"/>
    <n v="0"/>
    <n v="0"/>
    <n v="923"/>
    <x v="4"/>
    <s v="Provision (Based on External Report)"/>
    <x v="0"/>
    <s v="Variable"/>
    <x v="0"/>
    <s v="TOTAL"/>
    <n v="1752661.3787099998"/>
    <n v="333005.66195489996"/>
    <n v="2085667.0406648996"/>
    <n v="1898.8747331635968"/>
    <n v="360.7861993010834"/>
    <n v="2259.6609324646802"/>
    <m/>
  </r>
  <r>
    <x v="0"/>
    <s v="Jun 10 to Jun 26"/>
    <x v="1"/>
    <x v="0"/>
    <x v="1"/>
    <d v="2026-07-15T00:00:00"/>
    <n v="3869"/>
    <x v="3"/>
    <s v="3P"/>
    <x v="0"/>
    <s v="Refrigeration"/>
    <n v="1010504"/>
    <n v="0"/>
    <n v="1202499.76"/>
    <n v="1094.8039003250271"/>
    <n v="0"/>
    <n v="1302.8166413867823"/>
    <n v="923"/>
    <x v="1"/>
    <s v="Provision (Based on PO, One View)"/>
    <x v="0"/>
    <s v="Variable"/>
    <x v="0"/>
    <s v="CNT"/>
    <n v="1263305.7202933729"/>
    <n v="0"/>
    <n v="1503333.8071491136"/>
    <n v="1368.6952549223975"/>
    <n v="0"/>
    <n v="1628.7473533576529"/>
    <m/>
  </r>
  <r>
    <x v="0"/>
    <s v="Jun 10 to Jun 26"/>
    <x v="1"/>
    <x v="0"/>
    <x v="1"/>
    <d v="2026-07-15T00:00:00"/>
    <n v="3869"/>
    <x v="3"/>
    <s v="3P"/>
    <x v="1"/>
    <s v="Cooking"/>
    <n v="0"/>
    <n v="0"/>
    <n v="0"/>
    <n v="0"/>
    <n v="0"/>
    <n v="0"/>
    <n v="923"/>
    <x v="1"/>
    <s v="Provision (Based on PO, One View)"/>
    <x v="0"/>
    <s v="Variable"/>
    <x v="0"/>
    <s v="CVT"/>
    <n v="0"/>
    <n v="0"/>
    <n v="0"/>
    <n v="0"/>
    <n v="0"/>
    <n v="0"/>
    <m/>
  </r>
  <r>
    <x v="0"/>
    <s v="Jun 10 to Jun 26"/>
    <x v="1"/>
    <x v="0"/>
    <x v="1"/>
    <d v="2026-07-15T00:00:00"/>
    <n v="3869"/>
    <x v="3"/>
    <s v="3P"/>
    <x v="2"/>
    <s v="Dishwasher"/>
    <n v="0"/>
    <n v="0"/>
    <n v="0"/>
    <n v="0"/>
    <n v="0"/>
    <n v="0"/>
    <n v="923"/>
    <x v="1"/>
    <s v="Provision (Based on PO, One View)"/>
    <x v="0"/>
    <s v="Variable"/>
    <x v="0"/>
    <s v="CDT"/>
    <n v="0"/>
    <n v="0"/>
    <n v="0"/>
    <n v="0"/>
    <n v="0"/>
    <n v="0"/>
    <m/>
  </r>
  <r>
    <x v="0"/>
    <s v="Jun 10 to Jun 26"/>
    <x v="1"/>
    <x v="0"/>
    <x v="1"/>
    <d v="2026-07-15T00:00:00"/>
    <n v="3869"/>
    <x v="3"/>
    <s v="3P"/>
    <x v="3"/>
    <s v="WM"/>
    <n v="722512.00000000047"/>
    <n v="0"/>
    <n v="859789.28000000049"/>
    <n v="782.78656554712938"/>
    <n v="0"/>
    <n v="931.51601300108393"/>
    <n v="923"/>
    <x v="1"/>
    <s v="Provision (Based on PO, One View)"/>
    <x v="0"/>
    <s v="Variable"/>
    <x v="0"/>
    <s v="DFT"/>
    <n v="903266.83706631523"/>
    <n v="0"/>
    <n v="1074887.536108915"/>
    <n v="978.62062520727545"/>
    <n v="0"/>
    <n v="1164.5585439966578"/>
    <m/>
  </r>
  <r>
    <x v="0"/>
    <s v="Jun 10 to Jun 26"/>
    <x v="1"/>
    <x v="0"/>
    <x v="1"/>
    <d v="2026-07-15T00:00:00"/>
    <n v="3869"/>
    <x v="3"/>
    <s v="3P"/>
    <x v="4"/>
    <s v="VCC"/>
    <n v="0"/>
    <n v="0"/>
    <n v="0"/>
    <n v="0"/>
    <n v="0"/>
    <n v="0"/>
    <n v="923"/>
    <x v="1"/>
    <s v="Provision (Based on PO, One View)"/>
    <x v="0"/>
    <s v="Variable"/>
    <x v="0"/>
    <s v="DVT"/>
    <n v="0"/>
    <n v="0"/>
    <n v="0"/>
    <n v="0"/>
    <n v="0"/>
    <n v="0"/>
    <m/>
  </r>
  <r>
    <x v="0"/>
    <s v="Jun 10 to Jun 26"/>
    <x v="1"/>
    <x v="0"/>
    <x v="1"/>
    <d v="2026-07-15T00:00:00"/>
    <n v="3869"/>
    <x v="3"/>
    <s v="3P"/>
    <x v="5"/>
    <s v="Television"/>
    <n v="622906"/>
    <n v="0"/>
    <n v="741258.14"/>
    <n v="674.87107258938249"/>
    <n v="0"/>
    <n v="803.09657638136514"/>
    <n v="923"/>
    <x v="1"/>
    <s v="Provision (Based on PO, One View)"/>
    <x v="0"/>
    <s v="Variable"/>
    <x v="0"/>
    <s v="GLT"/>
    <n v="778741.14721676928"/>
    <n v="0"/>
    <n v="926701.96518795541"/>
    <n v="843.70655169747488"/>
    <n v="0"/>
    <n v="1004.0107965199951"/>
    <m/>
  </r>
  <r>
    <x v="0"/>
    <s v="Jun 10 to Jun 26"/>
    <x v="1"/>
    <x v="0"/>
    <x v="1"/>
    <d v="2026-07-15T00:00:00"/>
    <n v="3869"/>
    <x v="3"/>
    <s v="3P"/>
    <x v="6"/>
    <s v="Audio"/>
    <n v="0"/>
    <n v="0"/>
    <n v="0"/>
    <n v="0"/>
    <n v="0"/>
    <n v="0"/>
    <n v="923"/>
    <x v="1"/>
    <s v="Provision (Based on PO, One View)"/>
    <x v="0"/>
    <s v="Variable"/>
    <x v="0"/>
    <s v="PNT"/>
    <n v="0"/>
    <n v="0"/>
    <n v="0"/>
    <n v="0"/>
    <n v="0"/>
    <n v="0"/>
    <m/>
  </r>
  <r>
    <x v="0"/>
    <s v="Jun 10 to Jun 26"/>
    <x v="1"/>
    <x v="0"/>
    <x v="1"/>
    <d v="2026-07-15T00:00:00"/>
    <n v="3869"/>
    <x v="3"/>
    <s v="3P"/>
    <x v="7"/>
    <s v="Monitor"/>
    <n v="9862"/>
    <n v="0"/>
    <n v="11735.779999999999"/>
    <n v="10.684723726977248"/>
    <n v="0"/>
    <n v="12.714821235102924"/>
    <n v="923"/>
    <x v="1"/>
    <s v="Provision (Based on PO, One View)"/>
    <x v="0"/>
    <s v="Variable"/>
    <x v="0"/>
    <s v="GTT"/>
    <n v="12328.749460209687"/>
    <n v="0"/>
    <n v="14671.211857649527"/>
    <n v="13.35725835342328"/>
    <n v="0"/>
    <n v="15.895137440573702"/>
    <m/>
  </r>
  <r>
    <x v="0"/>
    <s v="Jun 10 to Jun 26"/>
    <x v="1"/>
    <x v="0"/>
    <x v="1"/>
    <d v="2026-07-15T00:00:00"/>
    <n v="3869"/>
    <x v="3"/>
    <s v="3P"/>
    <x v="8"/>
    <s v="RAC"/>
    <n v="0"/>
    <n v="0"/>
    <n v="0"/>
    <n v="0"/>
    <n v="0"/>
    <n v="0"/>
    <n v="923"/>
    <x v="1"/>
    <s v="Provision (Based on PO, One View)"/>
    <x v="0"/>
    <s v="Variable"/>
    <x v="0"/>
    <s v="DGT"/>
    <n v="0"/>
    <n v="0"/>
    <n v="0"/>
    <n v="0"/>
    <n v="0"/>
    <n v="0"/>
    <m/>
  </r>
  <r>
    <x v="0"/>
    <s v="Jun 10 to Jun 26"/>
    <x v="1"/>
    <x v="0"/>
    <x v="1"/>
    <d v="2026-07-15T00:00:00"/>
    <n v="3869"/>
    <x v="3"/>
    <s v="3P"/>
    <x v="9"/>
    <s v="Air Cleaner"/>
    <n v="2564"/>
    <n v="0"/>
    <n v="3051.16"/>
    <n v="2.7778981581798483"/>
    <n v="0"/>
    <n v="3.3056988082340193"/>
    <n v="923"/>
    <x v="1"/>
    <s v="Provision (Based on PO, One View)"/>
    <x v="0"/>
    <s v="Variable"/>
    <x v="0"/>
    <s v="DLT"/>
    <n v="3205.5329633325337"/>
    <n v="0"/>
    <n v="3814.584226365715"/>
    <n v="3.4729501227871435"/>
    <n v="0"/>
    <n v="4.1328106461167007"/>
    <m/>
  </r>
  <r>
    <x v="0"/>
    <s v="Jun 10 to Jun 26"/>
    <x v="1"/>
    <x v="0"/>
    <x v="1"/>
    <d v="2026-07-15T00:00:00"/>
    <n v="3869"/>
    <x v="3"/>
    <s v="3P"/>
    <x v="10"/>
    <s v="SAC"/>
    <m/>
    <n v="0"/>
    <n v="0"/>
    <n v="0"/>
    <n v="0"/>
    <n v="0"/>
    <n v="923"/>
    <x v="1"/>
    <s v="Provision (Based on PO, One View)"/>
    <x v="0"/>
    <s v="Variable"/>
    <x v="0"/>
    <s v="DMT"/>
    <n v="0"/>
    <n v="0"/>
    <n v="0"/>
    <n v="0"/>
    <n v="0"/>
    <n v="0"/>
    <m/>
  </r>
  <r>
    <x v="0"/>
    <s v="Jun 10 to Jun 26"/>
    <x v="1"/>
    <x v="0"/>
    <x v="1"/>
    <d v="2026-07-15T00:00:00"/>
    <n v="3869"/>
    <x v="3"/>
    <s v="3P"/>
    <x v="11"/>
    <s v="TOTAL"/>
    <n v="2368348.0000000005"/>
    <n v="449986.12000000011"/>
    <n v="2818334.1200000006"/>
    <n v="2565.9241603466962"/>
    <n v="487.52559046587231"/>
    <n v="3053.4497508125683"/>
    <n v="923"/>
    <x v="1"/>
    <s v="Provision (Based on PO, One View)"/>
    <x v="0"/>
    <s v="Variable"/>
    <x v="0"/>
    <s v="TOTAL"/>
    <n v="2960847.9869999997"/>
    <n v="562561.11752999993"/>
    <n v="3523409.1045299997"/>
    <n v="3207.8526403033584"/>
    <n v="609.49200165763807"/>
    <n v="3817.3446419609963"/>
    <m/>
  </r>
  <r>
    <x v="0"/>
    <s v="Jun27 to Jul15"/>
    <x v="0"/>
    <x v="0"/>
    <x v="2"/>
    <m/>
    <m/>
    <x v="3"/>
    <s v="3P"/>
    <x v="0"/>
    <s v="Refrigeration"/>
    <n v="626904.16936497018"/>
    <n v="0"/>
    <n v="746015.96154431452"/>
    <n v="678.46771576295475"/>
    <n v="0"/>
    <n v="807.37658175791614"/>
    <n v="924"/>
    <x v="3"/>
    <s v="Provision (Based on PO, One View)"/>
    <x v="0"/>
    <s v="Variable"/>
    <x v="1"/>
    <s v="CNT"/>
    <m/>
    <n v="0"/>
    <n v="0"/>
    <n v="0"/>
    <n v="0"/>
    <n v="0"/>
    <m/>
  </r>
  <r>
    <x v="0"/>
    <s v="Jun27 to Jul15"/>
    <x v="0"/>
    <x v="0"/>
    <x v="2"/>
    <m/>
    <m/>
    <x v="3"/>
    <s v="3P"/>
    <x v="1"/>
    <s v="Cooking"/>
    <n v="0"/>
    <n v="0"/>
    <n v="0"/>
    <n v="0"/>
    <n v="0"/>
    <n v="0"/>
    <n v="924"/>
    <x v="3"/>
    <s v="Provision (Based on PO, One View)"/>
    <x v="0"/>
    <s v="Variable"/>
    <x v="1"/>
    <s v="CVT"/>
    <m/>
    <n v="0"/>
    <n v="0"/>
    <n v="0"/>
    <n v="0"/>
    <n v="0"/>
    <m/>
  </r>
  <r>
    <x v="0"/>
    <s v="Jun27 to Jul15"/>
    <x v="0"/>
    <x v="0"/>
    <x v="2"/>
    <m/>
    <m/>
    <x v="3"/>
    <s v="3P"/>
    <x v="2"/>
    <s v="Dishwasher"/>
    <n v="0"/>
    <n v="0"/>
    <n v="0"/>
    <n v="0"/>
    <n v="0"/>
    <n v="0"/>
    <n v="924"/>
    <x v="3"/>
    <s v="Provision (Based on PO, One View)"/>
    <x v="0"/>
    <s v="Variable"/>
    <x v="1"/>
    <s v="CDT"/>
    <m/>
    <n v="0"/>
    <n v="0"/>
    <n v="0"/>
    <n v="0"/>
    <n v="0"/>
    <m/>
  </r>
  <r>
    <x v="0"/>
    <s v="Jun27 to Jul15"/>
    <x v="0"/>
    <x v="0"/>
    <x v="2"/>
    <m/>
    <m/>
    <x v="3"/>
    <s v="3P"/>
    <x v="3"/>
    <s v="WM"/>
    <n v="1339295.2709160727"/>
    <n v="0"/>
    <n v="1593761.3723901263"/>
    <n v="1449.4537564026759"/>
    <n v="0"/>
    <n v="1724.8499701191843"/>
    <n v="924"/>
    <x v="3"/>
    <s v="Provision (Based on PO, One View)"/>
    <x v="0"/>
    <s v="Variable"/>
    <x v="1"/>
    <s v="DFT"/>
    <m/>
    <n v="0"/>
    <n v="0"/>
    <n v="0"/>
    <n v="0"/>
    <n v="0"/>
    <m/>
  </r>
  <r>
    <x v="0"/>
    <s v="Jun27 to Jul15"/>
    <x v="0"/>
    <x v="0"/>
    <x v="2"/>
    <m/>
    <m/>
    <x v="3"/>
    <s v="3P"/>
    <x v="4"/>
    <s v="VCC"/>
    <n v="0"/>
    <n v="0"/>
    <n v="0"/>
    <n v="0"/>
    <n v="0"/>
    <n v="0"/>
    <n v="924"/>
    <x v="3"/>
    <s v="Provision (Based on PO, One View)"/>
    <x v="0"/>
    <s v="Variable"/>
    <x v="1"/>
    <s v="DVT"/>
    <m/>
    <n v="0"/>
    <n v="0"/>
    <n v="0"/>
    <n v="0"/>
    <n v="0"/>
    <m/>
  </r>
  <r>
    <x v="0"/>
    <s v="Jun27 to Jul15"/>
    <x v="0"/>
    <x v="0"/>
    <x v="2"/>
    <m/>
    <m/>
    <x v="3"/>
    <s v="3P"/>
    <x v="5"/>
    <s v="Television"/>
    <n v="712391.10155110247"/>
    <n v="0"/>
    <n v="847745.41084581194"/>
    <n v="770.9860406397213"/>
    <n v="0"/>
    <n v="917.47338836126835"/>
    <n v="924"/>
    <x v="3"/>
    <s v="Provision (Based on PO, One View)"/>
    <x v="0"/>
    <s v="Variable"/>
    <x v="1"/>
    <s v="GLT"/>
    <m/>
    <n v="0"/>
    <n v="0"/>
    <n v="0"/>
    <n v="0"/>
    <n v="0"/>
    <m/>
  </r>
  <r>
    <x v="0"/>
    <s v="Jun27 to Jul15"/>
    <x v="0"/>
    <x v="0"/>
    <x v="2"/>
    <m/>
    <m/>
    <x v="3"/>
    <s v="3P"/>
    <x v="6"/>
    <s v="Audio"/>
    <n v="0"/>
    <n v="0"/>
    <n v="0"/>
    <n v="0"/>
    <n v="0"/>
    <n v="0"/>
    <n v="924"/>
    <x v="3"/>
    <s v="Provision (Based on PO, One View)"/>
    <x v="0"/>
    <s v="Variable"/>
    <x v="1"/>
    <s v="PNT"/>
    <m/>
    <n v="0"/>
    <n v="0"/>
    <n v="0"/>
    <n v="0"/>
    <n v="0"/>
    <m/>
  </r>
  <r>
    <x v="0"/>
    <s v="Jun27 to Jul15"/>
    <x v="0"/>
    <x v="0"/>
    <x v="2"/>
    <m/>
    <m/>
    <x v="3"/>
    <s v="3P"/>
    <x v="7"/>
    <s v="Monitor"/>
    <n v="56991.288124088198"/>
    <n v="0"/>
    <n v="67819.632867664957"/>
    <n v="61.678883251177702"/>
    <n v="0"/>
    <n v="73.397871068901466"/>
    <n v="924"/>
    <x v="3"/>
    <s v="Provision (Based on PO, One View)"/>
    <x v="0"/>
    <s v="Variable"/>
    <x v="1"/>
    <s v="GTT"/>
    <m/>
    <n v="0"/>
    <n v="0"/>
    <n v="0"/>
    <n v="0"/>
    <n v="0"/>
    <m/>
  </r>
  <r>
    <x v="0"/>
    <s v="Jun27 to Jul15"/>
    <x v="0"/>
    <x v="0"/>
    <x v="2"/>
    <m/>
    <m/>
    <x v="3"/>
    <s v="3P"/>
    <x v="8"/>
    <s v="RAC"/>
    <n v="0"/>
    <n v="0"/>
    <n v="0"/>
    <n v="0"/>
    <n v="0"/>
    <n v="0"/>
    <n v="924"/>
    <x v="3"/>
    <s v="Provision (Based on PO, One View)"/>
    <x v="0"/>
    <s v="Variable"/>
    <x v="1"/>
    <s v="DGT"/>
    <m/>
    <n v="0"/>
    <n v="0"/>
    <n v="0"/>
    <n v="0"/>
    <n v="0"/>
    <m/>
  </r>
  <r>
    <x v="0"/>
    <s v="Jun27 to Jul15"/>
    <x v="0"/>
    <x v="0"/>
    <x v="2"/>
    <m/>
    <m/>
    <x v="3"/>
    <s v="3P"/>
    <x v="9"/>
    <s v="Air Cleaner"/>
    <m/>
    <n v="0"/>
    <n v="0"/>
    <n v="0"/>
    <n v="0"/>
    <n v="0"/>
    <n v="924"/>
    <x v="3"/>
    <s v="Provision (Based on PO, One View)"/>
    <x v="0"/>
    <s v="Variable"/>
    <x v="1"/>
    <s v="DLT"/>
    <m/>
    <n v="0"/>
    <n v="0"/>
    <n v="0"/>
    <n v="0"/>
    <n v="0"/>
    <m/>
  </r>
  <r>
    <x v="0"/>
    <s v="Jun27 to Jul15"/>
    <x v="0"/>
    <x v="0"/>
    <x v="2"/>
    <m/>
    <m/>
    <x v="3"/>
    <s v="3P"/>
    <x v="10"/>
    <s v="SAC"/>
    <m/>
    <n v="0"/>
    <n v="0"/>
    <n v="0"/>
    <n v="0"/>
    <n v="0"/>
    <n v="924"/>
    <x v="3"/>
    <s v="Provision (Based on PO, One View)"/>
    <x v="0"/>
    <s v="Variable"/>
    <x v="1"/>
    <s v="DMT"/>
    <m/>
    <n v="0"/>
    <n v="0"/>
    <n v="0"/>
    <n v="0"/>
    <n v="0"/>
    <m/>
  </r>
  <r>
    <x v="0"/>
    <s v="Jun27 to Jul15"/>
    <x v="0"/>
    <x v="0"/>
    <x v="2"/>
    <m/>
    <m/>
    <x v="3"/>
    <s v="3P"/>
    <x v="11"/>
    <s v="TOTAL"/>
    <n v="2735581.8299562335"/>
    <n v="519760.54769168439"/>
    <n v="3255342.3776479177"/>
    <n v="2960.5863960565298"/>
    <n v="562.5114152507407"/>
    <n v="3523.0978113072701"/>
    <n v="924"/>
    <x v="3"/>
    <s v="Provision (Based on PO, One View)"/>
    <x v="0"/>
    <s v="Variable"/>
    <x v="1"/>
    <s v="TOTAL"/>
    <m/>
    <n v="0"/>
    <n v="0"/>
    <n v="0"/>
    <n v="0"/>
    <n v="0"/>
    <m/>
  </r>
  <r>
    <x v="0"/>
    <s v="Jul16 to Jul31"/>
    <x v="0"/>
    <x v="0"/>
    <x v="2"/>
    <m/>
    <m/>
    <x v="3"/>
    <s v="3P"/>
    <x v="0"/>
    <s v="Refrigeration"/>
    <n v="1503053.3638034689"/>
    <n v="0"/>
    <n v="1788633.502926128"/>
    <n v="1626.6811296574338"/>
    <n v="0"/>
    <n v="1935.7505442923461"/>
    <n v="924"/>
    <x v="1"/>
    <s v="Provision (Based on PO, One View)"/>
    <x v="0"/>
    <s v="Variable"/>
    <x v="1"/>
    <s v="CNT"/>
    <m/>
    <n v="0"/>
    <n v="0"/>
    <n v="0"/>
    <n v="0"/>
    <n v="0"/>
    <m/>
  </r>
  <r>
    <x v="0"/>
    <s v="Jul16 to Jul31"/>
    <x v="0"/>
    <x v="0"/>
    <x v="2"/>
    <m/>
    <m/>
    <x v="3"/>
    <s v="3P"/>
    <x v="1"/>
    <s v="Cooking"/>
    <n v="0"/>
    <n v="0"/>
    <n v="0"/>
    <n v="0"/>
    <n v="0"/>
    <n v="0"/>
    <n v="924"/>
    <x v="1"/>
    <s v="Provision (Based on PO, One View)"/>
    <x v="0"/>
    <s v="Variable"/>
    <x v="1"/>
    <s v="CVT"/>
    <m/>
    <n v="0"/>
    <n v="0"/>
    <n v="0"/>
    <n v="0"/>
    <n v="0"/>
    <m/>
  </r>
  <r>
    <x v="0"/>
    <s v="Jul16 to Jul31"/>
    <x v="0"/>
    <x v="0"/>
    <x v="2"/>
    <m/>
    <m/>
    <x v="3"/>
    <s v="3P"/>
    <x v="2"/>
    <s v="Dishwasher"/>
    <n v="0"/>
    <n v="0"/>
    <n v="0"/>
    <n v="0"/>
    <n v="0"/>
    <n v="0"/>
    <n v="924"/>
    <x v="1"/>
    <s v="Provision (Based on PO, One View)"/>
    <x v="0"/>
    <s v="Variable"/>
    <x v="1"/>
    <s v="CDT"/>
    <m/>
    <n v="0"/>
    <n v="0"/>
    <n v="0"/>
    <n v="0"/>
    <n v="0"/>
    <m/>
  </r>
  <r>
    <x v="0"/>
    <s v="Jul16 to Jul31"/>
    <x v="0"/>
    <x v="0"/>
    <x v="2"/>
    <m/>
    <m/>
    <x v="3"/>
    <s v="3P"/>
    <x v="3"/>
    <s v="WM"/>
    <n v="3211068.549943774"/>
    <n v="0"/>
    <n v="3821171.5744330911"/>
    <n v="3475.1824133590626"/>
    <n v="0"/>
    <n v="4135.4670718972839"/>
    <n v="924"/>
    <x v="1"/>
    <s v="Provision (Based on PO, One View)"/>
    <x v="0"/>
    <s v="Variable"/>
    <x v="1"/>
    <s v="DFT"/>
    <m/>
    <n v="0"/>
    <n v="0"/>
    <n v="0"/>
    <n v="0"/>
    <n v="0"/>
    <m/>
  </r>
  <r>
    <x v="0"/>
    <s v="Jul16 to Jul31"/>
    <x v="0"/>
    <x v="0"/>
    <x v="2"/>
    <m/>
    <m/>
    <x v="3"/>
    <s v="3P"/>
    <x v="4"/>
    <s v="VCC"/>
    <n v="0"/>
    <n v="0"/>
    <n v="0"/>
    <n v="0"/>
    <n v="0"/>
    <n v="0"/>
    <n v="924"/>
    <x v="1"/>
    <s v="Provision (Based on PO, One View)"/>
    <x v="0"/>
    <s v="Variable"/>
    <x v="1"/>
    <s v="DVT"/>
    <m/>
    <n v="0"/>
    <n v="0"/>
    <n v="0"/>
    <n v="0"/>
    <n v="0"/>
    <m/>
  </r>
  <r>
    <x v="0"/>
    <s v="Jul16 to Jul31"/>
    <x v="0"/>
    <x v="0"/>
    <x v="2"/>
    <m/>
    <m/>
    <x v="3"/>
    <s v="3P"/>
    <x v="5"/>
    <s v="Television"/>
    <n v="1708015.1861403056"/>
    <n v="0"/>
    <n v="2032538.0715069636"/>
    <n v="1848.5012837016295"/>
    <n v="0"/>
    <n v="2199.7165276049391"/>
    <n v="924"/>
    <x v="1"/>
    <s v="Provision (Based on PO, One View)"/>
    <x v="0"/>
    <s v="Variable"/>
    <x v="1"/>
    <s v="GLT"/>
    <m/>
    <n v="0"/>
    <n v="0"/>
    <n v="0"/>
    <n v="0"/>
    <n v="0"/>
    <m/>
  </r>
  <r>
    <x v="0"/>
    <s v="Jul16 to Jul31"/>
    <x v="0"/>
    <x v="0"/>
    <x v="2"/>
    <m/>
    <m/>
    <x v="3"/>
    <s v="3P"/>
    <x v="6"/>
    <s v="Audio"/>
    <n v="0"/>
    <n v="0"/>
    <n v="0"/>
    <n v="0"/>
    <n v="0"/>
    <n v="0"/>
    <n v="924"/>
    <x v="1"/>
    <s v="Provision (Based on PO, One View)"/>
    <x v="0"/>
    <s v="Variable"/>
    <x v="1"/>
    <s v="PNT"/>
    <m/>
    <n v="0"/>
    <n v="0"/>
    <n v="0"/>
    <n v="0"/>
    <n v="0"/>
    <m/>
  </r>
  <r>
    <x v="0"/>
    <s v="Jul16 to Jul31"/>
    <x v="0"/>
    <x v="0"/>
    <x v="2"/>
    <m/>
    <m/>
    <x v="3"/>
    <s v="3P"/>
    <x v="7"/>
    <s v="Monitor"/>
    <n v="136641.21489122443"/>
    <n v="0"/>
    <n v="162603.04572055707"/>
    <n v="147.88010269613034"/>
    <n v="0"/>
    <n v="175.97732220839509"/>
    <n v="924"/>
    <x v="1"/>
    <s v="Provision (Based on PO, One View)"/>
    <x v="0"/>
    <s v="Variable"/>
    <x v="1"/>
    <s v="GTT"/>
    <m/>
    <n v="0"/>
    <n v="0"/>
    <n v="0"/>
    <n v="0"/>
    <n v="0"/>
    <m/>
  </r>
  <r>
    <x v="0"/>
    <s v="Jul16 to Jul31"/>
    <x v="0"/>
    <x v="0"/>
    <x v="2"/>
    <m/>
    <m/>
    <x v="3"/>
    <s v="3P"/>
    <x v="8"/>
    <s v="RAC"/>
    <n v="0"/>
    <n v="0"/>
    <n v="0"/>
    <n v="0"/>
    <n v="0"/>
    <n v="0"/>
    <n v="924"/>
    <x v="1"/>
    <s v="Provision (Based on PO, One View)"/>
    <x v="0"/>
    <s v="Variable"/>
    <x v="1"/>
    <s v="DGT"/>
    <m/>
    <n v="0"/>
    <n v="0"/>
    <n v="0"/>
    <n v="0"/>
    <n v="0"/>
    <m/>
  </r>
  <r>
    <x v="0"/>
    <s v="Jul16 to Jul31"/>
    <x v="0"/>
    <x v="0"/>
    <x v="2"/>
    <m/>
    <m/>
    <x v="3"/>
    <s v="3P"/>
    <x v="9"/>
    <s v="Air Cleaner"/>
    <m/>
    <n v="0"/>
    <n v="0"/>
    <n v="0"/>
    <n v="0"/>
    <n v="0"/>
    <n v="924"/>
    <x v="1"/>
    <s v="Provision (Based on PO, One View)"/>
    <x v="0"/>
    <s v="Variable"/>
    <x v="1"/>
    <s v="DLT"/>
    <m/>
    <n v="0"/>
    <n v="0"/>
    <n v="0"/>
    <n v="0"/>
    <n v="0"/>
    <m/>
  </r>
  <r>
    <x v="0"/>
    <s v="Jul16 to Jul31"/>
    <x v="0"/>
    <x v="0"/>
    <x v="2"/>
    <m/>
    <m/>
    <x v="3"/>
    <s v="3P"/>
    <x v="10"/>
    <s v="SAC"/>
    <m/>
    <n v="0"/>
    <n v="0"/>
    <n v="0"/>
    <n v="0"/>
    <n v="0"/>
    <n v="924"/>
    <x v="1"/>
    <s v="Provision (Based on PO, One View)"/>
    <x v="0"/>
    <s v="Variable"/>
    <x v="1"/>
    <s v="DMT"/>
    <m/>
    <n v="0"/>
    <n v="0"/>
    <n v="0"/>
    <n v="0"/>
    <n v="0"/>
    <m/>
  </r>
  <r>
    <x v="0"/>
    <s v="Jul16 to Jul31"/>
    <x v="0"/>
    <x v="0"/>
    <x v="2"/>
    <m/>
    <m/>
    <x v="3"/>
    <s v="3P"/>
    <x v="11"/>
    <s v="TOTAL"/>
    <n v="6558778.3147787722"/>
    <n v="1246167.8798079668"/>
    <n v="7804946.1945867389"/>
    <n v="7098.2449294142552"/>
    <n v="1348.6665365887086"/>
    <n v="8446.9114660029627"/>
    <n v="924"/>
    <x v="1"/>
    <s v="Provision (Based on PO, One View)"/>
    <x v="0"/>
    <s v="Variable"/>
    <x v="1"/>
    <s v="TOTAL"/>
    <m/>
    <n v="0"/>
    <n v="0"/>
    <n v="0"/>
    <n v="0"/>
    <n v="0"/>
    <m/>
  </r>
  <r>
    <x v="0"/>
    <s v="Jun 1 to Jun 30"/>
    <x v="1"/>
    <x v="0"/>
    <x v="0"/>
    <d v="2026-06-25T00:00:00"/>
    <n v="58150768"/>
    <x v="4"/>
    <s v="OBS"/>
    <x v="0"/>
    <s v="Refrigeration"/>
    <n v="1431054.3569751426"/>
    <n v="0"/>
    <n v="1702954.6848004197"/>
    <n v="1550.4380898972292"/>
    <n v="0"/>
    <n v="1845.0213269777028"/>
    <n v="923"/>
    <x v="0"/>
    <s v="Provision (Based on External Report)"/>
    <x v="0"/>
    <s v="Variable"/>
    <x v="0"/>
    <s v="CNT"/>
    <n v="2793228.4421999995"/>
    <n v="0"/>
    <n v="3323941.8462179992"/>
    <n v="3026.2496665222097"/>
    <n v="0"/>
    <n v="3601.2371031614293"/>
    <m/>
  </r>
  <r>
    <x v="0"/>
    <s v="Jun 1 to Jun 30"/>
    <x v="1"/>
    <x v="0"/>
    <x v="0"/>
    <d v="2026-06-25T00:00:00"/>
    <n v="58150768"/>
    <x v="4"/>
    <s v="OBS"/>
    <x v="1"/>
    <s v="Cooking"/>
    <n v="33785.753454669415"/>
    <n v="0"/>
    <n v="40205.046611056605"/>
    <n v="36.604283266164046"/>
    <n v="0"/>
    <n v="43.559097086735214"/>
    <n v="923"/>
    <x v="0"/>
    <s v="Provision (Based on External Report)"/>
    <x v="0"/>
    <s v="Variable"/>
    <x v="0"/>
    <s v="CVT"/>
    <n v="65945.312999999995"/>
    <n v="0"/>
    <n v="78474.92246999999"/>
    <n v="71.446709642470196"/>
    <n v="0"/>
    <n v="85.021584474539523"/>
    <m/>
  </r>
  <r>
    <x v="0"/>
    <s v="Jun 1 to Jun 30"/>
    <x v="1"/>
    <x v="0"/>
    <x v="0"/>
    <d v="2026-06-25T00:00:00"/>
    <n v="58150768"/>
    <x v="4"/>
    <s v="OBS"/>
    <x v="2"/>
    <s v="Dishwasher"/>
    <n v="0"/>
    <n v="0"/>
    <n v="0"/>
    <n v="0"/>
    <n v="0"/>
    <n v="0"/>
    <n v="923"/>
    <x v="0"/>
    <s v="Provision (Based on External Report)"/>
    <x v="0"/>
    <s v="Variable"/>
    <x v="0"/>
    <s v="CDT"/>
    <n v="0"/>
    <n v="0"/>
    <n v="0"/>
    <n v="0"/>
    <n v="0"/>
    <n v="0"/>
    <m/>
  </r>
  <r>
    <x v="0"/>
    <s v="Jun 1 to Jun 30"/>
    <x v="1"/>
    <x v="0"/>
    <x v="0"/>
    <d v="2026-06-25T00:00:00"/>
    <n v="58150768"/>
    <x v="4"/>
    <s v="OBS"/>
    <x v="3"/>
    <s v="WM"/>
    <n v="3379009.0614925032"/>
    <n v="0"/>
    <n v="4021020.7831760785"/>
    <n v="3660.8982248022785"/>
    <n v="0"/>
    <n v="4356.4688875147112"/>
    <n v="923"/>
    <x v="0"/>
    <s v="Provision (Based on External Report)"/>
    <x v="0"/>
    <s v="Variable"/>
    <x v="0"/>
    <s v="DFT"/>
    <n v="6595377.8562000003"/>
    <n v="0"/>
    <n v="7848499.6488779997"/>
    <n v="7145.5881432286023"/>
    <n v="0"/>
    <n v="8503.2498904420372"/>
    <m/>
  </r>
  <r>
    <x v="0"/>
    <s v="Jun 1 to Jun 30"/>
    <x v="1"/>
    <x v="0"/>
    <x v="0"/>
    <d v="2026-06-25T00:00:00"/>
    <n v="58150768"/>
    <x v="4"/>
    <s v="OBS"/>
    <x v="4"/>
    <s v="VCC"/>
    <n v="4331.4149884765511"/>
    <n v="0"/>
    <n v="5154.3838362870956"/>
    <n v="4.692757300624649"/>
    <n v="0"/>
    <n v="5.5843811877433325"/>
    <n v="923"/>
    <x v="0"/>
    <s v="Provision (Based on External Report)"/>
    <x v="0"/>
    <s v="Variable"/>
    <x v="0"/>
    <s v="DVT"/>
    <n v="8454.348"/>
    <n v="0"/>
    <n v="10060.67412"/>
    <n v="9.1596403033586125"/>
    <n v="0"/>
    <n v="10.899971960996748"/>
    <m/>
  </r>
  <r>
    <x v="0"/>
    <s v="Jun 1 to Jun 30"/>
    <x v="1"/>
    <x v="0"/>
    <x v="0"/>
    <d v="2026-06-25T00:00:00"/>
    <n v="58150768"/>
    <x v="4"/>
    <s v="OBS"/>
    <x v="5"/>
    <s v="Television"/>
    <n v="2561836.6330567724"/>
    <n v="0"/>
    <n v="3048585.5933375591"/>
    <n v="2775.5543153377816"/>
    <n v="0"/>
    <n v="3302.90963525196"/>
    <n v="923"/>
    <x v="0"/>
    <s v="Provision (Based on External Report)"/>
    <x v="0"/>
    <s v="Variable"/>
    <x v="0"/>
    <s v="GLT"/>
    <n v="5000365.5785999997"/>
    <n v="0"/>
    <n v="5950435.0385339996"/>
    <n v="5417.5141696641385"/>
    <n v="0"/>
    <n v="6446.8418619003241"/>
    <m/>
  </r>
  <r>
    <x v="0"/>
    <s v="Jun 1 to Jun 30"/>
    <x v="1"/>
    <x v="0"/>
    <x v="0"/>
    <d v="2026-06-25T00:00:00"/>
    <n v="58150768"/>
    <x v="4"/>
    <s v="OBS"/>
    <x v="6"/>
    <s v="Audio"/>
    <n v="214547.59556336448"/>
    <n v="0"/>
    <n v="255311.63872040372"/>
    <n v="232.4459323546744"/>
    <n v="0"/>
    <n v="276.6106595020625"/>
    <n v="923"/>
    <x v="0"/>
    <s v="Provision (Based on External Report)"/>
    <x v="0"/>
    <s v="Variable"/>
    <x v="0"/>
    <s v="PNT"/>
    <n v="418768.47179999994"/>
    <n v="0"/>
    <n v="498334.4814419999"/>
    <n v="453.70365308775723"/>
    <n v="0"/>
    <n v="539.90734717443104"/>
    <m/>
  </r>
  <r>
    <x v="0"/>
    <s v="Jun 1 to Jun 30"/>
    <x v="1"/>
    <x v="0"/>
    <x v="0"/>
    <d v="2026-06-25T00:00:00"/>
    <n v="58150768"/>
    <x v="4"/>
    <s v="OBS"/>
    <x v="7"/>
    <s v="Monitor"/>
    <n v="213671.34549549987"/>
    <n v="0"/>
    <n v="254268.90113964485"/>
    <n v="231.49658233531949"/>
    <n v="0"/>
    <n v="275.48093297903017"/>
    <n v="923"/>
    <x v="0"/>
    <s v="Provision (Based on External Report)"/>
    <x v="0"/>
    <s v="Variable"/>
    <x v="0"/>
    <s v="GTT"/>
    <n v="417058.14779999998"/>
    <n v="0"/>
    <n v="496299.19588199997"/>
    <n v="451.8506476706392"/>
    <n v="0"/>
    <n v="537.70227072806063"/>
    <m/>
  </r>
  <r>
    <x v="0"/>
    <s v="Jun 1 to Jun 30"/>
    <x v="1"/>
    <x v="0"/>
    <x v="0"/>
    <d v="2026-06-25T00:00:00"/>
    <n v="58150768"/>
    <x v="4"/>
    <s v="OBS"/>
    <x v="8"/>
    <s v="RAC"/>
    <n v="277700.99204875145"/>
    <n v="0"/>
    <n v="330464.18053801422"/>
    <n v="300.86781370395607"/>
    <n v="0"/>
    <n v="358.03269830770773"/>
    <n v="923"/>
    <x v="0"/>
    <s v="Provision (Based on External Report)"/>
    <x v="0"/>
    <s v="Variable"/>
    <x v="0"/>
    <s v="DGT"/>
    <n v="542035.53179999988"/>
    <n v="0"/>
    <n v="645022.28284199978"/>
    <n v="587.25409729144087"/>
    <n v="0"/>
    <n v="698.83237577681462"/>
    <m/>
  </r>
  <r>
    <x v="0"/>
    <s v="Jun 1 to Jun 30"/>
    <x v="1"/>
    <x v="0"/>
    <x v="0"/>
    <d v="2026-06-25T00:00:00"/>
    <n v="58150768"/>
    <x v="4"/>
    <s v="OBS"/>
    <x v="9"/>
    <s v="Air Cleaner"/>
    <n v="37484.84692482018"/>
    <n v="0"/>
    <n v="44606.96784053601"/>
    <n v="40.611968499263469"/>
    <n v="0"/>
    <n v="48.328242514123524"/>
    <n v="923"/>
    <x v="0"/>
    <s v="Provision (Based on External Report)"/>
    <x v="0"/>
    <s v="Variable"/>
    <x v="0"/>
    <s v="DLT"/>
    <n v="73165.453200000004"/>
    <n v="0"/>
    <n v="87066.889307999998"/>
    <n v="79.269180065005415"/>
    <n v="0"/>
    <n v="94.330324277356439"/>
    <m/>
  </r>
  <r>
    <x v="0"/>
    <s v="Jun 1 to Jun 30"/>
    <x v="1"/>
    <x v="0"/>
    <x v="0"/>
    <d v="2026-06-25T00:00:00"/>
    <n v="58150768"/>
    <x v="4"/>
    <s v="OBS"/>
    <x v="10"/>
    <s v="SAC"/>
    <m/>
    <n v="0"/>
    <n v="0"/>
    <n v="0"/>
    <n v="0"/>
    <n v="0"/>
    <n v="923"/>
    <x v="0"/>
    <s v="Provision (Based on External Report)"/>
    <x v="0"/>
    <s v="Variable"/>
    <x v="0"/>
    <s v="DMT"/>
    <n v="0"/>
    <n v="0"/>
    <n v="0"/>
    <n v="0"/>
    <n v="0"/>
    <n v="0"/>
    <m/>
  </r>
  <r>
    <x v="0"/>
    <s v="Jun 1 to Jun 30"/>
    <x v="1"/>
    <x v="0"/>
    <x v="0"/>
    <d v="2026-06-25T00:00:00"/>
    <n v="58150768"/>
    <x v="4"/>
    <s v="OBS"/>
    <x v="11"/>
    <s v="TOTAL"/>
    <n v="8153422"/>
    <n v="1549150.18"/>
    <n v="9702572.1799999997"/>
    <n v="8833.609967497292"/>
    <n v="1678.3858938244855"/>
    <n v="10511.995861321777"/>
    <n v="923"/>
    <x v="0"/>
    <s v="Provision (Based on External Report)"/>
    <x v="0"/>
    <s v="Variable"/>
    <x v="0"/>
    <s v="TOTAL"/>
    <n v="15914399.142599998"/>
    <n v="3023735.8370939996"/>
    <n v="18938134.979693998"/>
    <n v="17242.03590747562"/>
    <n v="3275.9868224203678"/>
    <n v="20518.022729895987"/>
    <m/>
  </r>
  <r>
    <x v="0"/>
    <s v="Jul1 to Jul30"/>
    <x v="0"/>
    <x v="0"/>
    <x v="2"/>
    <m/>
    <m/>
    <x v="4"/>
    <s v="OBS"/>
    <x v="0"/>
    <s v="Refrigeration"/>
    <n v="1267233.8858986928"/>
    <n v="0"/>
    <n v="1508008.3242194443"/>
    <n v="1371.4652444791047"/>
    <n v="0"/>
    <n v="1632.0436409301346"/>
    <n v="924"/>
    <x v="0"/>
    <s v="Provision (Based on External Report)"/>
    <x v="0"/>
    <s v="Variable"/>
    <x v="1"/>
    <s v="CNT"/>
    <m/>
    <n v="0"/>
    <n v="0"/>
    <n v="0"/>
    <n v="0"/>
    <n v="0"/>
    <m/>
  </r>
  <r>
    <x v="0"/>
    <s v="Jul1 to Jul30"/>
    <x v="0"/>
    <x v="0"/>
    <x v="2"/>
    <m/>
    <m/>
    <x v="4"/>
    <s v="OBS"/>
    <x v="1"/>
    <s v="Cooking"/>
    <n v="13339.304062091504"/>
    <n v="0"/>
    <n v="15873.771833888888"/>
    <n v="14.436476257674787"/>
    <n v="0"/>
    <n v="17.179406746632996"/>
    <n v="924"/>
    <x v="0"/>
    <s v="Provision (Based on External Report)"/>
    <x v="0"/>
    <s v="Variable"/>
    <x v="1"/>
    <s v="CVT"/>
    <m/>
    <n v="0"/>
    <n v="0"/>
    <n v="0"/>
    <n v="0"/>
    <n v="0"/>
    <m/>
  </r>
  <r>
    <x v="0"/>
    <s v="Jul1 to Jul30"/>
    <x v="0"/>
    <x v="0"/>
    <x v="2"/>
    <m/>
    <m/>
    <x v="4"/>
    <s v="OBS"/>
    <x v="2"/>
    <s v="Dishwasher"/>
    <n v="146732.34468300652"/>
    <n v="0"/>
    <n v="174611.49017277776"/>
    <n v="158.80123883442263"/>
    <n v="0"/>
    <n v="188.97347421296291"/>
    <n v="924"/>
    <x v="0"/>
    <s v="Provision (Based on External Report)"/>
    <x v="0"/>
    <s v="Variable"/>
    <x v="1"/>
    <s v="CDT"/>
    <m/>
    <n v="0"/>
    <n v="0"/>
    <n v="0"/>
    <n v="0"/>
    <n v="0"/>
    <m/>
  </r>
  <r>
    <x v="0"/>
    <s v="Jul1 to Jul30"/>
    <x v="0"/>
    <x v="0"/>
    <x v="2"/>
    <m/>
    <m/>
    <x v="4"/>
    <s v="OBS"/>
    <x v="3"/>
    <s v="WM"/>
    <n v="2794584.2010081699"/>
    <n v="0"/>
    <n v="3325555.1991997221"/>
    <n v="3024.441775982868"/>
    <n v="0"/>
    <n v="3599.0857134196126"/>
    <n v="924"/>
    <x v="0"/>
    <s v="Provision (Based on External Report)"/>
    <x v="0"/>
    <s v="Variable"/>
    <x v="1"/>
    <s v="DFT"/>
    <m/>
    <n v="0"/>
    <n v="0"/>
    <n v="0"/>
    <n v="0"/>
    <n v="0"/>
    <m/>
  </r>
  <r>
    <x v="0"/>
    <s v="Jul1 to Jul30"/>
    <x v="0"/>
    <x v="0"/>
    <x v="2"/>
    <m/>
    <m/>
    <x v="4"/>
    <s v="OBS"/>
    <x v="4"/>
    <s v="VCC"/>
    <n v="0"/>
    <n v="0"/>
    <n v="0"/>
    <n v="0"/>
    <n v="0"/>
    <n v="0"/>
    <n v="924"/>
    <x v="0"/>
    <s v="Provision (Based on External Report)"/>
    <x v="0"/>
    <s v="Variable"/>
    <x v="1"/>
    <s v="DVT"/>
    <m/>
    <n v="0"/>
    <n v="0"/>
    <n v="0"/>
    <n v="0"/>
    <n v="0"/>
    <m/>
  </r>
  <r>
    <x v="0"/>
    <s v="Jul1 to Jul30"/>
    <x v="0"/>
    <x v="0"/>
    <x v="2"/>
    <m/>
    <m/>
    <x v="4"/>
    <s v="OBS"/>
    <x v="5"/>
    <s v="Television"/>
    <n v="1507341.3590163398"/>
    <n v="0"/>
    <n v="1793736.2172294443"/>
    <n v="1631.3218171172509"/>
    <n v="0"/>
    <n v="1941.2729623695286"/>
    <n v="924"/>
    <x v="0"/>
    <s v="Provision (Based on External Report)"/>
    <x v="0"/>
    <s v="Variable"/>
    <x v="1"/>
    <s v="GLT"/>
    <m/>
    <n v="0"/>
    <n v="0"/>
    <n v="0"/>
    <n v="0"/>
    <n v="0"/>
    <m/>
  </r>
  <r>
    <x v="0"/>
    <s v="Jul1 to Jul30"/>
    <x v="0"/>
    <x v="0"/>
    <x v="2"/>
    <m/>
    <m/>
    <x v="4"/>
    <s v="OBS"/>
    <x v="6"/>
    <s v="Audio"/>
    <n v="66696.520310457519"/>
    <n v="0"/>
    <n v="79368.859169444448"/>
    <n v="72.182381288373932"/>
    <n v="0"/>
    <n v="85.897033733164974"/>
    <n v="924"/>
    <x v="0"/>
    <s v="Provision (Based on External Report)"/>
    <x v="0"/>
    <s v="Variable"/>
    <x v="1"/>
    <s v="PNT"/>
    <m/>
    <n v="0"/>
    <n v="0"/>
    <n v="0"/>
    <n v="0"/>
    <n v="0"/>
    <m/>
  </r>
  <r>
    <x v="0"/>
    <s v="Jul1 to Jul30"/>
    <x v="0"/>
    <x v="0"/>
    <x v="2"/>
    <m/>
    <m/>
    <x v="4"/>
    <s v="OBS"/>
    <x v="7"/>
    <s v="Monitor"/>
    <n v="186750.25686928103"/>
    <n v="0"/>
    <n v="222232.80567444442"/>
    <n v="202.110667607447"/>
    <n v="0"/>
    <n v="240.51169445286192"/>
    <n v="924"/>
    <x v="0"/>
    <s v="Provision (Based on External Report)"/>
    <x v="0"/>
    <s v="Variable"/>
    <x v="1"/>
    <s v="GTT"/>
    <m/>
    <n v="0"/>
    <n v="0"/>
    <n v="0"/>
    <n v="0"/>
    <n v="0"/>
    <m/>
  </r>
  <r>
    <x v="0"/>
    <s v="Jul1 to Jul30"/>
    <x v="0"/>
    <x v="0"/>
    <x v="2"/>
    <m/>
    <m/>
    <x v="4"/>
    <s v="OBS"/>
    <x v="8"/>
    <s v="RAC"/>
    <n v="126723.38858986927"/>
    <n v="0"/>
    <n v="150800.83242194442"/>
    <n v="137.14652444791045"/>
    <n v="0"/>
    <n v="163.20436409301342"/>
    <n v="924"/>
    <x v="0"/>
    <s v="Provision (Based on External Report)"/>
    <x v="0"/>
    <s v="Variable"/>
    <x v="1"/>
    <s v="DGT"/>
    <m/>
    <n v="0"/>
    <n v="0"/>
    <n v="0"/>
    <n v="0"/>
    <n v="0"/>
    <m/>
  </r>
  <r>
    <x v="0"/>
    <s v="Jul1 to Jul30"/>
    <x v="0"/>
    <x v="0"/>
    <x v="2"/>
    <m/>
    <m/>
    <x v="4"/>
    <s v="OBS"/>
    <x v="9"/>
    <s v="Air Cleaner"/>
    <n v="13339.304062091504"/>
    <n v="0"/>
    <n v="15873.771833888888"/>
    <n v="14.436476257674787"/>
    <n v="0"/>
    <n v="17.179406746632996"/>
    <n v="924"/>
    <x v="0"/>
    <s v="Provision (Based on External Report)"/>
    <x v="0"/>
    <s v="Variable"/>
    <x v="1"/>
    <s v="DLT"/>
    <m/>
    <n v="0"/>
    <n v="0"/>
    <n v="0"/>
    <n v="0"/>
    <n v="0"/>
    <m/>
  </r>
  <r>
    <x v="0"/>
    <s v="Jul1 to Jul30"/>
    <x v="0"/>
    <x v="0"/>
    <x v="2"/>
    <m/>
    <m/>
    <x v="4"/>
    <s v="OBS"/>
    <x v="10"/>
    <s v="SAC"/>
    <n v="0"/>
    <n v="0"/>
    <n v="0"/>
    <n v="0"/>
    <n v="0"/>
    <n v="0"/>
    <n v="924"/>
    <x v="0"/>
    <s v="Provision (Based on External Report)"/>
    <x v="0"/>
    <s v="Variable"/>
    <x v="1"/>
    <s v="DMT"/>
    <m/>
    <n v="0"/>
    <n v="0"/>
    <n v="0"/>
    <n v="0"/>
    <n v="0"/>
    <m/>
  </r>
  <r>
    <x v="0"/>
    <s v="Jul1 to Jul30"/>
    <x v="0"/>
    <x v="0"/>
    <x v="2"/>
    <m/>
    <m/>
    <x v="4"/>
    <s v="OBS"/>
    <x v="11"/>
    <s v="TOTAL"/>
    <n v="6122740.5645000003"/>
    <n v="1163320.707255"/>
    <n v="7286061.2717549996"/>
    <n v="6626.3426022727281"/>
    <n v="1259.0050944318184"/>
    <n v="7885.3476967045463"/>
    <n v="924"/>
    <x v="0"/>
    <s v="Provision (Based on External Report)"/>
    <x v="0"/>
    <s v="Variable"/>
    <x v="1"/>
    <s v="TOTAL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0"/>
    <s v="Refrigeration"/>
    <n v="909244.37908496731"/>
    <n v="0"/>
    <n v="1082000.811111111"/>
    <n v="1020.4762952693236"/>
    <n v="0"/>
    <n v="1214.3667913704951"/>
    <n v="891"/>
    <x v="0"/>
    <s v="Provision (Based on External Report)"/>
    <x v="0"/>
    <s v="Variable"/>
    <x v="0"/>
    <s v="CN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1"/>
    <s v="Cooking"/>
    <n v="9570.9934640522879"/>
    <n v="0"/>
    <n v="11389.482222222223"/>
    <n v="10.74185573967709"/>
    <n v="0"/>
    <n v="12.782808330215737"/>
    <n v="891"/>
    <x v="0"/>
    <s v="Provision (Based on External Report)"/>
    <x v="0"/>
    <s v="Variable"/>
    <x v="0"/>
    <s v="CV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2"/>
    <s v="Dishwasher"/>
    <n v="105280.92810457516"/>
    <n v="0"/>
    <n v="125284.30444444442"/>
    <n v="118.16041313644799"/>
    <n v="0"/>
    <n v="140.6108916323731"/>
    <n v="891"/>
    <x v="0"/>
    <s v="Provision (Based on External Report)"/>
    <x v="0"/>
    <s v="Variable"/>
    <x v="0"/>
    <s v="CD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3"/>
    <s v="WM"/>
    <n v="2005123.1307189544"/>
    <n v="0"/>
    <n v="2386096.5255555557"/>
    <n v="2250.4187774623506"/>
    <n v="0"/>
    <n v="2677.9983451801972"/>
    <n v="891"/>
    <x v="0"/>
    <s v="Provision (Based on External Report)"/>
    <x v="0"/>
    <s v="Variable"/>
    <x v="0"/>
    <s v="DF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4"/>
    <s v="VCC"/>
    <n v="0"/>
    <n v="0"/>
    <n v="0"/>
    <n v="0"/>
    <n v="0"/>
    <n v="0"/>
    <n v="891"/>
    <x v="0"/>
    <s v="Provision (Based on External Report)"/>
    <x v="0"/>
    <s v="Variable"/>
    <x v="0"/>
    <s v="DV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5"/>
    <s v="Television"/>
    <n v="1081522.2614379085"/>
    <n v="0"/>
    <n v="1287011.4911111111"/>
    <n v="1213.8296985835113"/>
    <n v="0"/>
    <n v="1444.4573413143785"/>
    <n v="891"/>
    <x v="0"/>
    <s v="Provision (Based on External Report)"/>
    <x v="0"/>
    <s v="Variable"/>
    <x v="0"/>
    <s v="GL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6"/>
    <s v="Audio"/>
    <n v="47854.967320261443"/>
    <n v="0"/>
    <n v="56947.411111111112"/>
    <n v="53.709278698385461"/>
    <n v="0"/>
    <n v="63.914041651078698"/>
    <n v="891"/>
    <x v="0"/>
    <s v="Provision (Based on External Report)"/>
    <x v="0"/>
    <s v="Variable"/>
    <x v="0"/>
    <s v="PN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7"/>
    <s v="Monitor"/>
    <n v="133993.90849673204"/>
    <n v="0"/>
    <n v="159452.75111111111"/>
    <n v="150.38598035547929"/>
    <n v="0"/>
    <n v="178.95931662302036"/>
    <n v="891"/>
    <x v="0"/>
    <s v="Provision (Based on External Report)"/>
    <x v="0"/>
    <s v="Variable"/>
    <x v="0"/>
    <s v="GT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8"/>
    <s v="RAC"/>
    <n v="90924.437908496737"/>
    <n v="0"/>
    <n v="108200.08111111111"/>
    <n v="102.04762952693237"/>
    <n v="0"/>
    <n v="121.43667913704951"/>
    <n v="891"/>
    <x v="0"/>
    <s v="Provision (Based on External Report)"/>
    <x v="0"/>
    <s v="Variable"/>
    <x v="0"/>
    <s v="DG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9"/>
    <s v="Air Cleaner"/>
    <n v="9570.9934640522879"/>
    <n v="0"/>
    <n v="11389.482222222223"/>
    <n v="10.74185573967709"/>
    <n v="0"/>
    <n v="12.782808330215737"/>
    <n v="891"/>
    <x v="0"/>
    <s v="Provision (Based on External Report)"/>
    <x v="0"/>
    <s v="Variable"/>
    <x v="0"/>
    <s v="DL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10"/>
    <s v="SAC"/>
    <n v="0"/>
    <n v="0"/>
    <n v="0"/>
    <n v="0"/>
    <n v="0"/>
    <n v="0"/>
    <n v="891"/>
    <x v="0"/>
    <s v="Provision (Based on External Report)"/>
    <x v="0"/>
    <s v="Variable"/>
    <x v="0"/>
    <s v="DMT"/>
    <m/>
    <n v="0"/>
    <n v="0"/>
    <n v="0"/>
    <n v="0"/>
    <n v="0"/>
    <m/>
  </r>
  <r>
    <x v="0"/>
    <s v="May1 to May30"/>
    <x v="2"/>
    <x v="0"/>
    <x v="0"/>
    <d v="2026-05-27T00:00:00"/>
    <n v="57910399"/>
    <x v="4"/>
    <s v="OBS"/>
    <x v="11"/>
    <s v="TOTAL"/>
    <n v="4393086.0000000009"/>
    <n v="834686.3400000002"/>
    <n v="5227772.3400000008"/>
    <n v="4930.5117845117857"/>
    <n v="936.79723905723927"/>
    <n v="5867.3090235690242"/>
    <n v="891"/>
    <x v="0"/>
    <s v="Provision (Based on External Report)"/>
    <x v="0"/>
    <s v="Variable"/>
    <x v="0"/>
    <s v="TOTAL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0"/>
    <s v="Refrigeration"/>
    <n v="1050102.2570163356"/>
    <n v="0"/>
    <n v="1249621.6858494394"/>
    <n v="1178.5659450239457"/>
    <n v="0"/>
    <n v="1402.4934745784954"/>
    <n v="891"/>
    <x v="0"/>
    <s v="Provision (Based on External Report)"/>
    <x v="0"/>
    <s v="Variable"/>
    <x v="2"/>
    <s v="CN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1"/>
    <s v="Cooking"/>
    <n v="382.54324911615163"/>
    <n v="0"/>
    <n v="455.22646644822044"/>
    <n v="0.42934146926616346"/>
    <n v="0"/>
    <n v="0.5109163484267345"/>
    <n v="891"/>
    <x v="0"/>
    <s v="Provision (Based on External Report)"/>
    <x v="0"/>
    <s v="Variable"/>
    <x v="2"/>
    <s v="CV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2"/>
    <s v="Dishwasher"/>
    <n v="44671.901035268398"/>
    <n v="0"/>
    <n v="53159.562231969394"/>
    <n v="50.136813732063295"/>
    <n v="0"/>
    <n v="59.662808341155319"/>
    <n v="891"/>
    <x v="0"/>
    <s v="Provision (Based on External Report)"/>
    <x v="0"/>
    <s v="Variable"/>
    <x v="2"/>
    <s v="CD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3"/>
    <s v="WM"/>
    <n v="2194478.9815781559"/>
    <n v="0"/>
    <n v="2611429.9880780056"/>
    <n v="2462.9393732639237"/>
    <n v="0"/>
    <n v="2930.8978541840693"/>
    <n v="891"/>
    <x v="0"/>
    <s v="Provision (Based on External Report)"/>
    <x v="0"/>
    <s v="Variable"/>
    <x v="2"/>
    <s v="DF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4"/>
    <s v="VCC"/>
    <n v="0"/>
    <n v="0"/>
    <n v="0"/>
    <n v="0"/>
    <n v="0"/>
    <n v="0"/>
    <n v="891"/>
    <x v="0"/>
    <s v="Provision (Based on External Report)"/>
    <x v="0"/>
    <s v="Variable"/>
    <x v="2"/>
    <s v="DV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5"/>
    <s v="Television"/>
    <n v="1391395.8214907444"/>
    <n v="0"/>
    <n v="1655761.0275739857"/>
    <n v="1561.6114719312507"/>
    <n v="0"/>
    <n v="1858.3176515981881"/>
    <n v="891"/>
    <x v="0"/>
    <s v="Provision (Based on External Report)"/>
    <x v="0"/>
    <s v="Variable"/>
    <x v="2"/>
    <s v="GL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6"/>
    <s v="Audio"/>
    <n v="111011.85320895835"/>
    <n v="0"/>
    <n v="132104.10531866041"/>
    <n v="124.59242784394876"/>
    <n v="0"/>
    <n v="148.26498913429901"/>
    <n v="891"/>
    <x v="0"/>
    <s v="Provision (Based on External Report)"/>
    <x v="0"/>
    <s v="Variable"/>
    <x v="2"/>
    <s v="PN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7"/>
    <s v="Monitor"/>
    <n v="146923.54194284993"/>
    <n v="0"/>
    <n v="174839.0149119914"/>
    <n v="164.89735347121203"/>
    <n v="0"/>
    <n v="196.2278506307423"/>
    <n v="891"/>
    <x v="0"/>
    <s v="Provision (Based on External Report)"/>
    <x v="0"/>
    <s v="Variable"/>
    <x v="2"/>
    <s v="GT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8"/>
    <s v="RAC"/>
    <n v="105778.2469237371"/>
    <n v="0"/>
    <n v="125876.11383924713"/>
    <n v="118.71857118264545"/>
    <n v="0"/>
    <n v="141.27509970734809"/>
    <n v="891"/>
    <x v="0"/>
    <s v="Provision (Based on External Report)"/>
    <x v="0"/>
    <s v="Variable"/>
    <x v="2"/>
    <s v="DG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9"/>
    <s v="Air Cleaner"/>
    <n v="5029.8535548348273"/>
    <n v="0"/>
    <n v="5985.5257302534437"/>
    <n v="5.6451779515542393"/>
    <n v="0"/>
    <n v="6.7177617623495447"/>
    <n v="891"/>
    <x v="0"/>
    <s v="Provision (Based on External Report)"/>
    <x v="0"/>
    <s v="Variable"/>
    <x v="2"/>
    <s v="DL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10"/>
    <s v="SAC"/>
    <m/>
    <n v="0"/>
    <n v="0"/>
    <n v="0"/>
    <n v="0"/>
    <n v="0"/>
    <n v="891"/>
    <x v="0"/>
    <s v="Provision (Based on External Report)"/>
    <x v="0"/>
    <s v="Variable"/>
    <x v="2"/>
    <s v="DMT"/>
    <m/>
    <n v="0"/>
    <n v="0"/>
    <n v="0"/>
    <n v="0"/>
    <n v="0"/>
    <m/>
  </r>
  <r>
    <x v="0"/>
    <s v="Apr26 to May25"/>
    <x v="2"/>
    <x v="0"/>
    <x v="3"/>
    <d v="2026-05-25T00:00:00"/>
    <n v="2726878"/>
    <x v="5"/>
    <s v="OBS"/>
    <x v="11"/>
    <s v="TOTAL"/>
    <n v="5049775"/>
    <n v="959457.25"/>
    <n v="6009232.25"/>
    <n v="5667.5364758698088"/>
    <n v="1076.8319304152637"/>
    <n v="6744.3684062850725"/>
    <n v="891"/>
    <x v="0"/>
    <s v="Provision (Based on External Report)"/>
    <x v="0"/>
    <s v="Variable"/>
    <x v="2"/>
    <s v="TOTAL"/>
    <m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0"/>
    <s v="Refrigeration"/>
    <n v="141205.96301702355"/>
    <n v="0"/>
    <n v="170769.09502799995"/>
    <n v="155.4750175514626"/>
    <n v="0"/>
    <n v="185.01527088624047"/>
    <n v="923"/>
    <x v="0"/>
    <s v="Provision (Based on External Report)"/>
    <x v="0"/>
    <s v="Variable"/>
    <x v="0"/>
    <s v="CNT"/>
    <n v="143503.44119999997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1"/>
    <s v="Cooking"/>
    <n v="1355994.1697683982"/>
    <n v="0"/>
    <n v="1639887.5251937965"/>
    <n v="1493.0192241173709"/>
    <n v="0"/>
    <n v="1776.6928766996712"/>
    <n v="923"/>
    <x v="0"/>
    <s v="Provision (Based on External Report)"/>
    <x v="0"/>
    <s v="Variable"/>
    <x v="0"/>
    <s v="CVT"/>
    <n v="1378056.7438603332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2"/>
    <s v="Dishwasher"/>
    <n v="32749.552494291594"/>
    <n v="0"/>
    <n v="39606.057156013441"/>
    <n v="36.058939297334639"/>
    <n v="0"/>
    <n v="42.910137763828217"/>
    <n v="923"/>
    <x v="0"/>
    <s v="Provision (Based on External Report)"/>
    <x v="0"/>
    <s v="Variable"/>
    <x v="0"/>
    <s v="CDT"/>
    <n v="33282.400971439871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3"/>
    <s v="WM"/>
    <n v="0"/>
    <n v="0"/>
    <n v="0"/>
    <n v="0"/>
    <n v="0"/>
    <n v="0"/>
    <n v="923"/>
    <x v="0"/>
    <s v="Provision (Based on External Report)"/>
    <x v="0"/>
    <s v="Variable"/>
    <x v="0"/>
    <s v="DFT"/>
    <n v="0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4"/>
    <s v="VCC"/>
    <n v="3446630.6081542405"/>
    <n v="0"/>
    <n v="4168223.3333116882"/>
    <n v="3794.9173168528714"/>
    <n v="0"/>
    <n v="4515.9516070549171"/>
    <n v="923"/>
    <x v="0"/>
    <s v="Provision (Based on External Report)"/>
    <x v="0"/>
    <s v="Variable"/>
    <x v="0"/>
    <s v="DVT"/>
    <n v="3502708.6834552004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5"/>
    <s v="Television"/>
    <n v="0"/>
    <n v="0"/>
    <n v="0"/>
    <n v="0"/>
    <n v="0"/>
    <n v="0"/>
    <n v="923"/>
    <x v="0"/>
    <s v="Provision (Based on External Report)"/>
    <x v="0"/>
    <s v="Variable"/>
    <x v="0"/>
    <s v="GLT"/>
    <n v="0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6"/>
    <s v="Audio"/>
    <n v="2838407.315655923"/>
    <n v="0"/>
    <n v="3432661.3285940378"/>
    <n v="3125.2322337591504"/>
    <n v="0"/>
    <n v="3719.0263581733889"/>
    <n v="923"/>
    <x v="0"/>
    <s v="Provision (Based on External Report)"/>
    <x v="0"/>
    <s v="Variable"/>
    <x v="0"/>
    <s v="PNT"/>
    <n v="2884589.3517596959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7"/>
    <s v="Monitor"/>
    <n v="329947.60481471464"/>
    <n v="0"/>
    <n v="399026.02324288635"/>
    <n v="363.28925884982874"/>
    <n v="0"/>
    <n v="432.31421803129621"/>
    <n v="923"/>
    <x v="0"/>
    <s v="Provision (Based on External Report)"/>
    <x v="0"/>
    <s v="Variable"/>
    <x v="0"/>
    <s v="GTT"/>
    <n v="335315.9859183919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8"/>
    <s v="RAC"/>
    <n v="244608.92368318717"/>
    <n v="0"/>
    <n v="295820.68377746246"/>
    <n v="269.32698797077711"/>
    <n v="0"/>
    <n v="320.49911568522475"/>
    <n v="923"/>
    <x v="0"/>
    <s v="Provision (Based on External Report)"/>
    <x v="0"/>
    <s v="Variable"/>
    <x v="0"/>
    <s v="DGT"/>
    <n v="248588.8098970273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9"/>
    <s v="Air Cleaner"/>
    <n v="407042.76281150337"/>
    <n v="0"/>
    <n v="492261.96088218474"/>
    <n v="448.17498737418606"/>
    <n v="0"/>
    <n v="533.32823497528136"/>
    <n v="923"/>
    <x v="0"/>
    <s v="Provision (Based on External Report)"/>
    <x v="0"/>
    <s v="Variable"/>
    <x v="0"/>
    <s v="DLT"/>
    <n v="413665.51334637374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10"/>
    <s v="SAC"/>
    <n v="23319.099600717003"/>
    <n v="0"/>
    <n v="28201.227841930111"/>
    <n v="25.675526318025902"/>
    <n v="0"/>
    <n v="30.553876318450822"/>
    <n v="923"/>
    <x v="0"/>
    <s v="Provision (Based on External Report)"/>
    <x v="0"/>
    <s v="Variable"/>
    <x v="0"/>
    <s v="DMT"/>
    <n v="23698.510791537909"/>
    <n v="0"/>
    <n v="0"/>
    <n v="0"/>
    <n v="0"/>
    <n v="0"/>
    <m/>
  </r>
  <r>
    <x v="0"/>
    <s v="May 26 to Jun 25"/>
    <x v="1"/>
    <x v="0"/>
    <x v="0"/>
    <d v="2026-06-25T00:00:00"/>
    <n v="2797165"/>
    <x v="5"/>
    <s v="OBS"/>
    <x v="11"/>
    <s v="TOTAL"/>
    <n v="8819906"/>
    <n v="1703047.7938280003"/>
    <n v="10666457.235028001"/>
    <n v="9711.1694920910086"/>
    <n v="1845.1222034972916"/>
    <n v="11556.291695588299"/>
    <n v="923"/>
    <x v="0"/>
    <s v="Provision (Based on External Report)"/>
    <x v="0"/>
    <s v="Variable"/>
    <x v="0"/>
    <s v="TOTAL"/>
    <n v="8963409.4412000012"/>
    <n v="0"/>
    <n v="0"/>
    <n v="0"/>
    <n v="0"/>
    <n v="0"/>
    <m/>
  </r>
  <r>
    <x v="0"/>
    <s v="Jun26 to Jul25"/>
    <x v="0"/>
    <x v="0"/>
    <x v="2"/>
    <m/>
    <m/>
    <x v="5"/>
    <s v="OBS"/>
    <x v="0"/>
    <s v="Refrigeration"/>
    <n v="1201729.4306638185"/>
    <n v="0"/>
    <n v="1693760.448074074"/>
    <n v="1540.398384875836"/>
    <n v="0"/>
    <n v="1833.0740780022447"/>
    <n v="924"/>
    <x v="0"/>
    <s v="Provision (Based on External Report)"/>
    <x v="0"/>
    <s v="Variable"/>
    <x v="1"/>
    <s v="CNT"/>
    <m/>
    <n v="0"/>
    <n v="0"/>
    <n v="0"/>
    <n v="0"/>
    <n v="0"/>
    <m/>
  </r>
  <r>
    <x v="0"/>
    <s v="Jun26 to Jul25"/>
    <x v="0"/>
    <x v="0"/>
    <x v="2"/>
    <m/>
    <m/>
    <x v="5"/>
    <s v="OBS"/>
    <x v="1"/>
    <s v="Cooking"/>
    <n v="437.77972849123091"/>
    <n v="0"/>
    <n v="17829.057348148148"/>
    <n v="16.214719840798274"/>
    <n v="0"/>
    <n v="19.295516610549946"/>
    <n v="924"/>
    <x v="0"/>
    <s v="Provision (Based on External Report)"/>
    <x v="0"/>
    <s v="Variable"/>
    <x v="1"/>
    <s v="CVT"/>
    <m/>
    <n v="0"/>
    <n v="0"/>
    <n v="0"/>
    <n v="0"/>
    <n v="0"/>
    <m/>
  </r>
  <r>
    <x v="0"/>
    <s v="Jun26 to Jul25"/>
    <x v="0"/>
    <x v="0"/>
    <x v="2"/>
    <m/>
    <m/>
    <x v="5"/>
    <s v="OBS"/>
    <x v="2"/>
    <s v="Dishwasher"/>
    <n v="51122.2005657954"/>
    <n v="0"/>
    <n v="196119.63082962963"/>
    <n v="178.361918248781"/>
    <n v="0"/>
    <n v="212.25068271604937"/>
    <n v="924"/>
    <x v="0"/>
    <s v="Provision (Based on External Report)"/>
    <x v="0"/>
    <s v="Variable"/>
    <x v="1"/>
    <s v="CDT"/>
    <m/>
    <n v="0"/>
    <n v="0"/>
    <n v="0"/>
    <n v="0"/>
    <n v="0"/>
    <m/>
  </r>
  <r>
    <x v="0"/>
    <s v="Jun26 to Jul25"/>
    <x v="0"/>
    <x v="0"/>
    <x v="2"/>
    <m/>
    <m/>
    <x v="5"/>
    <s v="OBS"/>
    <x v="3"/>
    <s v="WM"/>
    <n v="2511345.8803799232"/>
    <n v="0"/>
    <n v="3735187.5144370371"/>
    <n v="3396.9838066472385"/>
    <n v="0"/>
    <n v="4042.4107299102134"/>
    <n v="924"/>
    <x v="0"/>
    <s v="Provision (Based on External Report)"/>
    <x v="0"/>
    <s v="Variable"/>
    <x v="1"/>
    <s v="DFT"/>
    <m/>
    <n v="0"/>
    <n v="0"/>
    <n v="0"/>
    <n v="0"/>
    <n v="0"/>
    <m/>
  </r>
  <r>
    <x v="0"/>
    <s v="Jun26 to Jul25"/>
    <x v="0"/>
    <x v="0"/>
    <x v="2"/>
    <m/>
    <m/>
    <x v="5"/>
    <s v="OBS"/>
    <x v="4"/>
    <s v="VCC"/>
    <n v="0"/>
    <n v="0"/>
    <n v="0"/>
    <n v="0"/>
    <n v="0"/>
    <n v="0"/>
    <n v="924"/>
    <x v="0"/>
    <s v="Provision (Based on External Report)"/>
    <x v="0"/>
    <s v="Variable"/>
    <x v="1"/>
    <s v="DVT"/>
    <m/>
    <n v="0"/>
    <n v="0"/>
    <n v="0"/>
    <n v="0"/>
    <n v="0"/>
    <m/>
  </r>
  <r>
    <x v="0"/>
    <s v="Jun26 to Jul25"/>
    <x v="0"/>
    <x v="0"/>
    <x v="2"/>
    <m/>
    <m/>
    <x v="5"/>
    <s v="OBS"/>
    <x v="5"/>
    <s v="Television"/>
    <n v="1592303.3182872944"/>
    <n v="0"/>
    <n v="2014683.4803407406"/>
    <n v="1832.2633420102047"/>
    <n v="0"/>
    <n v="2180.3933769921437"/>
    <n v="924"/>
    <x v="0"/>
    <s v="Provision (Based on External Report)"/>
    <x v="0"/>
    <s v="Variable"/>
    <x v="1"/>
    <s v="GLT"/>
    <m/>
    <n v="0"/>
    <n v="0"/>
    <n v="0"/>
    <n v="0"/>
    <n v="0"/>
    <m/>
  </r>
  <r>
    <x v="0"/>
    <s v="Jun26 to Jul25"/>
    <x v="0"/>
    <x v="0"/>
    <x v="2"/>
    <m/>
    <m/>
    <x v="5"/>
    <s v="OBS"/>
    <x v="6"/>
    <s v="Audio"/>
    <n v="127041.16219384682"/>
    <n v="0"/>
    <n v="89145.286740740747"/>
    <n v="81.073599203991364"/>
    <n v="0"/>
    <n v="96.477583052749722"/>
    <n v="924"/>
    <x v="0"/>
    <s v="Provision (Based on External Report)"/>
    <x v="0"/>
    <s v="Variable"/>
    <x v="1"/>
    <s v="PNT"/>
    <m/>
    <n v="0"/>
    <n v="0"/>
    <n v="0"/>
    <n v="0"/>
    <n v="0"/>
    <m/>
  </r>
  <r>
    <x v="0"/>
    <s v="Jun26 to Jul25"/>
    <x v="0"/>
    <x v="0"/>
    <x v="2"/>
    <m/>
    <m/>
    <x v="5"/>
    <s v="OBS"/>
    <x v="7"/>
    <s v="Monitor"/>
    <n v="168138.23913850141"/>
    <n v="0"/>
    <n v="249606.80287407408"/>
    <n v="227.00607777117582"/>
    <n v="0"/>
    <n v="270.13723254769923"/>
    <n v="924"/>
    <x v="0"/>
    <s v="Provision (Based on External Report)"/>
    <x v="0"/>
    <s v="Variable"/>
    <x v="1"/>
    <s v="GTT"/>
    <m/>
    <n v="0"/>
    <n v="0"/>
    <n v="0"/>
    <n v="0"/>
    <n v="0"/>
    <m/>
  </r>
  <r>
    <x v="0"/>
    <s v="Jun26 to Jul25"/>
    <x v="0"/>
    <x v="0"/>
    <x v="2"/>
    <m/>
    <m/>
    <x v="5"/>
    <s v="OBS"/>
    <x v="8"/>
    <s v="RAC"/>
    <n v="121051.86100014443"/>
    <n v="0"/>
    <n v="169376.04480740742"/>
    <n v="154.03983848758361"/>
    <n v="0"/>
    <n v="183.3074078002245"/>
    <n v="924"/>
    <x v="0"/>
    <s v="Provision (Based on External Report)"/>
    <x v="0"/>
    <s v="Variable"/>
    <x v="1"/>
    <s v="DGT"/>
    <m/>
    <n v="0"/>
    <n v="0"/>
    <n v="0"/>
    <n v="0"/>
    <n v="0"/>
    <m/>
  </r>
  <r>
    <x v="0"/>
    <s v="Jun26 to Jul25"/>
    <x v="0"/>
    <x v="0"/>
    <x v="2"/>
    <m/>
    <m/>
    <x v="5"/>
    <s v="OBS"/>
    <x v="9"/>
    <s v="Air Cleaner"/>
    <n v="5756.1280421855254"/>
    <n v="0"/>
    <n v="17829.057348148148"/>
    <n v="16.214719840798274"/>
    <n v="0"/>
    <n v="19.295516610549946"/>
    <n v="924"/>
    <x v="0"/>
    <s v="Provision (Based on External Report)"/>
    <x v="0"/>
    <s v="Variable"/>
    <x v="1"/>
    <s v="DLT"/>
    <m/>
    <n v="0"/>
    <n v="0"/>
    <n v="0"/>
    <n v="0"/>
    <n v="0"/>
    <m/>
  </r>
  <r>
    <x v="0"/>
    <s v="Jun26 to Jul25"/>
    <x v="0"/>
    <x v="0"/>
    <x v="2"/>
    <m/>
    <m/>
    <x v="5"/>
    <s v="OBS"/>
    <x v="10"/>
    <s v="SAC"/>
    <m/>
    <n v="0"/>
    <n v="0"/>
    <n v="0"/>
    <n v="0"/>
    <n v="0"/>
    <n v="924"/>
    <x v="0"/>
    <s v="Provision (Based on External Report)"/>
    <x v="0"/>
    <s v="Variable"/>
    <x v="1"/>
    <s v="DMT"/>
    <m/>
    <n v="0"/>
    <n v="0"/>
    <n v="0"/>
    <n v="0"/>
    <n v="0"/>
    <m/>
  </r>
  <r>
    <x v="0"/>
    <s v="Jun26 to Jul25"/>
    <x v="0"/>
    <x v="0"/>
    <x v="2"/>
    <m/>
    <m/>
    <x v="5"/>
    <s v="OBS"/>
    <x v="11"/>
    <s v="TOTAL"/>
    <n v="5778926.0000000019"/>
    <n v="1306615.2028000003"/>
    <n v="8183537.3228000011"/>
    <n v="7442.5564069264083"/>
    <n v="1414.0857173160175"/>
    <n v="8856.6421242424258"/>
    <n v="924"/>
    <x v="0"/>
    <s v="Provision (Based on External Report)"/>
    <x v="0"/>
    <s v="Variable"/>
    <x v="1"/>
    <s v="TOTAL"/>
    <m/>
    <n v="0"/>
    <n v="0"/>
    <n v="0"/>
    <n v="0"/>
    <n v="0"/>
    <m/>
  </r>
  <r>
    <x v="0"/>
    <s v="Jul21 to Aug20"/>
    <x v="3"/>
    <x v="1"/>
    <x v="2"/>
    <m/>
    <n v="494026"/>
    <x v="0"/>
    <s v="3P"/>
    <x v="0"/>
    <s v="Refrigeration"/>
    <n v="39026563.778931223"/>
    <n v="0"/>
    <n v="46441610.896928154"/>
    <n v="42466.337082623744"/>
    <n v="0"/>
    <n v="50534.941128322251"/>
    <n v="919"/>
    <x v="0"/>
    <s v="Provision (Based on External Report)"/>
    <x v="0"/>
    <s v="Variable"/>
    <x v="1"/>
    <s v="CNT"/>
    <m/>
    <n v="0"/>
    <n v="0"/>
    <n v="0"/>
    <n v="0"/>
    <n v="0"/>
    <m/>
  </r>
  <r>
    <x v="0"/>
    <s v="Jul21 to Aug20"/>
    <x v="3"/>
    <x v="1"/>
    <x v="2"/>
    <m/>
    <n v="494026"/>
    <x v="0"/>
    <s v="3P"/>
    <x v="1"/>
    <s v="Cooking"/>
    <n v="0"/>
    <n v="0"/>
    <n v="0"/>
    <n v="0"/>
    <n v="0"/>
    <n v="0"/>
    <n v="919"/>
    <x v="0"/>
    <s v="Provision (Based on External Report)"/>
    <x v="0"/>
    <s v="Variable"/>
    <x v="1"/>
    <s v="CVT"/>
    <m/>
    <n v="0"/>
    <n v="0"/>
    <n v="0"/>
    <n v="0"/>
    <n v="0"/>
    <m/>
  </r>
  <r>
    <x v="0"/>
    <s v="Jul21 to Aug20"/>
    <x v="3"/>
    <x v="1"/>
    <x v="2"/>
    <m/>
    <n v="494026"/>
    <x v="0"/>
    <s v="3P"/>
    <x v="2"/>
    <s v="Dishwasher"/>
    <n v="473160.78820911876"/>
    <n v="0"/>
    <n v="563061.33796885132"/>
    <n v="514.86484027107588"/>
    <n v="0"/>
    <n v="612.6891599225803"/>
    <n v="919"/>
    <x v="0"/>
    <s v="Provision (Based on External Report)"/>
    <x v="0"/>
    <s v="Variable"/>
    <x v="1"/>
    <s v="CDT"/>
    <m/>
    <n v="0"/>
    <n v="0"/>
    <n v="0"/>
    <n v="0"/>
    <n v="0"/>
    <m/>
  </r>
  <r>
    <x v="0"/>
    <s v="Jul21 to Aug20"/>
    <x v="3"/>
    <x v="1"/>
    <x v="2"/>
    <m/>
    <n v="494026"/>
    <x v="0"/>
    <s v="3P"/>
    <x v="3"/>
    <s v="WM"/>
    <n v="90612105.831013575"/>
    <n v="0"/>
    <n v="107828405.93890615"/>
    <n v="98598.591763888544"/>
    <n v="0"/>
    <n v="117332.32419902737"/>
    <n v="919"/>
    <x v="0"/>
    <s v="Provision (Based on External Report)"/>
    <x v="0"/>
    <s v="Variable"/>
    <x v="1"/>
    <s v="DFT"/>
    <m/>
    <n v="0"/>
    <n v="0"/>
    <n v="0"/>
    <n v="0"/>
    <n v="0"/>
    <m/>
  </r>
  <r>
    <x v="0"/>
    <s v="Jul21 to Aug20"/>
    <x v="3"/>
    <x v="1"/>
    <x v="2"/>
    <m/>
    <n v="494026"/>
    <x v="0"/>
    <s v="3P"/>
    <x v="4"/>
    <s v="VCC"/>
    <n v="0"/>
    <n v="0"/>
    <n v="0"/>
    <n v="0"/>
    <n v="0"/>
    <n v="0"/>
    <n v="919"/>
    <x v="0"/>
    <s v="Provision (Based on External Report)"/>
    <x v="0"/>
    <s v="Variable"/>
    <x v="1"/>
    <s v="DVT"/>
    <m/>
    <n v="0"/>
    <n v="0"/>
    <n v="0"/>
    <n v="0"/>
    <n v="0"/>
    <m/>
  </r>
  <r>
    <x v="0"/>
    <s v="Jul21 to Aug20"/>
    <x v="3"/>
    <x v="1"/>
    <x v="2"/>
    <m/>
    <n v="494026"/>
    <x v="0"/>
    <s v="3P"/>
    <x v="5"/>
    <s v="Television"/>
    <n v="57911326.961136214"/>
    <n v="0"/>
    <n v="68914479.083752096"/>
    <n v="63015.589729201536"/>
    <n v="0"/>
    <n v="74988.551777749832"/>
    <n v="919"/>
    <x v="0"/>
    <s v="Provision (Based on External Report)"/>
    <x v="0"/>
    <s v="Variable"/>
    <x v="1"/>
    <s v="GLT"/>
    <m/>
    <n v="0"/>
    <n v="0"/>
    <n v="0"/>
    <n v="0"/>
    <n v="0"/>
    <m/>
  </r>
  <r>
    <x v="0"/>
    <s v="Jul21 to Aug20"/>
    <x v="3"/>
    <x v="1"/>
    <x v="2"/>
    <m/>
    <n v="494026"/>
    <x v="0"/>
    <s v="3P"/>
    <x v="6"/>
    <s v="Audio"/>
    <n v="5584927.54774296"/>
    <n v="0"/>
    <n v="6646063.7818141226"/>
    <n v="6077.179050862851"/>
    <n v="0"/>
    <n v="7231.843070526792"/>
    <n v="919"/>
    <x v="0"/>
    <s v="Provision (Based on External Report)"/>
    <x v="0"/>
    <s v="Variable"/>
    <x v="1"/>
    <s v="PNT"/>
    <m/>
    <n v="0"/>
    <n v="0"/>
    <n v="0"/>
    <n v="0"/>
    <n v="0"/>
    <m/>
  </r>
  <r>
    <x v="0"/>
    <s v="Jul21 to Aug20"/>
    <x v="3"/>
    <x v="1"/>
    <x v="2"/>
    <m/>
    <n v="494026"/>
    <x v="0"/>
    <s v="3P"/>
    <x v="7"/>
    <s v="Monitor"/>
    <n v="8834891.8793289121"/>
    <n v="0"/>
    <n v="10513521.336401405"/>
    <n v="9613.5929046016463"/>
    <n v="0"/>
    <n v="11440.175556475959"/>
    <n v="919"/>
    <x v="0"/>
    <s v="Provision (Based on External Report)"/>
    <x v="0"/>
    <s v="Variable"/>
    <x v="1"/>
    <s v="GTT"/>
    <m/>
    <n v="0"/>
    <n v="0"/>
    <n v="0"/>
    <n v="0"/>
    <n v="0"/>
    <m/>
  </r>
  <r>
    <x v="0"/>
    <s v="Jul21 to Aug20"/>
    <x v="3"/>
    <x v="1"/>
    <x v="2"/>
    <m/>
    <n v="494026"/>
    <x v="0"/>
    <s v="3P"/>
    <x v="8"/>
    <s v="RAC"/>
    <n v="887073.71751840529"/>
    <n v="0"/>
    <n v="1055617.7238469021"/>
    <n v="965.25975790903726"/>
    <n v="0"/>
    <n v="1148.6591119117543"/>
    <n v="919"/>
    <x v="0"/>
    <s v="Provision (Based on External Report)"/>
    <x v="0"/>
    <s v="Variable"/>
    <x v="1"/>
    <s v="DGT"/>
    <m/>
    <n v="0"/>
    <n v="0"/>
    <n v="0"/>
    <n v="0"/>
    <n v="0"/>
    <m/>
  </r>
  <r>
    <x v="0"/>
    <s v="Jul21 to Aug20"/>
    <x v="3"/>
    <x v="1"/>
    <x v="2"/>
    <m/>
    <n v="494026"/>
    <x v="0"/>
    <s v="3P"/>
    <x v="9"/>
    <s v="Air Cleaner"/>
    <n v="0"/>
    <n v="0"/>
    <n v="0"/>
    <n v="0"/>
    <n v="0"/>
    <n v="0"/>
    <n v="919"/>
    <x v="0"/>
    <s v="Provision (Based on External Report)"/>
    <x v="0"/>
    <s v="Variable"/>
    <x v="1"/>
    <s v="DLT"/>
    <m/>
    <n v="0"/>
    <n v="0"/>
    <n v="0"/>
    <n v="0"/>
    <n v="0"/>
    <m/>
  </r>
  <r>
    <x v="0"/>
    <s v="Jul21 to Aug20"/>
    <x v="3"/>
    <x v="1"/>
    <x v="2"/>
    <m/>
    <n v="494026"/>
    <x v="0"/>
    <s v="3P"/>
    <x v="10"/>
    <s v="SAC"/>
    <n v="0"/>
    <n v="0"/>
    <n v="0"/>
    <n v="0"/>
    <n v="0"/>
    <n v="0"/>
    <n v="919"/>
    <x v="0"/>
    <s v="Provision (Based on External Report)"/>
    <x v="0"/>
    <s v="Variable"/>
    <x v="1"/>
    <s v="DMT"/>
    <m/>
    <n v="0"/>
    <n v="0"/>
    <n v="0"/>
    <n v="0"/>
    <n v="0"/>
    <m/>
  </r>
  <r>
    <x v="0"/>
    <s v="Jul21 to Aug20"/>
    <x v="3"/>
    <x v="1"/>
    <x v="2"/>
    <m/>
    <n v="494026"/>
    <x v="0"/>
    <s v="3P"/>
    <x v="11"/>
    <s v="TOTAL"/>
    <n v="203330050.50388041"/>
    <n v="38632709.595737278"/>
    <n v="241962760.09961769"/>
    <n v="221251.41512935844"/>
    <n v="42037.768874578105"/>
    <n v="263289.18400393653"/>
    <n v="919"/>
    <x v="0"/>
    <s v="Provision (Based on External Report)"/>
    <x v="0"/>
    <s v="Variable"/>
    <x v="1"/>
    <s v="TOTAL"/>
    <m/>
    <n v="0"/>
    <n v="0"/>
    <n v="0"/>
    <n v="0"/>
    <n v="0"/>
    <m/>
  </r>
  <r>
    <x v="0"/>
    <s v="Jul21 to Aug20"/>
    <x v="3"/>
    <x v="1"/>
    <x v="2"/>
    <m/>
    <n v="459689"/>
    <x v="0"/>
    <s v="3P"/>
    <x v="0"/>
    <s v="Refrigeration"/>
    <n v="-15797376.319633977"/>
    <n v="0"/>
    <n v="-18798877.820364431"/>
    <n v="-17189.745723214339"/>
    <n v="0"/>
    <n v="-20455.797410625062"/>
    <n v="919"/>
    <x v="0"/>
    <s v="Provision (Based on External Report)"/>
    <x v="1"/>
    <s v="Variable"/>
    <x v="1"/>
    <s v="CNT"/>
    <m/>
    <n v="0"/>
    <n v="0"/>
    <n v="0"/>
    <n v="0"/>
    <n v="0"/>
    <m/>
  </r>
  <r>
    <x v="0"/>
    <s v="Jul21 to Aug20"/>
    <x v="3"/>
    <x v="1"/>
    <x v="2"/>
    <m/>
    <n v="459689"/>
    <x v="0"/>
    <s v="3P"/>
    <x v="1"/>
    <s v="Cooking"/>
    <n v="0"/>
    <n v="0"/>
    <n v="0"/>
    <n v="0"/>
    <n v="0"/>
    <n v="0"/>
    <n v="919"/>
    <x v="0"/>
    <s v="Provision (Based on External Report)"/>
    <x v="1"/>
    <s v="Variable"/>
    <x v="1"/>
    <s v="CVT"/>
    <m/>
    <n v="0"/>
    <n v="0"/>
    <n v="0"/>
    <n v="0"/>
    <n v="0"/>
    <m/>
  </r>
  <r>
    <x v="0"/>
    <s v="Jul21 to Aug20"/>
    <x v="3"/>
    <x v="1"/>
    <x v="2"/>
    <m/>
    <n v="459689"/>
    <x v="0"/>
    <s v="3P"/>
    <x v="2"/>
    <s v="Dishwasher"/>
    <n v="-191528.49513923516"/>
    <n v="0"/>
    <n v="-227918.90921568984"/>
    <n v="-208.40967915041912"/>
    <n v="0"/>
    <n v="-248.00751818899874"/>
    <n v="919"/>
    <x v="0"/>
    <s v="Provision (Based on External Report)"/>
    <x v="1"/>
    <s v="Variable"/>
    <x v="1"/>
    <s v="CDT"/>
    <m/>
    <n v="0"/>
    <n v="0"/>
    <n v="0"/>
    <n v="0"/>
    <n v="0"/>
    <m/>
  </r>
  <r>
    <x v="0"/>
    <s v="Jul21 to Aug20"/>
    <x v="3"/>
    <x v="1"/>
    <x v="2"/>
    <m/>
    <n v="459689"/>
    <x v="0"/>
    <s v="3P"/>
    <x v="3"/>
    <s v="WM"/>
    <n v="-36678441.459398776"/>
    <n v="0"/>
    <n v="-43647345.33668454"/>
    <n v="-39911.252948203241"/>
    <n v="0"/>
    <n v="-47494.391008361854"/>
    <n v="919"/>
    <x v="0"/>
    <s v="Provision (Based on External Report)"/>
    <x v="1"/>
    <s v="Variable"/>
    <x v="1"/>
    <s v="DFT"/>
    <m/>
    <n v="0"/>
    <n v="0"/>
    <n v="0"/>
    <n v="0"/>
    <n v="0"/>
    <m/>
  </r>
  <r>
    <x v="0"/>
    <s v="Jul21 to Aug20"/>
    <x v="3"/>
    <x v="1"/>
    <x v="2"/>
    <m/>
    <n v="459689"/>
    <x v="0"/>
    <s v="3P"/>
    <x v="4"/>
    <s v="VCC"/>
    <n v="0"/>
    <n v="0"/>
    <n v="0"/>
    <n v="0"/>
    <n v="0"/>
    <n v="0"/>
    <n v="919"/>
    <x v="0"/>
    <s v="Provision (Based on External Report)"/>
    <x v="1"/>
    <s v="Variable"/>
    <x v="1"/>
    <s v="DVT"/>
    <m/>
    <n v="0"/>
    <n v="0"/>
    <n v="0"/>
    <n v="0"/>
    <n v="0"/>
    <m/>
  </r>
  <r>
    <x v="0"/>
    <s v="Jul21 to Aug20"/>
    <x v="3"/>
    <x v="1"/>
    <x v="2"/>
    <m/>
    <n v="459689"/>
    <x v="0"/>
    <s v="3P"/>
    <x v="5"/>
    <s v="Television"/>
    <n v="-23441649.39441378"/>
    <n v="0"/>
    <n v="-27895562.779352397"/>
    <n v="-25507.779536902915"/>
    <n v="0"/>
    <n v="-30354.257648914467"/>
    <n v="919"/>
    <x v="0"/>
    <s v="Provision (Based on External Report)"/>
    <x v="1"/>
    <s v="Variable"/>
    <x v="1"/>
    <s v="GLT"/>
    <m/>
    <n v="0"/>
    <n v="0"/>
    <n v="0"/>
    <n v="0"/>
    <n v="0"/>
    <m/>
  </r>
  <r>
    <x v="0"/>
    <s v="Jul21 to Aug20"/>
    <x v="3"/>
    <x v="1"/>
    <x v="2"/>
    <m/>
    <n v="459689"/>
    <x v="0"/>
    <s v="3P"/>
    <x v="6"/>
    <s v="Audio"/>
    <n v="-2260696.1424878556"/>
    <n v="0"/>
    <n v="-2690228.4095605481"/>
    <n v="-2459.9522769182327"/>
    <n v="0"/>
    <n v="-2927.3432095326966"/>
    <n v="919"/>
    <x v="0"/>
    <s v="Provision (Based on External Report)"/>
    <x v="1"/>
    <s v="Variable"/>
    <x v="1"/>
    <s v="PNT"/>
    <m/>
    <n v="0"/>
    <n v="0"/>
    <n v="0"/>
    <n v="0"/>
    <n v="0"/>
    <m/>
  </r>
  <r>
    <x v="0"/>
    <s v="Jul21 to Aug20"/>
    <x v="3"/>
    <x v="1"/>
    <x v="2"/>
    <m/>
    <n v="459689"/>
    <x v="0"/>
    <s v="3P"/>
    <x v="7"/>
    <s v="Monitor"/>
    <n v="-3576233.6789790331"/>
    <n v="0"/>
    <n v="-4255718.0779850492"/>
    <n v="-3891.4403470936159"/>
    <n v="0"/>
    <n v="-4630.8140130414031"/>
    <n v="919"/>
    <x v="0"/>
    <s v="Provision (Based on External Report)"/>
    <x v="1"/>
    <s v="Variable"/>
    <x v="1"/>
    <s v="GTT"/>
    <m/>
    <n v="0"/>
    <n v="0"/>
    <n v="0"/>
    <n v="0"/>
    <n v="0"/>
    <m/>
  </r>
  <r>
    <x v="0"/>
    <s v="Jul21 to Aug20"/>
    <x v="3"/>
    <x v="1"/>
    <x v="2"/>
    <m/>
    <n v="459689"/>
    <x v="0"/>
    <s v="3P"/>
    <x v="8"/>
    <s v="RAC"/>
    <n v="-359074.33250529203"/>
    <n v="0"/>
    <n v="-427298.45568129752"/>
    <n v="-390.72288629520352"/>
    <n v="0"/>
    <n v="-464.96023469129216"/>
    <n v="919"/>
    <x v="0"/>
    <s v="Provision (Based on External Report)"/>
    <x v="1"/>
    <s v="Variable"/>
    <x v="1"/>
    <s v="DGT"/>
    <m/>
    <n v="0"/>
    <n v="0"/>
    <n v="0"/>
    <n v="0"/>
    <n v="0"/>
    <m/>
  </r>
  <r>
    <x v="0"/>
    <s v="Jul21 to Aug20"/>
    <x v="3"/>
    <x v="1"/>
    <x v="2"/>
    <m/>
    <n v="459689"/>
    <x v="0"/>
    <s v="3P"/>
    <x v="9"/>
    <s v="Air Cleaner"/>
    <n v="0"/>
    <n v="0"/>
    <n v="0"/>
    <n v="0"/>
    <n v="0"/>
    <n v="0"/>
    <n v="919"/>
    <x v="0"/>
    <s v="Provision (Based on External Report)"/>
    <x v="1"/>
    <s v="Variable"/>
    <x v="1"/>
    <s v="DLT"/>
    <m/>
    <n v="0"/>
    <n v="0"/>
    <n v="0"/>
    <n v="0"/>
    <n v="0"/>
    <m/>
  </r>
  <r>
    <x v="0"/>
    <s v="Jul21 to Aug20"/>
    <x v="3"/>
    <x v="1"/>
    <x v="2"/>
    <m/>
    <n v="459689"/>
    <x v="0"/>
    <s v="3P"/>
    <x v="10"/>
    <s v="SAC"/>
    <n v="0"/>
    <n v="0"/>
    <n v="0"/>
    <n v="0"/>
    <n v="0"/>
    <n v="0"/>
    <n v="919"/>
    <x v="0"/>
    <s v="Provision (Based on External Report)"/>
    <x v="1"/>
    <s v="Variable"/>
    <x v="1"/>
    <s v="DMT"/>
    <m/>
    <n v="0"/>
    <n v="0"/>
    <n v="0"/>
    <n v="0"/>
    <n v="0"/>
    <m/>
  </r>
  <r>
    <x v="0"/>
    <s v="Jul21 to Aug20"/>
    <x v="3"/>
    <x v="1"/>
    <x v="2"/>
    <m/>
    <n v="459689"/>
    <x v="0"/>
    <s v="3P"/>
    <x v="11"/>
    <s v="TOTAL"/>
    <n v="-82304999.822557956"/>
    <n v="-15637949.966286011"/>
    <n v="-97942949.78884396"/>
    <n v="-89559.303397777971"/>
    <n v="-17016.267645577813"/>
    <n v="-106575.57104335578"/>
    <n v="919"/>
    <x v="0"/>
    <s v="Provision (Based on External Report)"/>
    <x v="1"/>
    <s v="Variable"/>
    <x v="1"/>
    <s v="TOTAL"/>
    <m/>
    <n v="0"/>
    <n v="0"/>
    <n v="0"/>
    <n v="0"/>
    <n v="0"/>
    <m/>
  </r>
  <r>
    <x v="0"/>
    <s v="Aug1 to Aug14"/>
    <x v="3"/>
    <x v="1"/>
    <x v="2"/>
    <m/>
    <m/>
    <x v="1"/>
    <s v="3P"/>
    <x v="0"/>
    <s v="Refrigeration"/>
    <m/>
    <n v="0"/>
    <n v="0"/>
    <n v="0"/>
    <n v="0"/>
    <n v="0"/>
    <n v="919"/>
    <x v="3"/>
    <s v="Provision (Based on External Report)"/>
    <x v="0"/>
    <s v="Variable"/>
    <x v="1"/>
    <s v="CNT"/>
    <n v="2556784.3287519803"/>
    <n v="0"/>
    <n v="3042573.3512148564"/>
    <n v="2782.1374632774541"/>
    <n v="0"/>
    <n v="3310.7435813001703"/>
    <m/>
  </r>
  <r>
    <x v="0"/>
    <s v="Aug1 to Aug14"/>
    <x v="3"/>
    <x v="1"/>
    <x v="2"/>
    <m/>
    <m/>
    <x v="1"/>
    <s v="3P"/>
    <x v="1"/>
    <s v="Cooking"/>
    <m/>
    <n v="0"/>
    <n v="0"/>
    <n v="0"/>
    <n v="0"/>
    <n v="0"/>
    <n v="919"/>
    <x v="3"/>
    <s v="Provision (Based on External Report)"/>
    <x v="0"/>
    <s v="Variable"/>
    <x v="1"/>
    <s v="CVT"/>
    <n v="0"/>
    <n v="0"/>
    <n v="0"/>
    <n v="0"/>
    <n v="0"/>
    <n v="0"/>
    <m/>
  </r>
  <r>
    <x v="0"/>
    <s v="Aug1 to Aug14"/>
    <x v="3"/>
    <x v="1"/>
    <x v="2"/>
    <m/>
    <m/>
    <x v="1"/>
    <s v="3P"/>
    <x v="2"/>
    <s v="Dishwasher"/>
    <m/>
    <n v="0"/>
    <n v="0"/>
    <n v="0"/>
    <n v="0"/>
    <n v="0"/>
    <n v="919"/>
    <x v="3"/>
    <s v="Provision (Based on External Report)"/>
    <x v="0"/>
    <s v="Variable"/>
    <x v="1"/>
    <s v="CDT"/>
    <n v="168310.69153344969"/>
    <n v="0"/>
    <n v="200289.72292480513"/>
    <n v="183.14547500919443"/>
    <n v="0"/>
    <n v="217.94311526094137"/>
    <m/>
  </r>
  <r>
    <x v="0"/>
    <s v="Aug1 to Aug14"/>
    <x v="3"/>
    <x v="1"/>
    <x v="2"/>
    <m/>
    <m/>
    <x v="1"/>
    <s v="3P"/>
    <x v="3"/>
    <s v="WM"/>
    <m/>
    <n v="0"/>
    <n v="0"/>
    <n v="0"/>
    <n v="0"/>
    <n v="0"/>
    <n v="919"/>
    <x v="3"/>
    <s v="Provision (Based on External Report)"/>
    <x v="0"/>
    <s v="Variable"/>
    <x v="1"/>
    <s v="DFT"/>
    <n v="5498348.5477820728"/>
    <n v="0"/>
    <n v="6543034.7718606666"/>
    <n v="5982.9690400240179"/>
    <n v="0"/>
    <n v="7119.7331576285806"/>
    <m/>
  </r>
  <r>
    <x v="0"/>
    <s v="Aug1 to Aug14"/>
    <x v="3"/>
    <x v="1"/>
    <x v="2"/>
    <m/>
    <m/>
    <x v="1"/>
    <s v="3P"/>
    <x v="4"/>
    <s v="VCC"/>
    <m/>
    <n v="0"/>
    <n v="0"/>
    <n v="0"/>
    <n v="0"/>
    <n v="0"/>
    <n v="919"/>
    <x v="3"/>
    <s v="Provision (Based on External Report)"/>
    <x v="0"/>
    <s v="Variable"/>
    <x v="1"/>
    <s v="DVT"/>
    <n v="0"/>
    <n v="0"/>
    <n v="0"/>
    <n v="0"/>
    <n v="0"/>
    <n v="0"/>
    <m/>
  </r>
  <r>
    <x v="0"/>
    <s v="Aug1 to Aug14"/>
    <x v="3"/>
    <x v="1"/>
    <x v="2"/>
    <m/>
    <m/>
    <x v="1"/>
    <s v="3P"/>
    <x v="5"/>
    <s v="Television"/>
    <m/>
    <n v="0"/>
    <n v="0"/>
    <n v="0"/>
    <n v="0"/>
    <n v="0"/>
    <n v="919"/>
    <x v="3"/>
    <s v="Provision (Based on External Report)"/>
    <x v="0"/>
    <s v="Variable"/>
    <x v="1"/>
    <s v="GLT"/>
    <n v="2208280.5940041388"/>
    <n v="0"/>
    <n v="2627853.9068649253"/>
    <n v="2402.9168596345362"/>
    <n v="0"/>
    <n v="2859.4710629650981"/>
    <m/>
  </r>
  <r>
    <x v="0"/>
    <s v="Aug1 to Aug14"/>
    <x v="3"/>
    <x v="1"/>
    <x v="2"/>
    <m/>
    <m/>
    <x v="1"/>
    <s v="3P"/>
    <x v="6"/>
    <s v="Audio"/>
    <m/>
    <n v="0"/>
    <n v="0"/>
    <n v="0"/>
    <n v="0"/>
    <n v="0"/>
    <n v="919"/>
    <x v="3"/>
    <s v="Provision (Based on External Report)"/>
    <x v="0"/>
    <s v="Variable"/>
    <x v="1"/>
    <s v="PNT"/>
    <n v="306772.38577969786"/>
    <n v="0"/>
    <n v="365059.13907784043"/>
    <n v="333.8110835470053"/>
    <n v="0"/>
    <n v="397.23518942093631"/>
    <m/>
  </r>
  <r>
    <x v="0"/>
    <s v="Aug1 to Aug14"/>
    <x v="3"/>
    <x v="1"/>
    <x v="2"/>
    <m/>
    <m/>
    <x v="1"/>
    <s v="3P"/>
    <x v="7"/>
    <s v="Monitor"/>
    <m/>
    <n v="0"/>
    <n v="0"/>
    <n v="0"/>
    <n v="0"/>
    <n v="0"/>
    <n v="919"/>
    <x v="3"/>
    <s v="Provision (Based on External Report)"/>
    <x v="0"/>
    <s v="Variable"/>
    <x v="1"/>
    <s v="GTT"/>
    <n v="158741.35388771884"/>
    <n v="0"/>
    <n v="188902.2111263854"/>
    <n v="172.73270281579852"/>
    <n v="0"/>
    <n v="205.55191635080024"/>
    <m/>
  </r>
  <r>
    <x v="0"/>
    <s v="Aug1 to Aug14"/>
    <x v="3"/>
    <x v="1"/>
    <x v="2"/>
    <m/>
    <m/>
    <x v="1"/>
    <s v="3P"/>
    <x v="8"/>
    <s v="RAC"/>
    <m/>
    <n v="0"/>
    <n v="0"/>
    <n v="0"/>
    <n v="0"/>
    <n v="0"/>
    <n v="919"/>
    <x v="3"/>
    <s v="Provision (Based on External Report)"/>
    <x v="0"/>
    <s v="Variable"/>
    <x v="1"/>
    <s v="DGT"/>
    <n v="206944.60826094134"/>
    <n v="0"/>
    <n v="246264.08383052019"/>
    <n v="225.18455741125283"/>
    <n v="0"/>
    <n v="267.96962331939085"/>
    <m/>
  </r>
  <r>
    <x v="0"/>
    <s v="Aug1 to Aug14"/>
    <x v="3"/>
    <x v="1"/>
    <x v="2"/>
    <m/>
    <m/>
    <x v="1"/>
    <s v="3P"/>
    <x v="9"/>
    <s v="Air Cleaner"/>
    <m/>
    <n v="0"/>
    <n v="0"/>
    <n v="0"/>
    <n v="0"/>
    <n v="0"/>
    <n v="919"/>
    <x v="3"/>
    <s v="Provision (Based on External Report)"/>
    <x v="0"/>
    <s v="Variable"/>
    <x v="1"/>
    <s v="DLT"/>
    <n v="0"/>
    <n v="0"/>
    <n v="0"/>
    <n v="0"/>
    <n v="0"/>
    <n v="0"/>
    <m/>
  </r>
  <r>
    <x v="0"/>
    <s v="Aug1 to Aug14"/>
    <x v="3"/>
    <x v="1"/>
    <x v="2"/>
    <m/>
    <m/>
    <x v="1"/>
    <s v="3P"/>
    <x v="10"/>
    <s v="SAC"/>
    <m/>
    <n v="0"/>
    <n v="0"/>
    <n v="0"/>
    <n v="0"/>
    <n v="0"/>
    <n v="919"/>
    <x v="3"/>
    <s v="Provision (Based on External Report)"/>
    <x v="0"/>
    <s v="Variable"/>
    <x v="1"/>
    <s v="DMT"/>
    <n v="0"/>
    <n v="0"/>
    <n v="0"/>
    <n v="0"/>
    <n v="0"/>
    <n v="0"/>
    <m/>
  </r>
  <r>
    <x v="0"/>
    <s v="Aug1 to Aug14"/>
    <x v="3"/>
    <x v="1"/>
    <x v="2"/>
    <m/>
    <m/>
    <x v="1"/>
    <s v="3P"/>
    <x v="11"/>
    <s v="TOTAL"/>
    <n v="0"/>
    <n v="0"/>
    <n v="0"/>
    <n v="0"/>
    <n v="0"/>
    <n v="0"/>
    <n v="919"/>
    <x v="3"/>
    <s v="Provision (Based on External Report)"/>
    <x v="0"/>
    <s v="Variable"/>
    <x v="1"/>
    <s v="TOTAL"/>
    <n v="11104182.509999998"/>
    <n v="2109794.6768999998"/>
    <n v="13213977.186899997"/>
    <n v="12082.897181719258"/>
    <n v="2295.750464526659"/>
    <n v="14378.647646245916"/>
    <m/>
  </r>
  <r>
    <x v="0"/>
    <s v="Aug15 to Aug31"/>
    <x v="3"/>
    <x v="1"/>
    <x v="2"/>
    <m/>
    <m/>
    <x v="1"/>
    <s v="3P"/>
    <x v="0"/>
    <s v="Refrigeration"/>
    <m/>
    <n v="0"/>
    <n v="0"/>
    <n v="0"/>
    <n v="0"/>
    <n v="0"/>
    <n v="919"/>
    <x v="1"/>
    <s v="Provision (Based on External Report)"/>
    <x v="0"/>
    <s v="Variable"/>
    <x v="1"/>
    <s v="CNT"/>
    <n v="3305365.6985000223"/>
    <n v="0"/>
    <n v="3933385.1812150264"/>
    <n v="3596.6982573449645"/>
    <n v="0"/>
    <n v="4280.070926240508"/>
    <m/>
  </r>
  <r>
    <x v="0"/>
    <s v="Aug15 to Aug31"/>
    <x v="3"/>
    <x v="1"/>
    <x v="2"/>
    <m/>
    <m/>
    <x v="1"/>
    <s v="3P"/>
    <x v="1"/>
    <s v="Cooking"/>
    <m/>
    <n v="0"/>
    <n v="0"/>
    <n v="0"/>
    <n v="0"/>
    <n v="0"/>
    <n v="919"/>
    <x v="1"/>
    <s v="Provision (Based on External Report)"/>
    <x v="0"/>
    <s v="Variable"/>
    <x v="1"/>
    <s v="CVT"/>
    <n v="0"/>
    <n v="0"/>
    <n v="0"/>
    <n v="0"/>
    <n v="0"/>
    <n v="0"/>
    <m/>
  </r>
  <r>
    <x v="0"/>
    <s v="Aug15 to Aug31"/>
    <x v="3"/>
    <x v="1"/>
    <x v="2"/>
    <m/>
    <m/>
    <x v="1"/>
    <s v="3P"/>
    <x v="2"/>
    <s v="Dishwasher"/>
    <m/>
    <n v="0"/>
    <n v="0"/>
    <n v="0"/>
    <n v="0"/>
    <n v="0"/>
    <n v="919"/>
    <x v="1"/>
    <s v="Provision (Based on External Report)"/>
    <x v="0"/>
    <s v="Variable"/>
    <x v="1"/>
    <s v="CDT"/>
    <n v="217589.09432812355"/>
    <n v="0"/>
    <n v="258931.02225046701"/>
    <n v="236.76724083582542"/>
    <n v="0"/>
    <n v="281.75301659463224"/>
    <m/>
  </r>
  <r>
    <x v="0"/>
    <s v="Aug15 to Aug31"/>
    <x v="3"/>
    <x v="1"/>
    <x v="2"/>
    <m/>
    <m/>
    <x v="1"/>
    <s v="3P"/>
    <x v="3"/>
    <s v="WM"/>
    <m/>
    <n v="0"/>
    <n v="0"/>
    <n v="0"/>
    <n v="0"/>
    <n v="0"/>
    <n v="919"/>
    <x v="1"/>
    <s v="Provision (Based on External Report)"/>
    <x v="0"/>
    <s v="Variable"/>
    <x v="1"/>
    <s v="DFT"/>
    <n v="7108168.0546389334"/>
    <n v="0"/>
    <n v="8458719.9850203302"/>
    <n v="7734.676882088067"/>
    <n v="0"/>
    <n v="9204.2654896847998"/>
    <m/>
  </r>
  <r>
    <x v="0"/>
    <s v="Aug15 to Aug31"/>
    <x v="3"/>
    <x v="1"/>
    <x v="2"/>
    <m/>
    <m/>
    <x v="1"/>
    <s v="3P"/>
    <x v="4"/>
    <s v="VCC"/>
    <m/>
    <n v="0"/>
    <n v="0"/>
    <n v="0"/>
    <n v="0"/>
    <n v="0"/>
    <n v="919"/>
    <x v="1"/>
    <s v="Provision (Based on External Report)"/>
    <x v="0"/>
    <s v="Variable"/>
    <x v="1"/>
    <s v="DVT"/>
    <n v="0"/>
    <n v="0"/>
    <n v="0"/>
    <n v="0"/>
    <n v="0"/>
    <n v="0"/>
    <m/>
  </r>
  <r>
    <x v="0"/>
    <s v="Aug15 to Aug31"/>
    <x v="3"/>
    <x v="1"/>
    <x v="2"/>
    <m/>
    <m/>
    <x v="1"/>
    <s v="3P"/>
    <x v="5"/>
    <s v="Television"/>
    <m/>
    <n v="0"/>
    <n v="0"/>
    <n v="0"/>
    <n v="0"/>
    <n v="0"/>
    <n v="919"/>
    <x v="1"/>
    <s v="Provision (Based on External Report)"/>
    <x v="0"/>
    <s v="Variable"/>
    <x v="1"/>
    <s v="GLT"/>
    <n v="2854826.215102552"/>
    <n v="0"/>
    <n v="3397243.1959720366"/>
    <n v="3106.4485474456496"/>
    <n v="0"/>
    <n v="3696.6737714603228"/>
    <m/>
  </r>
  <r>
    <x v="0"/>
    <s v="Aug15 to Aug31"/>
    <x v="3"/>
    <x v="1"/>
    <x v="2"/>
    <m/>
    <m/>
    <x v="1"/>
    <s v="3P"/>
    <x v="6"/>
    <s v="Audio"/>
    <m/>
    <n v="0"/>
    <n v="0"/>
    <n v="0"/>
    <n v="0"/>
    <n v="0"/>
    <n v="919"/>
    <x v="1"/>
    <s v="Provision (Based on External Report)"/>
    <x v="0"/>
    <s v="Variable"/>
    <x v="1"/>
    <s v="PNT"/>
    <n v="396589.93126658496"/>
    <n v="0"/>
    <n v="471942.01820723608"/>
    <n v="431.54508298866699"/>
    <n v="0"/>
    <n v="513.53864875651368"/>
    <m/>
  </r>
  <r>
    <x v="0"/>
    <s v="Aug15 to Aug31"/>
    <x v="3"/>
    <x v="1"/>
    <x v="2"/>
    <m/>
    <m/>
    <x v="1"/>
    <s v="3P"/>
    <x v="7"/>
    <s v="Monitor"/>
    <m/>
    <n v="0"/>
    <n v="0"/>
    <n v="0"/>
    <n v="0"/>
    <n v="0"/>
    <n v="919"/>
    <x v="1"/>
    <s v="Provision (Based on External Report)"/>
    <x v="0"/>
    <s v="Variable"/>
    <x v="1"/>
    <s v="GTT"/>
    <n v="205218.02334811524"/>
    <n v="0"/>
    <n v="244209.44778425712"/>
    <n v="223.30579254419504"/>
    <n v="0"/>
    <n v="265.73389312759207"/>
    <m/>
  </r>
  <r>
    <x v="0"/>
    <s v="Aug15 to Aug31"/>
    <x v="3"/>
    <x v="1"/>
    <x v="2"/>
    <m/>
    <m/>
    <x v="1"/>
    <s v="3P"/>
    <x v="8"/>
    <s v="RAC"/>
    <m/>
    <n v="0"/>
    <n v="0"/>
    <n v="0"/>
    <n v="0"/>
    <n v="0"/>
    <n v="919"/>
    <x v="1"/>
    <s v="Provision (Based on External Report)"/>
    <x v="0"/>
    <s v="Variable"/>
    <x v="1"/>
    <s v="DGT"/>
    <n v="267534.34067281225"/>
    <n v="0"/>
    <n v="318365.86540064658"/>
    <n v="291.11462532406119"/>
    <n v="0"/>
    <n v="346.42640413563282"/>
    <m/>
  </r>
  <r>
    <x v="0"/>
    <s v="Aug15 to Aug31"/>
    <x v="3"/>
    <x v="1"/>
    <x v="2"/>
    <m/>
    <m/>
    <x v="1"/>
    <s v="3P"/>
    <x v="9"/>
    <s v="Air Cleaner"/>
    <m/>
    <n v="0"/>
    <n v="0"/>
    <n v="0"/>
    <n v="0"/>
    <n v="0"/>
    <n v="919"/>
    <x v="1"/>
    <s v="Provision (Based on External Report)"/>
    <x v="0"/>
    <s v="Variable"/>
    <x v="1"/>
    <s v="DLT"/>
    <n v="0"/>
    <n v="0"/>
    <n v="0"/>
    <n v="0"/>
    <n v="0"/>
    <n v="0"/>
    <m/>
  </r>
  <r>
    <x v="0"/>
    <s v="Aug15 to Aug31"/>
    <x v="3"/>
    <x v="1"/>
    <x v="2"/>
    <m/>
    <m/>
    <x v="1"/>
    <s v="3P"/>
    <x v="10"/>
    <s v="SAC"/>
    <m/>
    <n v="0"/>
    <n v="0"/>
    <n v="0"/>
    <n v="0"/>
    <n v="0"/>
    <n v="919"/>
    <x v="1"/>
    <s v="Provision (Based on External Report)"/>
    <x v="0"/>
    <s v="Variable"/>
    <x v="1"/>
    <s v="DMT"/>
    <n v="0"/>
    <n v="0"/>
    <n v="0"/>
    <n v="0"/>
    <n v="0"/>
    <n v="0"/>
    <m/>
  </r>
  <r>
    <x v="0"/>
    <s v="Aug15 to Aug31"/>
    <x v="3"/>
    <x v="1"/>
    <x v="2"/>
    <m/>
    <m/>
    <x v="1"/>
    <s v="3P"/>
    <x v="11"/>
    <s v="TOTAL"/>
    <n v="0"/>
    <n v="0"/>
    <n v="0"/>
    <n v="0"/>
    <n v="0"/>
    <n v="0"/>
    <n v="919"/>
    <x v="1"/>
    <s v="Provision (Based on External Report)"/>
    <x v="0"/>
    <s v="Variable"/>
    <x v="1"/>
    <s v="TOTAL"/>
    <n v="14355291.357857144"/>
    <n v="2727505.3579928572"/>
    <n v="17082796.715849999"/>
    <n v="15620.55642857143"/>
    <n v="2967.9057214285717"/>
    <n v="18588.462149999999"/>
    <m/>
  </r>
  <r>
    <x v="0"/>
    <s v="Aug1 to Aug14"/>
    <x v="3"/>
    <x v="1"/>
    <x v="2"/>
    <m/>
    <m/>
    <x v="2"/>
    <s v="3P"/>
    <x v="0"/>
    <s v="Refrigeration"/>
    <m/>
    <n v="0"/>
    <n v="0"/>
    <n v="0"/>
    <n v="0"/>
    <n v="0"/>
    <n v="919"/>
    <x v="3"/>
    <s v="Provision (Based on External Report)"/>
    <x v="0"/>
    <s v="Variable"/>
    <x v="1"/>
    <s v="CNT"/>
    <n v="1917846.6465878414"/>
    <n v="0"/>
    <n v="2282237.5094395312"/>
    <n v="2086.8842726744738"/>
    <n v="0"/>
    <n v="2483.3922844826238"/>
    <m/>
  </r>
  <r>
    <x v="0"/>
    <s v="Aug1 to Aug14"/>
    <x v="3"/>
    <x v="1"/>
    <x v="2"/>
    <m/>
    <m/>
    <x v="2"/>
    <s v="3P"/>
    <x v="1"/>
    <s v="Cooking"/>
    <m/>
    <n v="0"/>
    <n v="0"/>
    <n v="0"/>
    <n v="0"/>
    <n v="0"/>
    <n v="919"/>
    <x v="3"/>
    <s v="Provision (Based on External Report)"/>
    <x v="0"/>
    <s v="Variable"/>
    <x v="1"/>
    <s v="CVT"/>
    <n v="0"/>
    <n v="0"/>
    <n v="0"/>
    <n v="0"/>
    <n v="0"/>
    <n v="0"/>
    <m/>
  </r>
  <r>
    <x v="0"/>
    <s v="Aug1 to Aug14"/>
    <x v="3"/>
    <x v="1"/>
    <x v="2"/>
    <m/>
    <m/>
    <x v="2"/>
    <s v="3P"/>
    <x v="2"/>
    <s v="Dishwasher"/>
    <m/>
    <n v="0"/>
    <n v="0"/>
    <n v="0"/>
    <n v="0"/>
    <n v="0"/>
    <n v="919"/>
    <x v="3"/>
    <s v="Provision (Based on External Report)"/>
    <x v="0"/>
    <s v="Variable"/>
    <x v="1"/>
    <s v="CDT"/>
    <n v="0"/>
    <n v="0"/>
    <n v="0"/>
    <n v="0"/>
    <n v="0"/>
    <n v="0"/>
    <m/>
  </r>
  <r>
    <x v="0"/>
    <s v="Aug1 to Aug14"/>
    <x v="3"/>
    <x v="1"/>
    <x v="2"/>
    <m/>
    <m/>
    <x v="2"/>
    <s v="3P"/>
    <x v="3"/>
    <s v="WM"/>
    <m/>
    <n v="0"/>
    <n v="0"/>
    <n v="0"/>
    <n v="0"/>
    <n v="0"/>
    <n v="919"/>
    <x v="3"/>
    <s v="Provision (Based on External Report)"/>
    <x v="0"/>
    <s v="Variable"/>
    <x v="1"/>
    <s v="DFT"/>
    <n v="4591239.0848652506"/>
    <n v="0"/>
    <n v="5463574.5109896483"/>
    <n v="4995.907600506257"/>
    <n v="0"/>
    <n v="5945.1300446024452"/>
    <m/>
  </r>
  <r>
    <x v="0"/>
    <s v="Aug1 to Aug14"/>
    <x v="3"/>
    <x v="1"/>
    <x v="2"/>
    <m/>
    <m/>
    <x v="2"/>
    <s v="3P"/>
    <x v="4"/>
    <s v="VCC"/>
    <m/>
    <n v="0"/>
    <n v="0"/>
    <n v="0"/>
    <n v="0"/>
    <n v="0"/>
    <n v="919"/>
    <x v="3"/>
    <s v="Provision (Based on External Report)"/>
    <x v="0"/>
    <s v="Variable"/>
    <x v="1"/>
    <s v="DVT"/>
    <n v="0"/>
    <n v="0"/>
    <n v="0"/>
    <n v="0"/>
    <n v="0"/>
    <n v="0"/>
    <m/>
  </r>
  <r>
    <x v="0"/>
    <s v="Aug1 to Aug14"/>
    <x v="3"/>
    <x v="1"/>
    <x v="2"/>
    <m/>
    <m/>
    <x v="2"/>
    <s v="3P"/>
    <x v="5"/>
    <s v="Television"/>
    <m/>
    <n v="0"/>
    <n v="0"/>
    <n v="0"/>
    <n v="0"/>
    <n v="0"/>
    <n v="919"/>
    <x v="3"/>
    <s v="Provision (Based on External Report)"/>
    <x v="0"/>
    <s v="Variable"/>
    <x v="1"/>
    <s v="GLT"/>
    <n v="3247423.890987651"/>
    <n v="0"/>
    <n v="3864434.4302753042"/>
    <n v="3533.6495005306319"/>
    <n v="0"/>
    <n v="4205.0429056314515"/>
    <m/>
  </r>
  <r>
    <x v="0"/>
    <s v="Aug1 to Aug14"/>
    <x v="3"/>
    <x v="1"/>
    <x v="2"/>
    <m/>
    <m/>
    <x v="2"/>
    <s v="3P"/>
    <x v="6"/>
    <s v="Audio"/>
    <m/>
    <n v="0"/>
    <n v="0"/>
    <n v="0"/>
    <n v="0"/>
    <n v="0"/>
    <n v="919"/>
    <x v="3"/>
    <s v="Provision (Based on External Report)"/>
    <x v="0"/>
    <s v="Variable"/>
    <x v="1"/>
    <s v="PNT"/>
    <n v="172152.4684813307"/>
    <n v="0"/>
    <n v="204861.43749278353"/>
    <n v="187.32586341820533"/>
    <n v="0"/>
    <n v="222.91777746766434"/>
    <m/>
  </r>
  <r>
    <x v="0"/>
    <s v="Aug1 to Aug14"/>
    <x v="3"/>
    <x v="1"/>
    <x v="2"/>
    <m/>
    <m/>
    <x v="2"/>
    <s v="3P"/>
    <x v="7"/>
    <s v="Monitor"/>
    <m/>
    <n v="0"/>
    <n v="0"/>
    <n v="0"/>
    <n v="0"/>
    <n v="0"/>
    <n v="919"/>
    <x v="3"/>
    <s v="Provision (Based on External Report)"/>
    <x v="0"/>
    <s v="Variable"/>
    <x v="1"/>
    <s v="GTT"/>
    <n v="194957.72313004592"/>
    <n v="0"/>
    <n v="231999.69052475464"/>
    <n v="212.14115683356465"/>
    <n v="0"/>
    <n v="252.44797663194191"/>
    <m/>
  </r>
  <r>
    <x v="0"/>
    <s v="Aug1 to Aug14"/>
    <x v="3"/>
    <x v="1"/>
    <x v="2"/>
    <m/>
    <m/>
    <x v="2"/>
    <s v="3P"/>
    <x v="8"/>
    <s v="RAC"/>
    <m/>
    <n v="0"/>
    <n v="0"/>
    <n v="0"/>
    <n v="0"/>
    <n v="0"/>
    <n v="919"/>
    <x v="3"/>
    <s v="Provision (Based on External Report)"/>
    <x v="0"/>
    <s v="Variable"/>
    <x v="1"/>
    <s v="DGT"/>
    <n v="50205.43592418098"/>
    <n v="0"/>
    <n v="59744.468749775362"/>
    <n v="54.630506990403674"/>
    <n v="0"/>
    <n v="65.01030331858037"/>
    <m/>
  </r>
  <r>
    <x v="0"/>
    <s v="Aug1 to Aug14"/>
    <x v="3"/>
    <x v="1"/>
    <x v="2"/>
    <m/>
    <m/>
    <x v="2"/>
    <s v="3P"/>
    <x v="9"/>
    <s v="Air Cleaner"/>
    <m/>
    <n v="0"/>
    <n v="0"/>
    <n v="0"/>
    <n v="0"/>
    <n v="0"/>
    <n v="919"/>
    <x v="3"/>
    <s v="Provision (Based on External Report)"/>
    <x v="0"/>
    <s v="Variable"/>
    <x v="1"/>
    <s v="DLT"/>
    <n v="0"/>
    <n v="0"/>
    <n v="0"/>
    <n v="0"/>
    <n v="0"/>
    <n v="0"/>
    <m/>
  </r>
  <r>
    <x v="0"/>
    <s v="Aug1 to Aug14"/>
    <x v="3"/>
    <x v="1"/>
    <x v="2"/>
    <m/>
    <m/>
    <x v="2"/>
    <s v="3P"/>
    <x v="10"/>
    <s v="SAC"/>
    <m/>
    <n v="0"/>
    <n v="0"/>
    <n v="0"/>
    <n v="0"/>
    <n v="0"/>
    <n v="919"/>
    <x v="3"/>
    <s v="Provision (Based on External Report)"/>
    <x v="0"/>
    <s v="Variable"/>
    <x v="1"/>
    <s v="DMT"/>
    <n v="0"/>
    <n v="0"/>
    <n v="0"/>
    <n v="0"/>
    <n v="0"/>
    <n v="0"/>
    <m/>
  </r>
  <r>
    <x v="0"/>
    <s v="Aug1 to Aug14"/>
    <x v="3"/>
    <x v="1"/>
    <x v="2"/>
    <m/>
    <m/>
    <x v="2"/>
    <s v="3P"/>
    <x v="11"/>
    <s v="TOTAL"/>
    <n v="0"/>
    <n v="0"/>
    <n v="0"/>
    <n v="0"/>
    <n v="0"/>
    <n v="0"/>
    <n v="919"/>
    <x v="3"/>
    <s v="Provision (Based on External Report)"/>
    <x v="0"/>
    <s v="Variable"/>
    <x v="1"/>
    <s v="TOTAL"/>
    <n v="10173825.2499763"/>
    <n v="1933026.7974954969"/>
    <n v="12106852.047471795"/>
    <n v="11070.538900953536"/>
    <n v="2103.4023911811719"/>
    <n v="13173.941292134707"/>
    <m/>
  </r>
  <r>
    <x v="0"/>
    <s v="Aug15 to Aug31"/>
    <x v="3"/>
    <x v="1"/>
    <x v="2"/>
    <m/>
    <m/>
    <x v="2"/>
    <s v="3P"/>
    <x v="0"/>
    <s v="Refrigeration"/>
    <m/>
    <n v="0"/>
    <n v="0"/>
    <n v="0"/>
    <n v="0"/>
    <n v="0"/>
    <n v="919"/>
    <x v="1"/>
    <s v="Provision (Based on External Report)"/>
    <x v="0"/>
    <s v="Variable"/>
    <x v="1"/>
    <s v="CNT"/>
    <n v="1029356.5831330495"/>
    <n v="0"/>
    <n v="1224934.3339283289"/>
    <n v="1120.0833331153967"/>
    <n v="0"/>
    <n v="1332.8991664073221"/>
    <m/>
  </r>
  <r>
    <x v="0"/>
    <s v="Aug15 to Aug31"/>
    <x v="3"/>
    <x v="1"/>
    <x v="2"/>
    <m/>
    <m/>
    <x v="2"/>
    <s v="3P"/>
    <x v="1"/>
    <s v="Cooking"/>
    <m/>
    <n v="0"/>
    <n v="0"/>
    <n v="0"/>
    <n v="0"/>
    <n v="0"/>
    <n v="919"/>
    <x v="1"/>
    <s v="Provision (Based on External Report)"/>
    <x v="0"/>
    <s v="Variable"/>
    <x v="1"/>
    <s v="CVT"/>
    <n v="0"/>
    <n v="0"/>
    <n v="0"/>
    <n v="0"/>
    <n v="0"/>
    <n v="0"/>
    <m/>
  </r>
  <r>
    <x v="0"/>
    <s v="Aug15 to Aug31"/>
    <x v="3"/>
    <x v="1"/>
    <x v="2"/>
    <m/>
    <m/>
    <x v="2"/>
    <s v="3P"/>
    <x v="2"/>
    <s v="Dishwasher"/>
    <m/>
    <n v="0"/>
    <n v="0"/>
    <n v="0"/>
    <n v="0"/>
    <n v="0"/>
    <n v="919"/>
    <x v="1"/>
    <s v="Provision (Based on External Report)"/>
    <x v="0"/>
    <s v="Variable"/>
    <x v="1"/>
    <s v="CDT"/>
    <n v="0"/>
    <n v="0"/>
    <n v="0"/>
    <n v="0"/>
    <n v="0"/>
    <n v="0"/>
    <m/>
  </r>
  <r>
    <x v="0"/>
    <s v="Aug15 to Aug31"/>
    <x v="3"/>
    <x v="1"/>
    <x v="2"/>
    <m/>
    <m/>
    <x v="2"/>
    <s v="3P"/>
    <x v="3"/>
    <s v="WM"/>
    <m/>
    <n v="0"/>
    <n v="0"/>
    <n v="0"/>
    <n v="0"/>
    <n v="0"/>
    <n v="919"/>
    <x v="1"/>
    <s v="Provision (Based on External Report)"/>
    <x v="0"/>
    <s v="Variable"/>
    <x v="1"/>
    <s v="DFT"/>
    <n v="2464233.6159422128"/>
    <n v="0"/>
    <n v="2932438.0029712329"/>
    <n v="2681.4293971079574"/>
    <n v="0"/>
    <n v="3190.900982558469"/>
    <m/>
  </r>
  <r>
    <x v="0"/>
    <s v="Aug15 to Aug31"/>
    <x v="3"/>
    <x v="1"/>
    <x v="2"/>
    <m/>
    <m/>
    <x v="2"/>
    <s v="3P"/>
    <x v="4"/>
    <s v="VCC"/>
    <m/>
    <n v="0"/>
    <n v="0"/>
    <n v="0"/>
    <n v="0"/>
    <n v="0"/>
    <n v="919"/>
    <x v="1"/>
    <s v="Provision (Based on External Report)"/>
    <x v="0"/>
    <s v="Variable"/>
    <x v="1"/>
    <s v="DVT"/>
    <n v="0"/>
    <n v="0"/>
    <n v="0"/>
    <n v="0"/>
    <n v="0"/>
    <n v="0"/>
    <m/>
  </r>
  <r>
    <x v="0"/>
    <s v="Aug15 to Aug31"/>
    <x v="3"/>
    <x v="1"/>
    <x v="2"/>
    <m/>
    <m/>
    <x v="2"/>
    <s v="3P"/>
    <x v="5"/>
    <s v="Television"/>
    <m/>
    <n v="0"/>
    <n v="0"/>
    <n v="0"/>
    <n v="0"/>
    <n v="0"/>
    <n v="919"/>
    <x v="1"/>
    <s v="Provision (Based on External Report)"/>
    <x v="0"/>
    <s v="Variable"/>
    <x v="1"/>
    <s v="GLT"/>
    <n v="1742974.1665523599"/>
    <n v="0"/>
    <n v="2074139.2581973083"/>
    <n v="1896.5986578371708"/>
    <n v="0"/>
    <n v="2256.9524028262331"/>
    <m/>
  </r>
  <r>
    <x v="0"/>
    <s v="Aug15 to Aug31"/>
    <x v="3"/>
    <x v="1"/>
    <x v="2"/>
    <m/>
    <m/>
    <x v="2"/>
    <s v="3P"/>
    <x v="6"/>
    <s v="Audio"/>
    <m/>
    <n v="0"/>
    <n v="0"/>
    <n v="0"/>
    <n v="0"/>
    <n v="0"/>
    <n v="919"/>
    <x v="1"/>
    <s v="Provision (Based on External Report)"/>
    <x v="0"/>
    <s v="Variable"/>
    <x v="1"/>
    <s v="PNT"/>
    <n v="92398.564321678758"/>
    <n v="0"/>
    <n v="109954.29154279771"/>
    <n v="100.54250742293662"/>
    <n v="0"/>
    <n v="119.64558383329458"/>
    <m/>
  </r>
  <r>
    <x v="0"/>
    <s v="Aug15 to Aug31"/>
    <x v="3"/>
    <x v="1"/>
    <x v="2"/>
    <m/>
    <m/>
    <x v="2"/>
    <s v="3P"/>
    <x v="7"/>
    <s v="Monitor"/>
    <m/>
    <n v="0"/>
    <n v="0"/>
    <n v="0"/>
    <n v="0"/>
    <n v="0"/>
    <n v="919"/>
    <x v="1"/>
    <s v="Provision (Based on External Report)"/>
    <x v="0"/>
    <s v="Variable"/>
    <x v="1"/>
    <s v="GTT"/>
    <n v="104638.71868670369"/>
    <n v="0"/>
    <n v="124520.07523717739"/>
    <n v="113.86150020315962"/>
    <n v="0"/>
    <n v="135.49518524175994"/>
    <m/>
  </r>
  <r>
    <x v="0"/>
    <s v="Aug15 to Aug31"/>
    <x v="3"/>
    <x v="1"/>
    <x v="2"/>
    <m/>
    <m/>
    <x v="2"/>
    <s v="3P"/>
    <x v="8"/>
    <s v="RAC"/>
    <m/>
    <n v="0"/>
    <n v="0"/>
    <n v="0"/>
    <n v="0"/>
    <n v="0"/>
    <n v="919"/>
    <x v="1"/>
    <s v="Provision (Based on External Report)"/>
    <x v="0"/>
    <s v="Variable"/>
    <x v="1"/>
    <s v="DGT"/>
    <n v="26946.521542567541"/>
    <n v="0"/>
    <n v="32066.360635655372"/>
    <n v="29.321568599094171"/>
    <n v="0"/>
    <n v="34.892666632922065"/>
    <m/>
  </r>
  <r>
    <x v="0"/>
    <s v="Aug15 to Aug31"/>
    <x v="3"/>
    <x v="1"/>
    <x v="2"/>
    <m/>
    <m/>
    <x v="2"/>
    <s v="3P"/>
    <x v="9"/>
    <s v="Air Cleaner"/>
    <m/>
    <n v="0"/>
    <n v="0"/>
    <n v="0"/>
    <n v="0"/>
    <n v="0"/>
    <n v="919"/>
    <x v="1"/>
    <s v="Provision (Based on External Report)"/>
    <x v="0"/>
    <s v="Variable"/>
    <x v="1"/>
    <s v="DLT"/>
    <n v="0"/>
    <n v="0"/>
    <n v="0"/>
    <n v="0"/>
    <n v="0"/>
    <n v="0"/>
    <m/>
  </r>
  <r>
    <x v="0"/>
    <s v="Aug15 to Aug31"/>
    <x v="3"/>
    <x v="1"/>
    <x v="2"/>
    <m/>
    <m/>
    <x v="2"/>
    <s v="3P"/>
    <x v="10"/>
    <s v="SAC"/>
    <m/>
    <n v="0"/>
    <n v="0"/>
    <n v="0"/>
    <n v="0"/>
    <n v="0"/>
    <n v="919"/>
    <x v="1"/>
    <s v="Provision (Based on External Report)"/>
    <x v="0"/>
    <s v="Variable"/>
    <x v="1"/>
    <s v="DMT"/>
    <n v="0"/>
    <n v="0"/>
    <n v="0"/>
    <n v="0"/>
    <n v="0"/>
    <n v="0"/>
    <m/>
  </r>
  <r>
    <x v="0"/>
    <s v="Aug15 to Aug31"/>
    <x v="3"/>
    <x v="1"/>
    <x v="2"/>
    <m/>
    <m/>
    <x v="2"/>
    <s v="3P"/>
    <x v="11"/>
    <s v="TOTAL"/>
    <n v="0"/>
    <n v="0"/>
    <n v="0"/>
    <n v="0"/>
    <n v="0"/>
    <n v="0"/>
    <n v="919"/>
    <x v="1"/>
    <s v="Provision (Based on External Report)"/>
    <x v="0"/>
    <s v="Variable"/>
    <x v="1"/>
    <s v="TOTAL"/>
    <n v="5460548.1701785726"/>
    <n v="1037504.1523339289"/>
    <n v="6498052.3225125009"/>
    <n v="5941.836964285716"/>
    <n v="1128.9490232142859"/>
    <n v="7070.7859875000022"/>
    <m/>
  </r>
  <r>
    <x v="0"/>
    <s v="Aug1 to Aug14"/>
    <x v="3"/>
    <x v="1"/>
    <x v="2"/>
    <m/>
    <m/>
    <x v="3"/>
    <s v="3P"/>
    <x v="0"/>
    <s v="Refrigeration"/>
    <m/>
    <n v="0"/>
    <n v="0"/>
    <n v="0"/>
    <n v="0"/>
    <n v="0"/>
    <n v="919"/>
    <x v="3"/>
    <s v="Provision (Based on External Report)"/>
    <x v="0"/>
    <s v="Variable"/>
    <x v="1"/>
    <s v="CNT"/>
    <n v="1714158.186077598"/>
    <n v="0"/>
    <n v="2039848.2414323415"/>
    <n v="1865.2428575381916"/>
    <n v="0"/>
    <n v="2219.6390004704481"/>
    <m/>
  </r>
  <r>
    <x v="0"/>
    <s v="Aug1 to Aug14"/>
    <x v="3"/>
    <x v="1"/>
    <x v="2"/>
    <m/>
    <m/>
    <x v="3"/>
    <s v="3P"/>
    <x v="1"/>
    <s v="Cooking"/>
    <m/>
    <n v="0"/>
    <n v="0"/>
    <n v="0"/>
    <n v="0"/>
    <n v="0"/>
    <n v="919"/>
    <x v="3"/>
    <s v="Provision (Based on External Report)"/>
    <x v="0"/>
    <s v="Variable"/>
    <x v="1"/>
    <s v="CVT"/>
    <n v="0"/>
    <n v="0"/>
    <n v="0"/>
    <n v="0"/>
    <n v="0"/>
    <n v="0"/>
    <m/>
  </r>
  <r>
    <x v="0"/>
    <s v="Aug1 to Aug14"/>
    <x v="3"/>
    <x v="1"/>
    <x v="2"/>
    <m/>
    <m/>
    <x v="3"/>
    <s v="3P"/>
    <x v="2"/>
    <s v="Dishwasher"/>
    <m/>
    <n v="0"/>
    <n v="0"/>
    <n v="0"/>
    <n v="0"/>
    <n v="0"/>
    <n v="919"/>
    <x v="3"/>
    <s v="Provision (Based on External Report)"/>
    <x v="0"/>
    <s v="Variable"/>
    <x v="1"/>
    <s v="CDT"/>
    <n v="41620.302238572454"/>
    <n v="0"/>
    <n v="49528.15966390122"/>
    <n v="45.28868578734761"/>
    <n v="0"/>
    <n v="53.893536086943655"/>
    <m/>
  </r>
  <r>
    <x v="0"/>
    <s v="Aug1 to Aug14"/>
    <x v="3"/>
    <x v="1"/>
    <x v="2"/>
    <m/>
    <m/>
    <x v="3"/>
    <s v="3P"/>
    <x v="3"/>
    <s v="WM"/>
    <m/>
    <n v="0"/>
    <n v="0"/>
    <n v="0"/>
    <n v="0"/>
    <n v="0"/>
    <n v="919"/>
    <x v="3"/>
    <s v="Provision (Based on External Report)"/>
    <x v="0"/>
    <s v="Variable"/>
    <x v="1"/>
    <s v="DFT"/>
    <n v="3699399.6282734526"/>
    <n v="0"/>
    <n v="4402285.5576454084"/>
    <n v="4025.4620547045188"/>
    <n v="0"/>
    <n v="4790.2998450983769"/>
    <m/>
  </r>
  <r>
    <x v="0"/>
    <s v="Aug1 to Aug14"/>
    <x v="3"/>
    <x v="1"/>
    <x v="2"/>
    <m/>
    <m/>
    <x v="3"/>
    <s v="3P"/>
    <x v="4"/>
    <s v="VCC"/>
    <m/>
    <n v="0"/>
    <n v="0"/>
    <n v="0"/>
    <n v="0"/>
    <n v="0"/>
    <n v="919"/>
    <x v="3"/>
    <s v="Provision (Based on External Report)"/>
    <x v="0"/>
    <s v="Variable"/>
    <x v="1"/>
    <s v="DVT"/>
    <n v="0"/>
    <n v="0"/>
    <n v="0"/>
    <n v="0"/>
    <n v="0"/>
    <n v="0"/>
    <m/>
  </r>
  <r>
    <x v="0"/>
    <s v="Aug1 to Aug14"/>
    <x v="3"/>
    <x v="1"/>
    <x v="2"/>
    <m/>
    <m/>
    <x v="3"/>
    <s v="3P"/>
    <x v="5"/>
    <s v="Television"/>
    <m/>
    <n v="0"/>
    <n v="0"/>
    <n v="0"/>
    <n v="0"/>
    <n v="0"/>
    <n v="919"/>
    <x v="3"/>
    <s v="Provision (Based on External Report)"/>
    <x v="0"/>
    <s v="Variable"/>
    <x v="1"/>
    <s v="GLT"/>
    <n v="1581845.3088950999"/>
    <n v="0"/>
    <n v="1882395.9175851687"/>
    <n v="1721.2680183842219"/>
    <n v="0"/>
    <n v="2048.3089418772238"/>
    <m/>
  </r>
  <r>
    <x v="0"/>
    <s v="Aug1 to Aug14"/>
    <x v="3"/>
    <x v="1"/>
    <x v="2"/>
    <m/>
    <m/>
    <x v="3"/>
    <s v="3P"/>
    <x v="6"/>
    <s v="Audio"/>
    <m/>
    <n v="0"/>
    <n v="0"/>
    <n v="0"/>
    <n v="0"/>
    <n v="0"/>
    <n v="919"/>
    <x v="3"/>
    <s v="Provision (Based on External Report)"/>
    <x v="0"/>
    <s v="Variable"/>
    <x v="1"/>
    <s v="PNT"/>
    <n v="89777.423158729958"/>
    <n v="0"/>
    <n v="106835.13355888864"/>
    <n v="97.690340760315522"/>
    <n v="0"/>
    <n v="116.25150550477547"/>
    <m/>
  </r>
  <r>
    <x v="0"/>
    <s v="Aug1 to Aug14"/>
    <x v="3"/>
    <x v="1"/>
    <x v="2"/>
    <m/>
    <m/>
    <x v="3"/>
    <s v="3P"/>
    <x v="7"/>
    <s v="Monitor"/>
    <m/>
    <n v="0"/>
    <n v="0"/>
    <n v="0"/>
    <n v="0"/>
    <n v="0"/>
    <n v="919"/>
    <x v="3"/>
    <s v="Provision (Based on External Report)"/>
    <x v="0"/>
    <s v="Variable"/>
    <x v="1"/>
    <s v="GTT"/>
    <n v="123075.39138406732"/>
    <n v="0"/>
    <n v="146459.71574704011"/>
    <n v="133.92316799136813"/>
    <n v="0"/>
    <n v="159.36856990972808"/>
    <m/>
  </r>
  <r>
    <x v="0"/>
    <s v="Aug1 to Aug14"/>
    <x v="3"/>
    <x v="1"/>
    <x v="2"/>
    <m/>
    <m/>
    <x v="3"/>
    <s v="3P"/>
    <x v="8"/>
    <s v="RAC"/>
    <m/>
    <n v="0"/>
    <n v="0"/>
    <n v="0"/>
    <n v="0"/>
    <n v="0"/>
    <n v="919"/>
    <x v="3"/>
    <s v="Provision (Based on External Report)"/>
    <x v="0"/>
    <s v="Variable"/>
    <x v="1"/>
    <s v="DGT"/>
    <n v="0"/>
    <n v="0"/>
    <n v="0"/>
    <n v="0"/>
    <n v="0"/>
    <n v="0"/>
    <m/>
  </r>
  <r>
    <x v="0"/>
    <s v="Aug1 to Aug14"/>
    <x v="3"/>
    <x v="1"/>
    <x v="2"/>
    <m/>
    <m/>
    <x v="3"/>
    <s v="3P"/>
    <x v="9"/>
    <s v="Air Cleaner"/>
    <m/>
    <n v="0"/>
    <n v="0"/>
    <n v="0"/>
    <n v="0"/>
    <n v="0"/>
    <n v="919"/>
    <x v="3"/>
    <s v="Provision (Based on External Report)"/>
    <x v="0"/>
    <s v="Variable"/>
    <x v="1"/>
    <s v="DLT"/>
    <n v="0"/>
    <n v="0"/>
    <n v="0"/>
    <n v="0"/>
    <n v="0"/>
    <n v="0"/>
    <m/>
  </r>
  <r>
    <x v="0"/>
    <s v="Aug1 to Aug14"/>
    <x v="3"/>
    <x v="1"/>
    <x v="2"/>
    <m/>
    <m/>
    <x v="3"/>
    <s v="3P"/>
    <x v="10"/>
    <s v="SAC"/>
    <m/>
    <n v="0"/>
    <n v="0"/>
    <n v="0"/>
    <n v="0"/>
    <n v="0"/>
    <n v="919"/>
    <x v="3"/>
    <s v="Provision (Based on External Report)"/>
    <x v="0"/>
    <s v="Variable"/>
    <x v="1"/>
    <s v="DMT"/>
    <n v="0"/>
    <n v="0"/>
    <n v="0"/>
    <n v="0"/>
    <n v="0"/>
    <n v="0"/>
    <m/>
  </r>
  <r>
    <x v="0"/>
    <s v="Aug1 to Aug14"/>
    <x v="3"/>
    <x v="1"/>
    <x v="2"/>
    <m/>
    <m/>
    <x v="3"/>
    <s v="3P"/>
    <x v="11"/>
    <s v="TOTAL"/>
    <n v="0"/>
    <n v="0"/>
    <n v="0"/>
    <n v="0"/>
    <n v="0"/>
    <n v="0"/>
    <n v="919"/>
    <x v="3"/>
    <s v="Provision (Based on External Report)"/>
    <x v="0"/>
    <s v="Variable"/>
    <x v="1"/>
    <s v="TOTAL"/>
    <n v="7249876.2400275199"/>
    <n v="1377476.4856052287"/>
    <n v="8627352.7256327476"/>
    <n v="7888.8751251659633"/>
    <n v="1498.886273781533"/>
    <n v="9387.7613989474958"/>
    <m/>
  </r>
  <r>
    <x v="0"/>
    <s v="Aug15 to Aug31"/>
    <x v="3"/>
    <x v="1"/>
    <x v="2"/>
    <m/>
    <m/>
    <x v="3"/>
    <s v="3P"/>
    <x v="0"/>
    <s v="Refrigeration"/>
    <m/>
    <n v="0"/>
    <n v="0"/>
    <n v="0"/>
    <n v="0"/>
    <n v="0"/>
    <n v="919"/>
    <x v="1"/>
    <s v="Provision (Based on External Report)"/>
    <x v="0"/>
    <s v="Variable"/>
    <x v="1"/>
    <s v="CNT"/>
    <n v="1014588.7714043141"/>
    <n v="0"/>
    <n v="1207360.6379711337"/>
    <n v="1104.0138970667183"/>
    <n v="0"/>
    <n v="1313.7765375093948"/>
    <m/>
  </r>
  <r>
    <x v="0"/>
    <s v="Aug15 to Aug31"/>
    <x v="3"/>
    <x v="1"/>
    <x v="2"/>
    <m/>
    <m/>
    <x v="3"/>
    <s v="3P"/>
    <x v="1"/>
    <s v="Cooking"/>
    <m/>
    <n v="0"/>
    <n v="0"/>
    <n v="0"/>
    <n v="0"/>
    <n v="0"/>
    <n v="919"/>
    <x v="1"/>
    <s v="Provision (Based on External Report)"/>
    <x v="0"/>
    <s v="Variable"/>
    <x v="1"/>
    <s v="CVT"/>
    <n v="0"/>
    <n v="0"/>
    <n v="0"/>
    <n v="0"/>
    <n v="0"/>
    <n v="0"/>
    <m/>
  </r>
  <r>
    <x v="0"/>
    <s v="Aug15 to Aug31"/>
    <x v="3"/>
    <x v="1"/>
    <x v="2"/>
    <m/>
    <m/>
    <x v="3"/>
    <s v="3P"/>
    <x v="2"/>
    <s v="Dishwasher"/>
    <m/>
    <n v="0"/>
    <n v="0"/>
    <n v="0"/>
    <n v="0"/>
    <n v="0"/>
    <n v="919"/>
    <x v="1"/>
    <s v="Provision (Based on External Report)"/>
    <x v="0"/>
    <s v="Variable"/>
    <x v="1"/>
    <s v="CDT"/>
    <n v="24634.535865290236"/>
    <n v="0"/>
    <n v="29315.09767969538"/>
    <n v="26.805806164624848"/>
    <n v="0"/>
    <n v="31.898909335903568"/>
    <m/>
  </r>
  <r>
    <x v="0"/>
    <s v="Aug15 to Aug31"/>
    <x v="3"/>
    <x v="1"/>
    <x v="2"/>
    <m/>
    <m/>
    <x v="3"/>
    <s v="3P"/>
    <x v="3"/>
    <s v="WM"/>
    <m/>
    <n v="0"/>
    <n v="0"/>
    <n v="0"/>
    <n v="0"/>
    <n v="0"/>
    <n v="919"/>
    <x v="1"/>
    <s v="Provision (Based on External Report)"/>
    <x v="0"/>
    <s v="Variable"/>
    <x v="1"/>
    <s v="DFT"/>
    <n v="2189628.3285104162"/>
    <n v="0"/>
    <n v="2605657.7109273952"/>
    <n v="2382.6205968557306"/>
    <n v="0"/>
    <n v="2835.3185102583193"/>
    <m/>
  </r>
  <r>
    <x v="0"/>
    <s v="Aug15 to Aug31"/>
    <x v="3"/>
    <x v="1"/>
    <x v="2"/>
    <m/>
    <m/>
    <x v="3"/>
    <s v="3P"/>
    <x v="4"/>
    <s v="VCC"/>
    <m/>
    <n v="0"/>
    <n v="0"/>
    <n v="0"/>
    <n v="0"/>
    <n v="0"/>
    <n v="919"/>
    <x v="1"/>
    <s v="Provision (Based on External Report)"/>
    <x v="0"/>
    <s v="Variable"/>
    <x v="1"/>
    <s v="DVT"/>
    <n v="0"/>
    <n v="0"/>
    <n v="0"/>
    <n v="0"/>
    <n v="0"/>
    <n v="0"/>
    <m/>
  </r>
  <r>
    <x v="0"/>
    <s v="Aug15 to Aug31"/>
    <x v="3"/>
    <x v="1"/>
    <x v="2"/>
    <m/>
    <m/>
    <x v="3"/>
    <s v="3P"/>
    <x v="5"/>
    <s v="Television"/>
    <m/>
    <n v="0"/>
    <n v="0"/>
    <n v="0"/>
    <n v="0"/>
    <n v="0"/>
    <n v="919"/>
    <x v="1"/>
    <s v="Provision (Based on External Report)"/>
    <x v="0"/>
    <s v="Variable"/>
    <x v="1"/>
    <s v="GLT"/>
    <n v="936274.43577771657"/>
    <n v="0"/>
    <n v="1114166.5785754826"/>
    <n v="1018.7969921411496"/>
    <n v="0"/>
    <n v="1212.3684206479679"/>
    <m/>
  </r>
  <r>
    <x v="0"/>
    <s v="Aug15 to Aug31"/>
    <x v="3"/>
    <x v="1"/>
    <x v="2"/>
    <m/>
    <m/>
    <x v="3"/>
    <s v="3P"/>
    <x v="6"/>
    <s v="Audio"/>
    <m/>
    <n v="0"/>
    <n v="0"/>
    <n v="0"/>
    <n v="0"/>
    <n v="0"/>
    <n v="919"/>
    <x v="1"/>
    <s v="Provision (Based on External Report)"/>
    <x v="0"/>
    <s v="Variable"/>
    <x v="1"/>
    <s v="PNT"/>
    <n v="53138.132876108801"/>
    <n v="0"/>
    <n v="63234.378122569469"/>
    <n v="57.821689745493799"/>
    <n v="0"/>
    <n v="68.80781079713762"/>
    <m/>
  </r>
  <r>
    <x v="0"/>
    <s v="Aug15 to Aug31"/>
    <x v="3"/>
    <x v="1"/>
    <x v="2"/>
    <m/>
    <m/>
    <x v="3"/>
    <s v="3P"/>
    <x v="7"/>
    <s v="Monitor"/>
    <m/>
    <n v="0"/>
    <n v="0"/>
    <n v="0"/>
    <n v="0"/>
    <n v="0"/>
    <n v="919"/>
    <x v="1"/>
    <s v="Provision (Based on External Report)"/>
    <x v="0"/>
    <s v="Variable"/>
    <x v="1"/>
    <s v="GTT"/>
    <n v="72846.783423296729"/>
    <n v="0"/>
    <n v="86687.672273723103"/>
    <n v="79.267446597711341"/>
    <n v="0"/>
    <n v="94.328261451276489"/>
    <m/>
  </r>
  <r>
    <x v="0"/>
    <s v="Aug15 to Aug31"/>
    <x v="3"/>
    <x v="1"/>
    <x v="2"/>
    <m/>
    <m/>
    <x v="3"/>
    <s v="3P"/>
    <x v="8"/>
    <s v="RAC"/>
    <m/>
    <n v="0"/>
    <n v="0"/>
    <n v="0"/>
    <n v="0"/>
    <n v="0"/>
    <n v="919"/>
    <x v="1"/>
    <s v="Provision (Based on External Report)"/>
    <x v="0"/>
    <s v="Variable"/>
    <x v="1"/>
    <s v="DGT"/>
    <n v="0"/>
    <n v="0"/>
    <n v="0"/>
    <n v="0"/>
    <n v="0"/>
    <n v="0"/>
    <m/>
  </r>
  <r>
    <x v="0"/>
    <s v="Aug15 to Aug31"/>
    <x v="3"/>
    <x v="1"/>
    <x v="2"/>
    <m/>
    <m/>
    <x v="3"/>
    <s v="3P"/>
    <x v="9"/>
    <s v="Air Cleaner"/>
    <m/>
    <n v="0"/>
    <n v="0"/>
    <n v="0"/>
    <n v="0"/>
    <n v="0"/>
    <n v="919"/>
    <x v="1"/>
    <s v="Provision (Based on External Report)"/>
    <x v="0"/>
    <s v="Variable"/>
    <x v="1"/>
    <s v="DLT"/>
    <n v="0"/>
    <n v="0"/>
    <n v="0"/>
    <n v="0"/>
    <n v="0"/>
    <n v="0"/>
    <m/>
  </r>
  <r>
    <x v="0"/>
    <s v="Aug15 to Aug31"/>
    <x v="3"/>
    <x v="1"/>
    <x v="2"/>
    <m/>
    <m/>
    <x v="3"/>
    <s v="3P"/>
    <x v="10"/>
    <s v="SAC"/>
    <m/>
    <n v="0"/>
    <n v="0"/>
    <n v="0"/>
    <n v="0"/>
    <n v="0"/>
    <n v="919"/>
    <x v="1"/>
    <s v="Provision (Based on External Report)"/>
    <x v="0"/>
    <s v="Variable"/>
    <x v="1"/>
    <s v="DMT"/>
    <n v="0"/>
    <n v="0"/>
    <n v="0"/>
    <n v="0"/>
    <n v="0"/>
    <n v="0"/>
    <m/>
  </r>
  <r>
    <x v="0"/>
    <s v="Aug15 to Aug31"/>
    <x v="3"/>
    <x v="1"/>
    <x v="2"/>
    <m/>
    <m/>
    <x v="3"/>
    <s v="3P"/>
    <x v="11"/>
    <s v="TOTAL"/>
    <n v="0"/>
    <n v="0"/>
    <n v="0"/>
    <n v="0"/>
    <n v="0"/>
    <n v="0"/>
    <n v="919"/>
    <x v="1"/>
    <s v="Provision (Based on External Report)"/>
    <x v="0"/>
    <s v="Variable"/>
    <x v="1"/>
    <s v="TOTAL"/>
    <n v="4291110.9878571425"/>
    <n v="815311.08769285702"/>
    <n v="5106422.0755499993"/>
    <n v="4669.3264285714286"/>
    <n v="887.17202142857138"/>
    <n v="5556.49845"/>
    <m/>
  </r>
  <r>
    <x v="0"/>
    <s v="Aug1 to Aug31"/>
    <x v="3"/>
    <x v="1"/>
    <x v="2"/>
    <m/>
    <m/>
    <x v="4"/>
    <s v="OBS"/>
    <x v="0"/>
    <s v="Refrigeration"/>
    <m/>
    <n v="0"/>
    <n v="0"/>
    <n v="0"/>
    <n v="0"/>
    <n v="0"/>
    <n v="919"/>
    <x v="0"/>
    <s v="Provision (Based on External Report)"/>
    <x v="0"/>
    <s v="Variable"/>
    <x v="1"/>
    <s v="CNT"/>
    <n v="1510079.1350874617"/>
    <n v="0"/>
    <n v="1796994.1707540792"/>
    <n v="1643.1764255576297"/>
    <n v="0"/>
    <n v="1955.3799464135793"/>
    <m/>
  </r>
  <r>
    <x v="0"/>
    <s v="Aug1 to Aug31"/>
    <x v="3"/>
    <x v="1"/>
    <x v="2"/>
    <m/>
    <m/>
    <x v="4"/>
    <s v="OBS"/>
    <x v="1"/>
    <s v="Cooking"/>
    <m/>
    <n v="0"/>
    <n v="0"/>
    <n v="0"/>
    <n v="0"/>
    <n v="0"/>
    <n v="919"/>
    <x v="0"/>
    <s v="Provision (Based on External Report)"/>
    <x v="0"/>
    <s v="Variable"/>
    <x v="1"/>
    <s v="CVT"/>
    <n v="550.1088821580156"/>
    <n v="0"/>
    <n v="654.62956976803855"/>
    <n v="0.59859508395866767"/>
    <n v="0"/>
    <n v="0.7123281499108145"/>
    <m/>
  </r>
  <r>
    <x v="0"/>
    <s v="Aug1 to Aug31"/>
    <x v="3"/>
    <x v="1"/>
    <x v="2"/>
    <m/>
    <m/>
    <x v="4"/>
    <s v="OBS"/>
    <x v="2"/>
    <s v="Dishwasher"/>
    <m/>
    <n v="0"/>
    <n v="0"/>
    <n v="0"/>
    <n v="0"/>
    <n v="0"/>
    <n v="919"/>
    <x v="0"/>
    <s v="Provision (Based on External Report)"/>
    <x v="0"/>
    <s v="Variable"/>
    <x v="1"/>
    <s v="CDT"/>
    <n v="64239.558792798023"/>
    <n v="0"/>
    <n v="76445.074963429637"/>
    <n v="69.901587369747574"/>
    <n v="0"/>
    <n v="83.18288896999961"/>
    <m/>
  </r>
  <r>
    <x v="0"/>
    <s v="Aug1 to Aug31"/>
    <x v="3"/>
    <x v="1"/>
    <x v="2"/>
    <m/>
    <m/>
    <x v="4"/>
    <s v="OBS"/>
    <x v="3"/>
    <s v="WM"/>
    <m/>
    <n v="0"/>
    <n v="0"/>
    <n v="0"/>
    <n v="0"/>
    <n v="0"/>
    <n v="919"/>
    <x v="0"/>
    <s v="Provision (Based on External Report)"/>
    <x v="0"/>
    <s v="Variable"/>
    <x v="1"/>
    <s v="DFT"/>
    <n v="3155727.835386992"/>
    <n v="0"/>
    <n v="3755316.1241105204"/>
    <n v="3433.8714204428638"/>
    <n v="0"/>
    <n v="4086.306990327008"/>
    <m/>
  </r>
  <r>
    <x v="0"/>
    <s v="Aug1 to Aug31"/>
    <x v="3"/>
    <x v="1"/>
    <x v="2"/>
    <m/>
    <m/>
    <x v="4"/>
    <s v="OBS"/>
    <x v="4"/>
    <s v="VCC"/>
    <m/>
    <n v="0"/>
    <n v="0"/>
    <n v="0"/>
    <n v="0"/>
    <n v="0"/>
    <n v="919"/>
    <x v="0"/>
    <s v="Provision (Based on External Report)"/>
    <x v="0"/>
    <s v="Variable"/>
    <x v="1"/>
    <s v="DVT"/>
    <n v="0"/>
    <n v="0"/>
    <n v="0"/>
    <n v="0"/>
    <n v="0"/>
    <n v="0"/>
    <m/>
  </r>
  <r>
    <x v="0"/>
    <s v="Aug1 to Aug31"/>
    <x v="3"/>
    <x v="1"/>
    <x v="2"/>
    <m/>
    <m/>
    <x v="4"/>
    <s v="OBS"/>
    <x v="5"/>
    <s v="Television"/>
    <m/>
    <n v="0"/>
    <n v="0"/>
    <n v="0"/>
    <n v="0"/>
    <n v="0"/>
    <n v="919"/>
    <x v="0"/>
    <s v="Provision (Based on External Report)"/>
    <x v="0"/>
    <s v="Variable"/>
    <x v="1"/>
    <s v="GLT"/>
    <n v="2000869.7102041999"/>
    <n v="0"/>
    <n v="2381034.9551429977"/>
    <n v="2177.2249294931448"/>
    <n v="0"/>
    <n v="2590.8976660968424"/>
    <m/>
  </r>
  <r>
    <x v="0"/>
    <s v="Aug1 to Aug31"/>
    <x v="3"/>
    <x v="1"/>
    <x v="2"/>
    <m/>
    <m/>
    <x v="4"/>
    <s v="OBS"/>
    <x v="6"/>
    <s v="Audio"/>
    <m/>
    <n v="0"/>
    <n v="0"/>
    <n v="0"/>
    <n v="0"/>
    <n v="0"/>
    <n v="919"/>
    <x v="0"/>
    <s v="Provision (Based on External Report)"/>
    <x v="0"/>
    <s v="Variable"/>
    <x v="1"/>
    <s v="PNT"/>
    <n v="159638.43726471707"/>
    <n v="0"/>
    <n v="189969.7403450133"/>
    <n v="173.70885447738527"/>
    <n v="0"/>
    <n v="206.71353682808848"/>
    <m/>
  </r>
  <r>
    <x v="0"/>
    <s v="Aug1 to Aug31"/>
    <x v="3"/>
    <x v="1"/>
    <x v="2"/>
    <m/>
    <m/>
    <x v="4"/>
    <s v="OBS"/>
    <x v="7"/>
    <s v="Monitor"/>
    <m/>
    <n v="0"/>
    <n v="0"/>
    <n v="0"/>
    <n v="0"/>
    <n v="0"/>
    <n v="919"/>
    <x v="0"/>
    <s v="Provision (Based on External Report)"/>
    <x v="0"/>
    <s v="Variable"/>
    <x v="1"/>
    <s v="GTT"/>
    <n v="211280.54306962018"/>
    <n v="0"/>
    <n v="251423.84625284802"/>
    <n v="229.90265840002195"/>
    <n v="0"/>
    <n v="273.58416349602612"/>
    <m/>
  </r>
  <r>
    <x v="0"/>
    <s v="Aug1 to Aug31"/>
    <x v="3"/>
    <x v="1"/>
    <x v="2"/>
    <m/>
    <m/>
    <x v="4"/>
    <s v="OBS"/>
    <x v="8"/>
    <s v="RAC"/>
    <m/>
    <n v="0"/>
    <n v="0"/>
    <n v="0"/>
    <n v="0"/>
    <n v="0"/>
    <n v="919"/>
    <x v="0"/>
    <s v="Provision (Based on External Report)"/>
    <x v="0"/>
    <s v="Variable"/>
    <x v="1"/>
    <s v="DGT"/>
    <n v="152112.35149566966"/>
    <n v="0"/>
    <n v="181013.6982798469"/>
    <n v="165.51942491367754"/>
    <n v="0"/>
    <n v="196.96811564727625"/>
    <m/>
  </r>
  <r>
    <x v="0"/>
    <s v="Aug1 to Aug31"/>
    <x v="3"/>
    <x v="1"/>
    <x v="2"/>
    <m/>
    <m/>
    <x v="4"/>
    <s v="OBS"/>
    <x v="9"/>
    <s v="Air Cleaner"/>
    <m/>
    <n v="0"/>
    <n v="0"/>
    <n v="0"/>
    <n v="0"/>
    <n v="0"/>
    <n v="919"/>
    <x v="0"/>
    <s v="Provision (Based on External Report)"/>
    <x v="0"/>
    <s v="Variable"/>
    <x v="1"/>
    <s v="DLT"/>
    <n v="7233.083116383983"/>
    <n v="0"/>
    <n v="8607.3689084969392"/>
    <n v="7.8706018676648348"/>
    <n v="0"/>
    <n v="9.3660162225211536"/>
    <m/>
  </r>
  <r>
    <x v="0"/>
    <s v="Aug1 to Aug31"/>
    <x v="3"/>
    <x v="1"/>
    <x v="2"/>
    <m/>
    <m/>
    <x v="4"/>
    <s v="OBS"/>
    <x v="10"/>
    <s v="SAC"/>
    <m/>
    <n v="0"/>
    <n v="0"/>
    <n v="0"/>
    <n v="0"/>
    <n v="0"/>
    <n v="919"/>
    <x v="0"/>
    <s v="Provision (Based on External Report)"/>
    <x v="0"/>
    <s v="Variable"/>
    <x v="1"/>
    <s v="DMT"/>
    <n v="0"/>
    <n v="0"/>
    <n v="0"/>
    <n v="0"/>
    <n v="0"/>
    <n v="0"/>
    <m/>
  </r>
  <r>
    <x v="0"/>
    <s v="Aug1 to Aug31"/>
    <x v="3"/>
    <x v="1"/>
    <x v="2"/>
    <m/>
    <m/>
    <x v="4"/>
    <s v="OBS"/>
    <x v="11"/>
    <s v="TOTAL"/>
    <n v="0"/>
    <n v="0"/>
    <n v="0"/>
    <n v="0"/>
    <n v="0"/>
    <n v="0"/>
    <n v="919"/>
    <x v="0"/>
    <s v="Provision (Based on External Report)"/>
    <x v="0"/>
    <s v="Variable"/>
    <x v="1"/>
    <s v="TOTAL"/>
    <n v="7261730.7633000007"/>
    <n v="1379728.8450270002"/>
    <n v="8641459.6083270013"/>
    <n v="7901.774497606094"/>
    <n v="1501.3371545451578"/>
    <n v="9403.1116521512522"/>
    <m/>
  </r>
  <r>
    <x v="0"/>
    <s v="Jul26 to Aug25"/>
    <x v="3"/>
    <x v="1"/>
    <x v="2"/>
    <m/>
    <m/>
    <x v="5"/>
    <s v="OBS"/>
    <x v="0"/>
    <s v="Refrigeration"/>
    <n v="1508792.3878151153"/>
    <n v="0"/>
    <n v="1795462.9414999872"/>
    <n v="1641.7762653048044"/>
    <n v="0"/>
    <n v="1953.7137557127171"/>
    <n v="919"/>
    <x v="0"/>
    <s v="Provision (Based on External Report)"/>
    <x v="0"/>
    <s v="Variable"/>
    <x v="1"/>
    <s v="CNT"/>
    <m/>
    <n v="0"/>
    <n v="0"/>
    <n v="0"/>
    <n v="0"/>
    <n v="0"/>
    <m/>
  </r>
  <r>
    <x v="0"/>
    <s v="Jul26 to Aug25"/>
    <x v="3"/>
    <x v="1"/>
    <x v="2"/>
    <m/>
    <m/>
    <x v="5"/>
    <s v="OBS"/>
    <x v="1"/>
    <s v="Cooking"/>
    <n v="549.64013115870512"/>
    <n v="0"/>
    <n v="654.07175607885904"/>
    <n v="0.59808501758292176"/>
    <n v="0"/>
    <n v="0.71172117092367682"/>
    <n v="919"/>
    <x v="0"/>
    <s v="Provision (Based on External Report)"/>
    <x v="0"/>
    <s v="Variable"/>
    <x v="1"/>
    <s v="CVT"/>
    <m/>
    <n v="0"/>
    <n v="0"/>
    <n v="0"/>
    <n v="0"/>
    <n v="0"/>
    <m/>
  </r>
  <r>
    <x v="0"/>
    <s v="Jul26 to Aug25"/>
    <x v="3"/>
    <x v="1"/>
    <x v="2"/>
    <m/>
    <m/>
    <x v="5"/>
    <s v="OBS"/>
    <x v="2"/>
    <s v="Dishwasher"/>
    <n v="64184.819888635509"/>
    <n v="0"/>
    <n v="76379.935667476253"/>
    <n v="69.842023817884126"/>
    <n v="0"/>
    <n v="83.112008343282099"/>
    <n v="919"/>
    <x v="0"/>
    <s v="Provision (Based on External Report)"/>
    <x v="0"/>
    <s v="Variable"/>
    <x v="1"/>
    <s v="CDT"/>
    <m/>
    <n v="0"/>
    <n v="0"/>
    <n v="0"/>
    <n v="0"/>
    <n v="0"/>
    <m/>
  </r>
  <r>
    <x v="0"/>
    <s v="Jul26 to Aug25"/>
    <x v="3"/>
    <x v="1"/>
    <x v="2"/>
    <m/>
    <m/>
    <x v="5"/>
    <s v="OBS"/>
    <x v="3"/>
    <s v="WM"/>
    <n v="3153038.821222038"/>
    <n v="0"/>
    <n v="3752116.1972542251"/>
    <n v="3430.9453985005853"/>
    <n v="0"/>
    <n v="4082.8250242156964"/>
    <n v="919"/>
    <x v="0"/>
    <s v="Provision (Based on External Report)"/>
    <x v="0"/>
    <s v="Variable"/>
    <x v="1"/>
    <s v="DFT"/>
    <m/>
    <n v="0"/>
    <n v="0"/>
    <n v="0"/>
    <n v="0"/>
    <n v="0"/>
    <m/>
  </r>
  <r>
    <x v="0"/>
    <s v="Jul26 to Aug25"/>
    <x v="3"/>
    <x v="1"/>
    <x v="2"/>
    <m/>
    <m/>
    <x v="5"/>
    <s v="OBS"/>
    <x v="4"/>
    <s v="VCC"/>
    <n v="0"/>
    <n v="0"/>
    <n v="0"/>
    <n v="0"/>
    <n v="0"/>
    <n v="0"/>
    <n v="919"/>
    <x v="0"/>
    <s v="Provision (Based on External Report)"/>
    <x v="0"/>
    <s v="Variable"/>
    <x v="1"/>
    <s v="DVT"/>
    <m/>
    <n v="0"/>
    <n v="0"/>
    <n v="0"/>
    <n v="0"/>
    <n v="0"/>
    <m/>
  </r>
  <r>
    <x v="0"/>
    <s v="Jul26 to Aug25"/>
    <x v="3"/>
    <x v="1"/>
    <x v="2"/>
    <m/>
    <m/>
    <x v="5"/>
    <s v="OBS"/>
    <x v="5"/>
    <s v="Television"/>
    <n v="1999164.7574092748"/>
    <n v="0"/>
    <n v="2379006.0613170369"/>
    <n v="2175.3697033833241"/>
    <n v="0"/>
    <n v="2588.6899470261556"/>
    <n v="919"/>
    <x v="0"/>
    <s v="Provision (Based on External Report)"/>
    <x v="0"/>
    <s v="Variable"/>
    <x v="1"/>
    <s v="GLT"/>
    <m/>
    <n v="0"/>
    <n v="0"/>
    <n v="0"/>
    <n v="0"/>
    <n v="0"/>
    <m/>
  </r>
  <r>
    <x v="0"/>
    <s v="Jul26 to Aug25"/>
    <x v="3"/>
    <x v="1"/>
    <x v="2"/>
    <m/>
    <m/>
    <x v="5"/>
    <s v="OBS"/>
    <x v="6"/>
    <s v="Audio"/>
    <n v="159502.40841765926"/>
    <n v="0"/>
    <n v="189807.86601701452"/>
    <n v="173.56083614543988"/>
    <n v="0"/>
    <n v="206.53739501307345"/>
    <n v="919"/>
    <x v="0"/>
    <s v="Provision (Based on External Report)"/>
    <x v="0"/>
    <s v="Variable"/>
    <x v="1"/>
    <s v="PNT"/>
    <m/>
    <n v="0"/>
    <n v="0"/>
    <n v="0"/>
    <n v="0"/>
    <n v="0"/>
    <m/>
  </r>
  <r>
    <x v="0"/>
    <s v="Jul26 to Aug25"/>
    <x v="3"/>
    <x v="1"/>
    <x v="2"/>
    <m/>
    <m/>
    <x v="5"/>
    <s v="OBS"/>
    <x v="7"/>
    <s v="Monitor"/>
    <n v="211100.50968184744"/>
    <n v="0"/>
    <n v="251209.60652139844"/>
    <n v="229.70675699874585"/>
    <n v="0"/>
    <n v="273.35104082850756"/>
    <n v="919"/>
    <x v="0"/>
    <s v="Provision (Based on External Report)"/>
    <x v="0"/>
    <s v="Variable"/>
    <x v="1"/>
    <s v="GTT"/>
    <m/>
    <n v="0"/>
    <n v="0"/>
    <n v="0"/>
    <n v="0"/>
    <n v="0"/>
    <m/>
  </r>
  <r>
    <x v="0"/>
    <s v="Jul26 to Aug25"/>
    <x v="3"/>
    <x v="1"/>
    <x v="2"/>
    <m/>
    <m/>
    <x v="5"/>
    <s v="OBS"/>
    <x v="8"/>
    <s v="RAC"/>
    <n v="151982.73567036001"/>
    <n v="0"/>
    <n v="180859.4554477284"/>
    <n v="165.37838484261155"/>
    <n v="0"/>
    <n v="196.80027796270775"/>
    <n v="919"/>
    <x v="0"/>
    <s v="Provision (Based on External Report)"/>
    <x v="0"/>
    <s v="Variable"/>
    <x v="1"/>
    <s v="DGT"/>
    <m/>
    <n v="0"/>
    <n v="0"/>
    <n v="0"/>
    <n v="0"/>
    <n v="0"/>
    <m/>
  </r>
  <r>
    <x v="0"/>
    <s v="Jul26 to Aug25"/>
    <x v="3"/>
    <x v="1"/>
    <x v="2"/>
    <m/>
    <m/>
    <x v="5"/>
    <s v="OBS"/>
    <x v="9"/>
    <s v="Air Cleaner"/>
    <n v="7226.9197639116492"/>
    <n v="0"/>
    <n v="8600.0345190548614"/>
    <n v="7.8638952817319359"/>
    <n v="0"/>
    <n v="9.3580353852610028"/>
    <n v="919"/>
    <x v="0"/>
    <s v="Provision (Based on External Report)"/>
    <x v="0"/>
    <s v="Variable"/>
    <x v="1"/>
    <s v="DLT"/>
    <m/>
    <n v="0"/>
    <n v="0"/>
    <n v="0"/>
    <n v="0"/>
    <n v="0"/>
    <m/>
  </r>
  <r>
    <x v="0"/>
    <s v="Jul26 to Aug25"/>
    <x v="3"/>
    <x v="1"/>
    <x v="2"/>
    <m/>
    <m/>
    <x v="5"/>
    <s v="OBS"/>
    <x v="10"/>
    <s v="SAC"/>
    <n v="0"/>
    <n v="0"/>
    <n v="0"/>
    <n v="0"/>
    <n v="0"/>
    <n v="0"/>
    <n v="919"/>
    <x v="0"/>
    <s v="Provision (Based on External Report)"/>
    <x v="0"/>
    <s v="Variable"/>
    <x v="1"/>
    <s v="DMT"/>
    <m/>
    <n v="0"/>
    <n v="0"/>
    <n v="0"/>
    <n v="0"/>
    <n v="0"/>
    <m/>
  </r>
  <r>
    <x v="0"/>
    <s v="Jul26 to Aug25"/>
    <x v="3"/>
    <x v="1"/>
    <x v="2"/>
    <m/>
    <m/>
    <x v="5"/>
    <s v="OBS"/>
    <x v="11"/>
    <s v="TOTAL"/>
    <n v="7255543"/>
    <n v="1378553.17"/>
    <n v="8634096.1699999999"/>
    <n v="7895.0413492927091"/>
    <n v="1500.0578563656147"/>
    <n v="9395.0992056583236"/>
    <n v="919"/>
    <x v="0"/>
    <s v="Provision (Based on External Report)"/>
    <x v="0"/>
    <s v="Variable"/>
    <x v="1"/>
    <s v="TOTAL"/>
    <n v="0"/>
    <n v="0"/>
    <n v="0"/>
    <n v="0"/>
    <n v="0"/>
    <n v="0"/>
    <m/>
  </r>
  <r>
    <x v="0"/>
    <s v="Aug1 to Aug31"/>
    <x v="3"/>
    <x v="1"/>
    <x v="2"/>
    <m/>
    <m/>
    <x v="6"/>
    <s v="Add in Map"/>
    <x v="0"/>
    <s v="Refrigeration"/>
    <n v="494628.51860062784"/>
    <n v="0"/>
    <n v="588607.93713474704"/>
    <n v="538.22472100177129"/>
    <n v="0"/>
    <n v="640.48741799210779"/>
    <n v="919"/>
    <x v="0"/>
    <s v="Provision (Based on External Report)"/>
    <x v="0"/>
    <e v="#N/A"/>
    <x v="1"/>
    <s v="CNT"/>
    <m/>
    <n v="0"/>
    <n v="0"/>
    <n v="0"/>
    <n v="0"/>
    <n v="0"/>
    <m/>
  </r>
  <r>
    <x v="0"/>
    <s v="Aug1 to Aug31"/>
    <x v="3"/>
    <x v="1"/>
    <x v="2"/>
    <m/>
    <m/>
    <x v="6"/>
    <s v="Add in Map"/>
    <x v="1"/>
    <s v="Cooking"/>
    <n v="180.18892859883599"/>
    <n v="0"/>
    <n v="214.42482503261482"/>
    <n v="0.1960706513589075"/>
    <n v="0"/>
    <n v="0.2333240751170999"/>
    <n v="919"/>
    <x v="0"/>
    <s v="Provision (Based on External Report)"/>
    <x v="0"/>
    <e v="#N/A"/>
    <x v="1"/>
    <s v="CVT"/>
    <m/>
    <n v="0"/>
    <n v="0"/>
    <n v="0"/>
    <n v="0"/>
    <n v="0"/>
    <m/>
  </r>
  <r>
    <x v="0"/>
    <s v="Aug1 to Aug31"/>
    <x v="3"/>
    <x v="1"/>
    <x v="2"/>
    <m/>
    <m/>
    <x v="6"/>
    <s v="Add in Map"/>
    <x v="2"/>
    <s v="Dishwasher"/>
    <n v="21041.756728463952"/>
    <n v="0"/>
    <n v="25039.690506872103"/>
    <n v="22.896362054911808"/>
    <n v="0"/>
    <n v="27.246670845345051"/>
    <n v="919"/>
    <x v="0"/>
    <s v="Provision (Based on External Report)"/>
    <x v="0"/>
    <e v="#N/A"/>
    <x v="1"/>
    <s v="CDT"/>
    <m/>
    <n v="0"/>
    <n v="0"/>
    <n v="0"/>
    <n v="0"/>
    <n v="0"/>
    <m/>
  </r>
  <r>
    <x v="0"/>
    <s v="Aug1 to Aug31"/>
    <x v="3"/>
    <x v="1"/>
    <x v="2"/>
    <m/>
    <m/>
    <x v="6"/>
    <s v="Add in Map"/>
    <x v="3"/>
    <s v="WM"/>
    <n v="1033663.0366287578"/>
    <n v="0"/>
    <n v="1230059.0135882217"/>
    <n v="1124.7693543294426"/>
    <n v="0"/>
    <n v="1338.4755316520366"/>
    <n v="919"/>
    <x v="0"/>
    <s v="Provision (Based on External Report)"/>
    <x v="0"/>
    <e v="#N/A"/>
    <x v="1"/>
    <s v="DFT"/>
    <m/>
    <n v="0"/>
    <n v="0"/>
    <n v="0"/>
    <n v="0"/>
    <n v="0"/>
    <m/>
  </r>
  <r>
    <x v="0"/>
    <s v="Aug1 to Aug31"/>
    <x v="3"/>
    <x v="1"/>
    <x v="2"/>
    <m/>
    <m/>
    <x v="6"/>
    <s v="Add in Map"/>
    <x v="4"/>
    <s v="VCC"/>
    <n v="0"/>
    <n v="0"/>
    <n v="0"/>
    <n v="0"/>
    <n v="0"/>
    <n v="0"/>
    <n v="919"/>
    <x v="0"/>
    <s v="Provision (Based on External Report)"/>
    <x v="0"/>
    <e v="#N/A"/>
    <x v="1"/>
    <s v="DVT"/>
    <m/>
    <n v="0"/>
    <n v="0"/>
    <n v="0"/>
    <n v="0"/>
    <n v="0"/>
    <m/>
  </r>
  <r>
    <x v="0"/>
    <s v="Aug1 to Aug31"/>
    <x v="3"/>
    <x v="1"/>
    <x v="2"/>
    <m/>
    <m/>
    <x v="6"/>
    <s v="Add in Map"/>
    <x v="5"/>
    <s v="Television"/>
    <n v="655387.65331914194"/>
    <n v="0"/>
    <n v="779911.30744977889"/>
    <n v="713.15305040167789"/>
    <n v="0"/>
    <n v="848.65212997799665"/>
    <n v="919"/>
    <x v="0"/>
    <s v="Provision (Based on External Report)"/>
    <x v="0"/>
    <e v="#N/A"/>
    <x v="1"/>
    <s v="GLT"/>
    <m/>
    <n v="0"/>
    <n v="0"/>
    <n v="0"/>
    <n v="0"/>
    <n v="0"/>
    <m/>
  </r>
  <r>
    <x v="0"/>
    <s v="Aug1 to Aug31"/>
    <x v="3"/>
    <x v="1"/>
    <x v="2"/>
    <m/>
    <m/>
    <x v="6"/>
    <s v="Add in Map"/>
    <x v="6"/>
    <s v="Audio"/>
    <n v="52289.791906430728"/>
    <n v="0"/>
    <n v="62224.852368652566"/>
    <n v="56.898576612002969"/>
    <n v="0"/>
    <n v="67.709306168283533"/>
    <n v="919"/>
    <x v="0"/>
    <s v="Provision (Based on External Report)"/>
    <x v="0"/>
    <e v="#N/A"/>
    <x v="1"/>
    <s v="PNT"/>
    <m/>
    <n v="0"/>
    <n v="0"/>
    <n v="0"/>
    <n v="0"/>
    <n v="0"/>
    <m/>
  </r>
  <r>
    <x v="0"/>
    <s v="Aug1 to Aug31"/>
    <x v="3"/>
    <x v="1"/>
    <x v="2"/>
    <m/>
    <m/>
    <x v="6"/>
    <s v="Add in Map"/>
    <x v="7"/>
    <s v="Monitor"/>
    <n v="69205.235407487155"/>
    <n v="0"/>
    <n v="82354.230134909711"/>
    <n v="75.304935155045868"/>
    <n v="0"/>
    <n v="89.612872834504586"/>
    <n v="919"/>
    <x v="0"/>
    <s v="Provision (Based on External Report)"/>
    <x v="0"/>
    <e v="#N/A"/>
    <x v="1"/>
    <s v="GTT"/>
    <m/>
    <n v="0"/>
    <n v="0"/>
    <n v="0"/>
    <n v="0"/>
    <n v="0"/>
    <m/>
  </r>
  <r>
    <x v="0"/>
    <s v="Aug1 to Aug31"/>
    <x v="3"/>
    <x v="1"/>
    <x v="2"/>
    <m/>
    <m/>
    <x v="6"/>
    <s v="Add in Map"/>
    <x v="8"/>
    <s v="RAC"/>
    <n v="49824.612057038546"/>
    <n v="0"/>
    <n v="59291.288347875867"/>
    <n v="54.216117581108321"/>
    <n v="0"/>
    <n v="64.517179921518903"/>
    <n v="919"/>
    <x v="0"/>
    <s v="Provision (Based on External Report)"/>
    <x v="0"/>
    <e v="#N/A"/>
    <x v="1"/>
    <s v="DGT"/>
    <m/>
    <n v="0"/>
    <n v="0"/>
    <n v="0"/>
    <n v="0"/>
    <n v="0"/>
    <m/>
  </r>
  <r>
    <x v="0"/>
    <s v="Aug1 to Aug31"/>
    <x v="3"/>
    <x v="1"/>
    <x v="2"/>
    <m/>
    <m/>
    <x v="6"/>
    <s v="Add in Map"/>
    <x v="9"/>
    <s v="Air Cleaner"/>
    <n v="2369.2064234534355"/>
    <n v="0"/>
    <n v="2819.3556439095883"/>
    <n v="2.5780265761190813"/>
    <n v="0"/>
    <n v="3.0678516255817065"/>
    <n v="919"/>
    <x v="0"/>
    <s v="Provision (Based on External Report)"/>
    <x v="0"/>
    <e v="#N/A"/>
    <x v="1"/>
    <s v="DLT"/>
    <m/>
    <n v="0"/>
    <n v="0"/>
    <n v="0"/>
    <n v="0"/>
    <n v="0"/>
    <m/>
  </r>
  <r>
    <x v="0"/>
    <s v="Aug1 to Aug31"/>
    <x v="3"/>
    <x v="1"/>
    <x v="2"/>
    <m/>
    <m/>
    <x v="6"/>
    <s v="Add in Map"/>
    <x v="10"/>
    <s v="SAC"/>
    <m/>
    <n v="0"/>
    <n v="0"/>
    <n v="0"/>
    <n v="0"/>
    <n v="0"/>
    <n v="919"/>
    <x v="0"/>
    <s v="Provision (Based on External Report)"/>
    <x v="0"/>
    <e v="#N/A"/>
    <x v="1"/>
    <s v="DMT"/>
    <m/>
    <n v="0"/>
    <n v="0"/>
    <n v="0"/>
    <n v="0"/>
    <n v="0"/>
    <m/>
  </r>
  <r>
    <x v="0"/>
    <s v="Aug1 to Aug31"/>
    <x v="3"/>
    <x v="1"/>
    <x v="2"/>
    <m/>
    <m/>
    <x v="6"/>
    <s v="Add in Map"/>
    <x v="11"/>
    <s v="TOTAL"/>
    <n v="2378590.0000000005"/>
    <n v="451932.10000000009"/>
    <n v="2830522.1000000006"/>
    <n v="2588.2372143634389"/>
    <n v="491.76507072905338"/>
    <n v="3080.002285092492"/>
    <n v="919"/>
    <x v="0"/>
    <s v="Provision (Based on External Report)"/>
    <x v="0"/>
    <e v="#N/A"/>
    <x v="1"/>
    <s v="TOTAL"/>
    <n v="0"/>
    <n v="0"/>
    <n v="0"/>
    <n v="0"/>
    <n v="0"/>
    <n v="0"/>
    <m/>
  </r>
  <r>
    <x v="1"/>
    <m/>
    <x v="4"/>
    <x v="2"/>
    <x v="4"/>
    <m/>
    <m/>
    <x v="7"/>
    <m/>
    <x v="12"/>
    <m/>
    <m/>
    <m/>
    <m/>
    <m/>
    <m/>
    <m/>
    <m/>
    <x v="5"/>
    <m/>
    <x v="2"/>
    <m/>
    <x v="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9F852-FC03-409A-AC17-63B4482BB013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6:O31" firstHeaderRow="1" firstDataRow="2" firstDataCol="7" rowPageCount="1" colPageCount="1"/>
  <pivotFields count="31">
    <pivotField axis="axisRow" compact="0" outline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2"/>
        <item x="1"/>
        <item x="0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">
        <item x="1"/>
        <item x="0"/>
        <item m="1" x="5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8">
        <item x="0"/>
        <item h="1" x="7"/>
        <item x="1"/>
        <item x="2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14">
        <item x="2"/>
        <item x="0"/>
        <item x="1"/>
        <item x="3"/>
        <item x="8"/>
        <item x="9"/>
        <item x="10"/>
        <item x="4"/>
        <item x="5"/>
        <item x="7"/>
        <item x="6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3"/>
        <item x="5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3"/>
        <item x="1"/>
        <item m="1"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2"/>
    <field x="3"/>
    <field x="4"/>
    <field x="22"/>
    <field x="18"/>
    <field x="20"/>
  </rowFields>
  <rowItems count="24">
    <i>
      <x/>
      <x/>
      <x/>
      <x/>
      <x/>
      <x v="3"/>
      <x/>
    </i>
    <i r="3">
      <x v="1"/>
      <x/>
      <x/>
      <x/>
    </i>
    <i r="3">
      <x v="4"/>
      <x v="4"/>
      <x/>
      <x/>
    </i>
    <i t="default" r="1">
      <x/>
    </i>
    <i r="1">
      <x v="1"/>
      <x/>
      <x/>
      <x/>
      <x v="1"/>
      <x/>
    </i>
    <i r="5">
      <x v="3"/>
      <x/>
    </i>
    <i r="5">
      <x v="4"/>
      <x/>
    </i>
    <i r="5">
      <x v="5"/>
      <x/>
    </i>
    <i r="3">
      <x v="1"/>
      <x/>
      <x/>
      <x/>
    </i>
    <i r="6">
      <x v="1"/>
    </i>
    <i t="default" r="1">
      <x v="1"/>
    </i>
    <i r="1">
      <x v="2"/>
      <x/>
      <x v="1"/>
      <x/>
      <x/>
      <x/>
    </i>
    <i r="6">
      <x v="1"/>
    </i>
    <i r="3">
      <x v="3"/>
      <x v="2"/>
      <x/>
      <x/>
    </i>
    <i r="5">
      <x v="1"/>
      <x/>
    </i>
    <i r="5">
      <x v="3"/>
      <x/>
    </i>
    <i r="5">
      <x v="5"/>
      <x/>
    </i>
    <i t="default" r="1">
      <x v="2"/>
    </i>
    <i r="1">
      <x v="4"/>
      <x v="2"/>
      <x v="3"/>
      <x v="2"/>
      <x/>
      <x/>
    </i>
    <i r="6">
      <x v="1"/>
    </i>
    <i r="5">
      <x v="1"/>
      <x/>
    </i>
    <i r="5">
      <x v="3"/>
      <x/>
    </i>
    <i t="default" r="1">
      <x v="4"/>
    </i>
    <i t="grand">
      <x/>
    </i>
  </rowItems>
  <colFields count="1">
    <field x="7"/>
  </colFields>
  <colItems count="7">
    <i>
      <x/>
    </i>
    <i>
      <x v="2"/>
    </i>
    <i>
      <x v="3"/>
    </i>
    <i>
      <x v="4"/>
    </i>
    <i>
      <x v="5"/>
    </i>
    <i>
      <x v="6"/>
    </i>
    <i>
      <x v="7"/>
    </i>
  </colItems>
  <pageFields count="1">
    <pageField fld="9" item="11" hier="-1"/>
  </pageFields>
  <dataFields count="1">
    <dataField name=" Invoice Net Amt (CLP)" fld="11" baseField="0" baseItem="0" numFmtId="164"/>
  </dataFields>
  <formats count="65"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7" type="button" dataOnly="0" labelOnly="1" outline="0" axis="axisCol" fieldPosition="0"/>
    </format>
    <format dxfId="105">
      <pivotArea field="-2" type="button" dataOnly="0" labelOnly="1" outline="0" axis="axisValues" fieldPosition="0"/>
    </format>
    <format dxfId="104">
      <pivotArea type="topRight" dataOnly="0" labelOnly="1" outline="0" fieldPosition="0"/>
    </format>
    <format dxfId="103">
      <pivotArea field="0" type="button" dataOnly="0" labelOnly="1" outline="0" axis="axisRow" fieldPosition="0"/>
    </format>
    <format dxfId="102">
      <pivotArea field="20" type="button" dataOnly="0" labelOnly="1" outline="0" axis="axisRow" fieldPosition="6"/>
    </format>
    <format dxfId="101">
      <pivotArea dataOnly="0" labelOnly="1" outline="0" fieldPosition="0">
        <references count="1">
          <reference field="0" count="0"/>
        </references>
      </pivotArea>
    </format>
    <format dxfId="100">
      <pivotArea dataOnly="0" labelOnly="1" outline="0" fieldPosition="0">
        <references count="1">
          <reference field="0" count="0" defaultSubtotal="1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7" count="1">
            <x v="0"/>
          </reference>
        </references>
      </pivotArea>
    </format>
    <format dxfId="97">
      <pivotArea dataOnly="0" labelOnly="1" outline="0" fieldPosition="0">
        <references count="2">
          <reference field="4294967294" count="1">
            <x v="0"/>
          </reference>
          <reference field="7" count="1" selected="0">
            <x v="0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7" type="button" dataOnly="0" labelOnly="1" outline="0" axis="axisCol" fieldPosition="0"/>
    </format>
    <format dxfId="92">
      <pivotArea field="-2" type="button" dataOnly="0" labelOnly="1" outline="0" axis="axisValues" fieldPosition="0"/>
    </format>
    <format dxfId="91">
      <pivotArea type="topRight" dataOnly="0" labelOnly="1" outline="0" fieldPosition="0"/>
    </format>
    <format dxfId="90">
      <pivotArea field="0" type="button" dataOnly="0" labelOnly="1" outline="0" axis="axisRow" fieldPosition="0"/>
    </format>
    <format dxfId="89">
      <pivotArea field="20" type="button" dataOnly="0" labelOnly="1" outline="0" axis="axisRow" fieldPosition="6"/>
    </format>
    <format dxfId="88">
      <pivotArea dataOnly="0" labelOnly="1" outline="0" fieldPosition="0">
        <references count="1">
          <reference field="0" count="0"/>
        </references>
      </pivotArea>
    </format>
    <format dxfId="87">
      <pivotArea dataOnly="0" labelOnly="1" outline="0" fieldPosition="0">
        <references count="1">
          <reference field="0" count="0" defaultSubtotal="1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7" count="1">
            <x v="0"/>
          </reference>
        </references>
      </pivotArea>
    </format>
    <format dxfId="84">
      <pivotArea dataOnly="0" labelOnly="1" outline="0" fieldPosition="0">
        <references count="2">
          <reference field="4294967294" count="1">
            <x v="0"/>
          </reference>
          <reference field="7" count="1" selected="0">
            <x v="0"/>
          </reference>
        </references>
      </pivotArea>
    </format>
    <format dxfId="83">
      <pivotArea outline="0" collapsedLevelsAreSubtotals="1" fieldPosition="0"/>
    </format>
    <format dxfId="82">
      <pivotArea field="7" type="button" dataOnly="0" labelOnly="1" outline="0" axis="axisCol" fieldPosition="0"/>
    </format>
    <format dxfId="81">
      <pivotArea field="-2" type="button" dataOnly="0" labelOnly="1" outline="0" axis="axisValues" fieldPosition="0"/>
    </format>
    <format dxfId="80">
      <pivotArea type="topRight" dataOnly="0" labelOnly="1" outline="0" fieldPosition="0"/>
    </format>
    <format dxfId="79">
      <pivotArea dataOnly="0" labelOnly="1" outline="0" fieldPosition="0">
        <references count="1">
          <reference field="7" count="1">
            <x v="0"/>
          </reference>
        </references>
      </pivotArea>
    </format>
    <format dxfId="78">
      <pivotArea dataOnly="0" labelOnly="1" outline="0" fieldPosition="0">
        <references count="2">
          <reference field="4294967294" count="1">
            <x v="0"/>
          </reference>
          <reference field="7" count="1" selected="0">
            <x v="0"/>
          </reference>
        </references>
      </pivotArea>
    </format>
    <format dxfId="77">
      <pivotArea field="20" type="button" dataOnly="0" labelOnly="1" outline="0" axis="axisRow" fieldPosition="6"/>
    </format>
    <format dxfId="76">
      <pivotArea field="18" type="button" dataOnly="0" labelOnly="1" outline="0" axis="axisRow" fieldPosition="5"/>
    </format>
    <format dxfId="75">
      <pivotArea dataOnly="0" labelOnly="1" outline="0" fieldPosition="0">
        <references count="2">
          <reference field="4294967294" count="1">
            <x v="0"/>
          </reference>
          <reference field="7" count="1" selected="0">
            <x v="0"/>
          </reference>
        </references>
      </pivotArea>
    </format>
    <format dxfId="74">
      <pivotArea dataOnly="0" labelOnly="1" outline="0" fieldPosition="0">
        <references count="2">
          <reference field="4294967294" count="1">
            <x v="0"/>
          </reference>
          <reference field="7" count="1" selected="0">
            <x v="2"/>
          </reference>
        </references>
      </pivotArea>
    </format>
    <format dxfId="73">
      <pivotArea field="0" type="button" dataOnly="0" labelOnly="1" outline="0" axis="axisRow" fieldPosition="0"/>
    </format>
    <format dxfId="72">
      <pivotArea field="3" type="button" dataOnly="0" labelOnly="1" outline="0" axis="axisRow" fieldPosition="2"/>
    </format>
    <format dxfId="71">
      <pivotArea field="2" type="button" dataOnly="0" labelOnly="1" outline="0" axis="axisRow" fieldPosition="1"/>
    </format>
    <format dxfId="70">
      <pivotArea field="4" type="button" dataOnly="0" labelOnly="1" outline="0" axis="axisRow" fieldPosition="3"/>
    </format>
    <format dxfId="69">
      <pivotArea type="origin" dataOnly="0" labelOnly="1" outline="0" offset="D1" fieldPosition="0"/>
    </format>
    <format dxfId="68">
      <pivotArea field="4" type="button" dataOnly="0" labelOnly="1" outline="0" axis="axisRow" fieldPosition="3"/>
    </format>
    <format dxfId="67">
      <pivotArea dataOnly="0" labelOnly="1" grandRow="1" outline="0" offset="D256" fieldPosition="0"/>
    </format>
    <format dxfId="66">
      <pivotArea dataOnly="0" labelOnly="1" outline="0" fieldPosition="0">
        <references count="4">
          <reference field="0" count="0" selected="0"/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65">
      <pivotArea dataOnly="0" labelOnly="1" outline="0" fieldPosition="0">
        <references count="4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2">
            <x v="1"/>
            <x v="3"/>
          </reference>
        </references>
      </pivotArea>
    </format>
    <format dxfId="64">
      <pivotArea outline="0" fieldPosition="0">
        <references count="7">
          <reference field="0" count="0" selected="0"/>
          <reference field="2" count="3" selected="0">
            <x v="0"/>
            <x v="1"/>
            <x v="2"/>
          </reference>
          <reference field="3" count="0" selected="0"/>
          <reference field="4" count="0" selected="0"/>
          <reference field="18" count="0" selected="0"/>
          <reference field="20" count="0" selected="0"/>
          <reference field="22" count="0" selected="0"/>
        </references>
      </pivotArea>
    </format>
    <format dxfId="63">
      <pivotArea dataOnly="0" labelOnly="1" outline="0" fieldPosition="0">
        <references count="4">
          <reference field="0" count="0" selected="0"/>
          <reference field="2" count="1" selected="0">
            <x v="0"/>
          </reference>
          <reference field="3" count="1" selected="0">
            <x v="0"/>
          </reference>
          <reference field="4" count="2">
            <x v="2"/>
            <x v="4"/>
          </reference>
        </references>
      </pivotArea>
    </format>
    <format dxfId="62">
      <pivotArea dataOnly="0" labelOnly="1" outline="0" fieldPosition="0">
        <references count="4">
          <reference field="0" count="0" selected="0"/>
          <reference field="2" count="1" selected="0">
            <x v="1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61">
      <pivotArea dataOnly="0" labelOnly="1" outline="0" fieldPosition="0">
        <references count="4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60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>
            <x v="3"/>
          </reference>
        </references>
      </pivotArea>
    </format>
    <format dxfId="59">
      <pivotArea outline="0" fieldPosition="0">
        <references count="8">
          <reference field="0" count="0" selected="0"/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  <reference field="7" count="1" selected="0">
            <x v="5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4"/>
          </reference>
        </references>
      </pivotArea>
    </format>
    <format dxfId="58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5" selected="0">
            <x v="2"/>
            <x v="3"/>
            <x v="4"/>
            <x v="5"/>
            <x v="6"/>
          </reference>
          <reference field="18" count="4" selected="0">
            <x v="0"/>
            <x v="1"/>
            <x v="3"/>
            <x v="5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57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0"/>
          </reference>
          <reference field="18" count="1" selected="0">
            <x v="0"/>
          </reference>
          <reference field="20" count="2" selected="0">
            <x v="0"/>
            <x v="1"/>
          </reference>
          <reference field="22" count="1" selected="0">
            <x v="2"/>
          </reference>
        </references>
      </pivotArea>
    </format>
    <format dxfId="56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0"/>
          </reference>
          <reference field="18" count="1" selected="0">
            <x v="0"/>
          </reference>
          <reference field="20" count="2" selected="0">
            <x v="0"/>
            <x v="1"/>
          </reference>
          <reference field="22" count="1" selected="0">
            <x v="2"/>
          </reference>
        </references>
      </pivotArea>
    </format>
    <format dxfId="55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3" selected="0">
            <x v="2"/>
            <x v="3"/>
            <x v="4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54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1" selected="0">
            <x v="2"/>
          </reference>
          <reference field="18" count="3" selected="0">
            <x v="1"/>
            <x v="3"/>
            <x v="5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53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1" selected="0">
            <x v="3"/>
          </reference>
          <reference field="18" count="2" selected="0">
            <x v="1"/>
            <x v="3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52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2" selected="0">
            <x v="3"/>
            <x v="4"/>
          </reference>
          <reference field="18" count="1" selected="0">
            <x v="5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51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1" selected="0">
            <x v="4"/>
          </reference>
          <reference field="18" count="1" selected="0">
            <x v="3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50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1" selected="0">
            <x v="4"/>
          </reference>
          <reference field="18" count="1" selected="0">
            <x v="1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49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1" selected="0">
            <x v="5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48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1" selected="0">
            <x v="6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47">
      <pivotArea outline="0" fieldPosition="0">
        <references count="8">
          <reference field="0" count="0" selected="0"/>
          <reference field="2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  <reference field="7" count="1" selected="0">
            <x v="5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4"/>
          </reference>
        </references>
      </pivotArea>
    </format>
    <format dxfId="46">
      <pivotArea outline="0" fieldPosition="0">
        <references count="8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7" count="2" selected="0">
            <x v="5"/>
            <x v="6"/>
          </reference>
          <reference field="18" count="3" selected="0">
            <x v="1"/>
            <x v="3"/>
            <x v="5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45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7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94DA1-1E43-43A8-8C2B-E3C900CC44E8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Q6:AD31" firstHeaderRow="1" firstDataRow="2" firstDataCol="7" rowPageCount="1" colPageCount="1"/>
  <pivotFields count="31">
    <pivotField axis="axisRow" compact="0" outline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2"/>
        <item x="1"/>
        <item x="0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">
        <item x="1"/>
        <item x="0"/>
        <item m="1" x="5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8">
        <item x="0"/>
        <item h="1" x="7"/>
        <item x="1"/>
        <item x="2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14">
        <item x="2"/>
        <item x="0"/>
        <item x="1"/>
        <item x="3"/>
        <item x="8"/>
        <item x="9"/>
        <item x="10"/>
        <item x="4"/>
        <item x="5"/>
        <item x="7"/>
        <item x="6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3"/>
        <item x="5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3"/>
        <item x="1"/>
        <item m="1"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2"/>
    <field x="3"/>
    <field x="4"/>
    <field x="22"/>
    <field x="18"/>
    <field x="20"/>
  </rowFields>
  <rowItems count="24">
    <i>
      <x/>
      <x/>
      <x/>
      <x/>
      <x/>
      <x v="3"/>
      <x/>
    </i>
    <i r="3">
      <x v="1"/>
      <x/>
      <x/>
      <x/>
    </i>
    <i r="3">
      <x v="4"/>
      <x v="4"/>
      <x/>
      <x/>
    </i>
    <i t="default" r="1">
      <x/>
    </i>
    <i r="1">
      <x v="1"/>
      <x/>
      <x/>
      <x/>
      <x v="1"/>
      <x/>
    </i>
    <i r="5">
      <x v="3"/>
      <x/>
    </i>
    <i r="5">
      <x v="4"/>
      <x/>
    </i>
    <i r="5">
      <x v="5"/>
      <x/>
    </i>
    <i r="3">
      <x v="1"/>
      <x/>
      <x/>
      <x/>
    </i>
    <i r="6">
      <x v="1"/>
    </i>
    <i t="default" r="1">
      <x v="1"/>
    </i>
    <i r="1">
      <x v="2"/>
      <x/>
      <x v="1"/>
      <x/>
      <x/>
      <x/>
    </i>
    <i r="6">
      <x v="1"/>
    </i>
    <i r="3">
      <x v="3"/>
      <x v="2"/>
      <x/>
      <x/>
    </i>
    <i r="5">
      <x v="1"/>
      <x/>
    </i>
    <i r="5">
      <x v="3"/>
      <x/>
    </i>
    <i r="5">
      <x v="5"/>
      <x/>
    </i>
    <i t="default" r="1">
      <x v="2"/>
    </i>
    <i r="1">
      <x v="4"/>
      <x v="2"/>
      <x v="3"/>
      <x v="2"/>
      <x/>
      <x/>
    </i>
    <i r="6">
      <x v="1"/>
    </i>
    <i r="5">
      <x v="1"/>
      <x/>
    </i>
    <i r="5">
      <x v="3"/>
      <x/>
    </i>
    <i t="default" r="1">
      <x v="4"/>
    </i>
    <i t="grand">
      <x/>
    </i>
  </rowItems>
  <colFields count="1">
    <field x="7"/>
  </colFields>
  <colItems count="7">
    <i>
      <x/>
    </i>
    <i>
      <x v="2"/>
    </i>
    <i>
      <x v="3"/>
    </i>
    <i>
      <x v="4"/>
    </i>
    <i>
      <x v="5"/>
    </i>
    <i>
      <x v="6"/>
    </i>
    <i>
      <x v="7"/>
    </i>
  </colItems>
  <pageFields count="1">
    <pageField fld="9" item="11" hier="-1"/>
  </pageFields>
  <dataFields count="1">
    <dataField name=" Provision Net Amt (CLP)" fld="24" baseField="0" baseItem="0" numFmtId="164"/>
  </dataFields>
  <formats count="57"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7" type="button" dataOnly="0" labelOnly="1" outline="0" axis="axisCol" fieldPosition="0"/>
    </format>
    <format dxfId="162">
      <pivotArea field="-2" type="button" dataOnly="0" labelOnly="1" outline="0" axis="axisValues" fieldPosition="0"/>
    </format>
    <format dxfId="161">
      <pivotArea type="topRight" dataOnly="0" labelOnly="1" outline="0" fieldPosition="0"/>
    </format>
    <format dxfId="160">
      <pivotArea field="0" type="button" dataOnly="0" labelOnly="1" outline="0" axis="axisRow" fieldPosition="0"/>
    </format>
    <format dxfId="159">
      <pivotArea field="20" type="button" dataOnly="0" labelOnly="1" outline="0" axis="axisRow" fieldPosition="6"/>
    </format>
    <format dxfId="158">
      <pivotArea dataOnly="0" labelOnly="1" outline="0" fieldPosition="0">
        <references count="1">
          <reference field="0" count="0"/>
        </references>
      </pivotArea>
    </format>
    <format dxfId="157">
      <pivotArea dataOnly="0" labelOnly="1" outline="0" fieldPosition="0">
        <references count="1">
          <reference field="0" count="0" defaultSubtotal="1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7" count="1">
            <x v="0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7" type="button" dataOnly="0" labelOnly="1" outline="0" axis="axisCol" fieldPosition="0"/>
    </format>
    <format dxfId="150">
      <pivotArea field="-2" type="button" dataOnly="0" labelOnly="1" outline="0" axis="axisValues" fieldPosition="0"/>
    </format>
    <format dxfId="149">
      <pivotArea type="topRight" dataOnly="0" labelOnly="1" outline="0" fieldPosition="0"/>
    </format>
    <format dxfId="148">
      <pivotArea field="0" type="button" dataOnly="0" labelOnly="1" outline="0" axis="axisRow" fieldPosition="0"/>
    </format>
    <format dxfId="147">
      <pivotArea field="20" type="button" dataOnly="0" labelOnly="1" outline="0" axis="axisRow" fieldPosition="6"/>
    </format>
    <format dxfId="146">
      <pivotArea dataOnly="0" labelOnly="1" outline="0" fieldPosition="0">
        <references count="1">
          <reference field="0" count="0"/>
        </references>
      </pivotArea>
    </format>
    <format dxfId="145">
      <pivotArea dataOnly="0" labelOnly="1" outline="0" fieldPosition="0">
        <references count="1">
          <reference field="0" count="0" defaultSubtotal="1"/>
        </references>
      </pivotArea>
    </format>
    <format dxfId="144">
      <pivotArea dataOnly="0" labelOnly="1" grandRow="1" outline="0" fieldPosition="0"/>
    </format>
    <format dxfId="143">
      <pivotArea dataOnly="0" labelOnly="1" outline="0" fieldPosition="0">
        <references count="1">
          <reference field="7" count="1">
            <x v="0"/>
          </reference>
        </references>
      </pivotArea>
    </format>
    <format dxfId="142">
      <pivotArea outline="0" collapsedLevelsAreSubtotals="1" fieldPosition="0"/>
    </format>
    <format dxfId="141">
      <pivotArea field="7" type="button" dataOnly="0" labelOnly="1" outline="0" axis="axisCol" fieldPosition="0"/>
    </format>
    <format dxfId="140">
      <pivotArea field="-2" type="button" dataOnly="0" labelOnly="1" outline="0" axis="axisValues" fieldPosition="0"/>
    </format>
    <format dxfId="139">
      <pivotArea type="topRight" dataOnly="0" labelOnly="1" outline="0" fieldPosition="0"/>
    </format>
    <format dxfId="138">
      <pivotArea dataOnly="0" labelOnly="1" outline="0" fieldPosition="0">
        <references count="1">
          <reference field="7" count="1">
            <x v="0"/>
          </reference>
        </references>
      </pivotArea>
    </format>
    <format dxfId="137">
      <pivotArea field="20" type="button" dataOnly="0" labelOnly="1" outline="0" axis="axisRow" fieldPosition="6"/>
    </format>
    <format dxfId="136">
      <pivotArea field="18" type="button" dataOnly="0" labelOnly="1" outline="0" axis="axisRow" fieldPosition="5"/>
    </format>
    <format dxfId="135">
      <pivotArea field="0" type="button" dataOnly="0" labelOnly="1" outline="0" axis="axisRow" fieldPosition="0"/>
    </format>
    <format dxfId="134">
      <pivotArea field="3" type="button" dataOnly="0" labelOnly="1" outline="0" axis="axisRow" fieldPosition="2"/>
    </format>
    <format dxfId="133">
      <pivotArea field="2" type="button" dataOnly="0" labelOnly="1" outline="0" axis="axisRow" fieldPosition="1"/>
    </format>
    <format dxfId="132">
      <pivotArea field="4" type="button" dataOnly="0" labelOnly="1" outline="0" axis="axisRow" fieldPosition="3"/>
    </format>
    <format dxfId="131">
      <pivotArea type="origin" dataOnly="0" labelOnly="1" outline="0" offset="D1" fieldPosition="0"/>
    </format>
    <format dxfId="130">
      <pivotArea field="4" type="button" dataOnly="0" labelOnly="1" outline="0" axis="axisRow" fieldPosition="3"/>
    </format>
    <format dxfId="129">
      <pivotArea dataOnly="0" labelOnly="1" grandRow="1" outline="0" offset="D256" fieldPosition="0"/>
    </format>
    <format dxfId="128">
      <pivotArea dataOnly="0" labelOnly="1" outline="0" fieldPosition="0">
        <references count="4">
          <reference field="0" count="0" selected="0"/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27">
      <pivotArea dataOnly="0" labelOnly="1" outline="0" fieldPosition="0">
        <references count="4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2">
            <x v="1"/>
            <x v="3"/>
          </reference>
        </references>
      </pivotArea>
    </format>
    <format dxfId="126">
      <pivotArea outline="0" fieldPosition="0">
        <references count="7">
          <reference field="0" count="0" selected="0"/>
          <reference field="2" count="3" selected="0">
            <x v="0"/>
            <x v="1"/>
            <x v="2"/>
          </reference>
          <reference field="3" count="0" selected="0"/>
          <reference field="4" count="0" selected="0"/>
          <reference field="18" count="0" selected="0"/>
          <reference field="20" count="0" selected="0"/>
          <reference field="22" count="0" selected="0"/>
        </references>
      </pivotArea>
    </format>
    <format dxfId="125">
      <pivotArea dataOnly="0" labelOnly="1" outline="0" fieldPosition="0">
        <references count="4">
          <reference field="0" count="0" selected="0"/>
          <reference field="2" count="1" selected="0">
            <x v="0"/>
          </reference>
          <reference field="3" count="1" selected="0">
            <x v="0"/>
          </reference>
          <reference field="4" count="2">
            <x v="2"/>
            <x v="4"/>
          </reference>
        </references>
      </pivotArea>
    </format>
    <format dxfId="124">
      <pivotArea dataOnly="0" labelOnly="1" outline="0" fieldPosition="0">
        <references count="4">
          <reference field="0" count="0" selected="0"/>
          <reference field="2" count="1" selected="0">
            <x v="1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3">
      <pivotArea dataOnly="0" labelOnly="1" outline="0" fieldPosition="0">
        <references count="4">
          <reference field="0" count="0" selected="0"/>
          <reference field="2" count="1" selected="0">
            <x v="2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122">
      <pivotArea dataOnly="0" labelOnly="1" outline="0" fieldPosition="0">
        <references count="4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>
            <x v="3"/>
          </reference>
        </references>
      </pivotArea>
    </format>
    <format dxfId="121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5" selected="0">
            <x v="2"/>
            <x v="3"/>
            <x v="4"/>
            <x v="5"/>
            <x v="6"/>
          </reference>
          <reference field="18" count="3" selected="0">
            <x v="0"/>
            <x v="1"/>
            <x v="3"/>
          </reference>
          <reference field="20" count="2" selected="0">
            <x v="0"/>
            <x v="1"/>
          </reference>
          <reference field="22" count="1" selected="0">
            <x v="2"/>
          </reference>
        </references>
      </pivotArea>
    </format>
    <format dxfId="120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2"/>
          </reference>
          <reference field="18" count="3" selected="0">
            <x v="0"/>
            <x v="1"/>
            <x v="3"/>
          </reference>
          <reference field="20" count="2" selected="0">
            <x v="0"/>
            <x v="1"/>
          </reference>
          <reference field="22" count="1" selected="0">
            <x v="2"/>
          </reference>
        </references>
      </pivotArea>
    </format>
    <format dxfId="119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2"/>
          </reference>
          <reference field="18" count="2" selected="0">
            <x v="1"/>
            <x v="3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118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2" selected="0">
            <x v="3"/>
            <x v="4"/>
          </reference>
          <reference field="18" count="1" selected="0">
            <x v="0"/>
          </reference>
          <reference field="20" count="2" selected="0">
            <x v="0"/>
            <x v="1"/>
          </reference>
          <reference field="22" count="1" selected="0">
            <x v="2"/>
          </reference>
        </references>
      </pivotArea>
    </format>
    <format dxfId="117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2" selected="0">
            <x v="5"/>
            <x v="6"/>
          </reference>
          <reference field="18" count="1" selected="0">
            <x v="0"/>
          </reference>
          <reference field="20" count="1" selected="0">
            <x v="1"/>
          </reference>
          <reference field="22" count="1" selected="0">
            <x v="2"/>
          </reference>
        </references>
      </pivotArea>
    </format>
    <format dxfId="116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2" selected="0">
            <x v="5"/>
            <x v="6"/>
          </reference>
          <reference field="18" count="2" selected="0">
            <x v="1"/>
            <x v="3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115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3"/>
          </reference>
          <reference field="18" count="2" selected="0">
            <x v="1"/>
            <x v="3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114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4"/>
          </reference>
          <reference field="18" count="1" selected="0">
            <x v="1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113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4"/>
          </reference>
          <reference field="18" count="1" selected="0">
            <x v="3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112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5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111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6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  <format dxfId="110">
      <pivotArea outline="0" fieldPosition="0">
        <references count="8">
          <reference field="0" count="0" selected="0"/>
          <reference field="2" count="1" selected="0">
            <x v="4"/>
          </reference>
          <reference field="3" count="1" selected="0">
            <x v="2"/>
          </reference>
          <reference field="4" count="1" selected="0">
            <x v="3"/>
          </reference>
          <reference field="7" count="1" selected="0">
            <x v="7"/>
          </reference>
          <reference field="18" count="1" selected="0">
            <x v="0"/>
          </reference>
          <reference field="20" count="1" selected="0">
            <x v="0"/>
          </reference>
          <reference field="22" count="1" selected="0">
            <x v="2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BAB09-00E5-4030-A0E6-986F710EC3D7}" name="Table1" displayName="Table1" ref="B109:E119" headerRowDxfId="44" dataDxfId="43" totalsRowDxfId="42">
  <autoFilter ref="B109:E119" xr:uid="{A47C9C9F-5585-4414-AAA5-C86B4EAC145C}"/>
  <tableColumns count="4">
    <tableColumn id="1" xr3:uid="{D7418305-F8E7-4F59-A79E-F6961B2CD320}" name="3P(Paris)" dataDxfId="41"/>
    <tableColumn id="2" xr3:uid="{3D535BD5-41AD-46D5-A57C-DC2DF72CC6F1}" name="PRODUCT" dataDxfId="40"/>
    <tableColumn id="3" xr3:uid="{5F0AEE1D-80BC-4A27-9CD2-CB8F9B632829}" name="Sales Amt" dataDxfId="39"/>
    <tableColumn id="4" xr3:uid="{4426EE08-A35C-4B2C-B545-B84B4065279B}" name="Sales Qty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88EC44-4F3F-4ABC-B028-33CE6F3DDD23}" name="Table14" displayName="Table14" ref="K109:N119" headerRowDxfId="37" dataDxfId="36" totalsRowDxfId="35">
  <autoFilter ref="K109:N119" xr:uid="{ADD3F452-17A9-48C9-8E80-D9F3D0652B4C}"/>
  <tableColumns count="4">
    <tableColumn id="1" xr3:uid="{A85B8B11-2C53-42F1-A584-5DD363026139}" name="3P(Walmart)" dataDxfId="34"/>
    <tableColumn id="2" xr3:uid="{4F54558D-4F33-4402-8156-22E3396F6C0A}" name="PRODUCT" dataDxfId="33"/>
    <tableColumn id="3" xr3:uid="{17966CF6-FAB2-49F0-AD04-D1154ACD0041}" name="Sales Amt" dataDxfId="32"/>
    <tableColumn id="4" xr3:uid="{8E46CCA6-EC55-4365-B8D8-11679E2DCDC7}" name="Sales Qty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1BE7B4-210B-40BC-9974-8555DD665184}" name="Table15" displayName="Table15" ref="T109:W119" headerRowDxfId="30" dataDxfId="29" totalsRowDxfId="28">
  <autoFilter ref="T109:W119" xr:uid="{16D5E937-0C28-48AD-8CD0-19D5BF344B70}"/>
  <tableColumns count="4">
    <tableColumn id="1" xr3:uid="{768BF381-4407-4664-8AF7-26D9A63F882A}" name="3P(Ripley)" dataDxfId="27"/>
    <tableColumn id="2" xr3:uid="{4D5122F0-EED5-410A-950D-FAAF20CB54A9}" name="PRODUCT" dataDxfId="26"/>
    <tableColumn id="3" xr3:uid="{4A5E4871-C29D-45E4-8E6D-08DEC2EB5B4C}" name="Sales Amt" dataDxfId="25"/>
    <tableColumn id="4" xr3:uid="{9BF1222A-9DB4-4A90-BA92-A125568865A8}" name="Sales Qty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5B1A53-E351-4DCB-AA3E-EA8D6F97D09F}" name="Table16" displayName="Table16" ref="B131:E141" headerRowDxfId="23" dataDxfId="22" totalsRowDxfId="21">
  <autoFilter ref="B131:E141" xr:uid="{A3488AF0-F0D1-4466-9618-55D18252B140}"/>
  <tableColumns count="4">
    <tableColumn id="1" xr3:uid="{1FEBFD22-57F9-4844-A0D0-8AB49AC29683}" name="3P(Paris)" dataDxfId="20"/>
    <tableColumn id="2" xr3:uid="{BCD9BD35-6B1B-4F24-B580-92ECC98E578B}" name="PRODUCT" dataDxfId="19"/>
    <tableColumn id="3" xr3:uid="{78F8D693-93FF-4B00-BDCD-B325F8A84484}" name="Sales Amt" dataDxfId="18"/>
    <tableColumn id="4" xr3:uid="{D0466B7F-1609-4C8A-95AE-300B1471AD2A}" name="Sales Qty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3B4362-590A-4032-BE17-3F8EDDAAFBB9}" name="Table147" displayName="Table147" ref="K131:N141" headerRowDxfId="16" dataDxfId="15" totalsRowDxfId="14">
  <autoFilter ref="K131:N141" xr:uid="{B9F7BA6E-E6E4-4E05-A882-7AEFD0416C8D}"/>
  <tableColumns count="4">
    <tableColumn id="1" xr3:uid="{7D3A3F71-BB8D-45DA-AB33-7711EB4CB614}" name="3P(Walmart)" dataDxfId="13"/>
    <tableColumn id="2" xr3:uid="{36DF212A-D378-4693-A5DE-C2429694C196}" name="PRODUCT" dataDxfId="12"/>
    <tableColumn id="3" xr3:uid="{8997742D-7CA5-4A66-875B-90E9B2A214D9}" name="Sales Amt" dataDxfId="11"/>
    <tableColumn id="4" xr3:uid="{ED989BA6-7DB5-4D2E-9C10-F25FBFB6F587}" name="Sales Qty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A4C975-764E-467F-AC58-BDA651932905}" name="Table158" displayName="Table158" ref="T131:W141" headerRowDxfId="9" dataDxfId="8" totalsRowDxfId="7">
  <autoFilter ref="T131:W141" xr:uid="{B50E3901-D80A-4025-9716-1C68430C98D3}"/>
  <tableColumns count="4">
    <tableColumn id="1" xr3:uid="{ADA20FDA-7C37-4160-85CD-119C84830F10}" name="3P(Ripley)" dataDxfId="6"/>
    <tableColumn id="2" xr3:uid="{8919B6E3-FADA-4A1D-B870-60101FB9D72F}" name="PRODUCT" dataDxfId="5"/>
    <tableColumn id="3" xr3:uid="{4818B696-7592-4227-A904-21C91A564AD5}" name="Sales Amt" dataDxfId="4"/>
    <tableColumn id="4" xr3:uid="{FBAB8197-FABD-4D4B-9A45-DC9A22972E43}" name="Sales Q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604" dT="2026-09-14T20:51:47.23" personId="{82C79AAF-2F91-42CF-9E75-EB17B06C85DD}" id="{45978322-DCC2-4FBA-9DBD-EDAD20427FA1}">
    <text xml:space="preserve">No considerar por quincena
</text>
  </threadedComment>
  <threadedComment ref="M616" dT="2026-09-14T20:51:59.23" personId="{82C79AAF-2F91-42CF-9E75-EB17B06C85DD}" id="{71484B2C-BABD-44F1-8270-3EC0A9917AAA}">
    <text xml:space="preserve">No considerar por quincena
</text>
  </threadedComment>
  <threadedComment ref="M628" dT="2026-09-14T20:52:13.58" personId="{82C79AAF-2F91-42CF-9E75-EB17B06C85DD}" id="{18EB3EBA-9583-43D6-9E3C-2745545FD6C8}">
    <text xml:space="preserve">No considerar por quincena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hyperlink" Target="http://lg2607.acepta.com/v01/AD2F1E54CFEE4EA8AEAAF32C8EE536D5DD0B56A6" TargetMode="External"/><Relationship Id="rId1" Type="http://schemas.openxmlformats.org/officeDocument/2006/relationships/hyperlink" Target="http://lg2607.acepta.com/v01/5E0A125A9F4EB54908C00523002399A4BD42D7F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hyperlink" Target="http://lg2607.acepta.com/v01/AD2F1E54CFEE4EA8AEAAF32C8EE536D5DD0B56A6" TargetMode="External"/><Relationship Id="rId1" Type="http://schemas.openxmlformats.org/officeDocument/2006/relationships/hyperlink" Target="http://lg2607.acepta.com/v01/5E0A125A9F4EB54908C00523002399A4BD42D7F9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10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0C21-396E-49B7-BFA2-839C2F40ACAC}">
  <sheetPr>
    <tabColor theme="5" tint="0.79998168889431442"/>
  </sheetPr>
  <dimension ref="B3:AD41"/>
  <sheetViews>
    <sheetView workbookViewId="0">
      <selection activeCell="N35" sqref="N35"/>
    </sheetView>
  </sheetViews>
  <sheetFormatPr defaultRowHeight="13" x14ac:dyDescent="0.3"/>
  <cols>
    <col min="1" max="1" width="8.7265625" style="1"/>
    <col min="2" max="2" width="12.1796875" style="1" customWidth="1"/>
    <col min="3" max="3" width="13.6328125" style="1" bestFit="1" customWidth="1"/>
    <col min="4" max="4" width="13.1796875" style="1" bestFit="1" customWidth="1"/>
    <col min="5" max="5" width="10.90625" style="125" customWidth="1"/>
    <col min="6" max="6" width="12.81640625" style="9" customWidth="1"/>
    <col min="7" max="7" width="23.453125" style="9" bestFit="1" customWidth="1"/>
    <col min="8" max="8" width="9.90625" style="9" bestFit="1" customWidth="1"/>
    <col min="9" max="9" width="18.08984375" style="9" bestFit="1" customWidth="1"/>
    <col min="10" max="10" width="14.54296875" style="1" bestFit="1" customWidth="1"/>
    <col min="11" max="11" width="17.54296875" style="1" bestFit="1" customWidth="1"/>
    <col min="12" max="12" width="15.36328125" style="1" bestFit="1" customWidth="1"/>
    <col min="13" max="13" width="13.453125" style="1" bestFit="1" customWidth="1"/>
    <col min="14" max="14" width="10.1796875" style="1" bestFit="1" customWidth="1"/>
    <col min="15" max="15" width="13.36328125" style="1" bestFit="1" customWidth="1"/>
    <col min="16" max="16" width="7.08984375" style="1" customWidth="1"/>
    <col min="17" max="17" width="17.453125" style="1" bestFit="1" customWidth="1"/>
    <col min="18" max="18" width="9.81640625" style="1" bestFit="1" customWidth="1"/>
    <col min="19" max="19" width="13.1796875" style="1" bestFit="1" customWidth="1"/>
    <col min="20" max="20" width="11" style="1" bestFit="1" customWidth="1"/>
    <col min="21" max="21" width="13.7265625" style="1" bestFit="1" customWidth="1"/>
    <col min="22" max="22" width="23.453125" style="1" bestFit="1" customWidth="1"/>
    <col min="23" max="23" width="9.90625" style="1" bestFit="1" customWidth="1"/>
    <col min="24" max="24" width="18.08984375" style="1" bestFit="1" customWidth="1"/>
    <col min="25" max="25" width="14.54296875" style="1" bestFit="1" customWidth="1"/>
    <col min="26" max="26" width="17.54296875" style="1" bestFit="1" customWidth="1"/>
    <col min="27" max="27" width="15.36328125" style="1" bestFit="1" customWidth="1"/>
    <col min="28" max="28" width="13.453125" style="1" bestFit="1" customWidth="1"/>
    <col min="29" max="29" width="10.1796875" style="1" bestFit="1" customWidth="1"/>
    <col min="30" max="30" width="13.36328125" style="1" bestFit="1" customWidth="1"/>
    <col min="31" max="16384" width="8.7265625" style="1"/>
  </cols>
  <sheetData>
    <row r="3" spans="2:30" ht="14" x14ac:dyDescent="0.3">
      <c r="B3" s="129" t="s">
        <v>282</v>
      </c>
      <c r="Q3" s="129" t="s">
        <v>283</v>
      </c>
    </row>
    <row r="4" spans="2:30" x14ac:dyDescent="0.3">
      <c r="B4" s="102" t="s">
        <v>22</v>
      </c>
      <c r="C4" s="1" t="s">
        <v>56</v>
      </c>
      <c r="Q4" s="102" t="s">
        <v>22</v>
      </c>
      <c r="R4" s="1" t="s">
        <v>56</v>
      </c>
      <c r="T4" s="125"/>
      <c r="U4" s="9"/>
      <c r="V4" s="9"/>
      <c r="W4" s="9"/>
      <c r="X4" s="9"/>
    </row>
    <row r="5" spans="2:30" x14ac:dyDescent="0.3">
      <c r="T5" s="125"/>
      <c r="U5" s="9"/>
      <c r="V5" s="9"/>
      <c r="W5" s="9"/>
      <c r="X5" s="9"/>
    </row>
    <row r="6" spans="2:30" ht="14.5" x14ac:dyDescent="0.35">
      <c r="B6" s="102" t="s">
        <v>151</v>
      </c>
      <c r="E6" s="1"/>
      <c r="F6" s="1"/>
      <c r="G6" s="1"/>
      <c r="H6" s="1"/>
      <c r="I6" s="106" t="s">
        <v>21</v>
      </c>
      <c r="J6" s="103"/>
      <c r="K6" s="103"/>
      <c r="L6" s="103"/>
      <c r="M6" s="103"/>
      <c r="N6" s="103"/>
      <c r="O6" s="103"/>
      <c r="P6"/>
      <c r="Q6" s="102" t="s">
        <v>152</v>
      </c>
      <c r="X6" s="106" t="s">
        <v>21</v>
      </c>
      <c r="Y6" s="103"/>
      <c r="Z6" s="103"/>
      <c r="AA6" s="103"/>
      <c r="AB6" s="103"/>
      <c r="AC6" s="103"/>
      <c r="AD6" s="103"/>
    </row>
    <row r="7" spans="2:30" ht="26.5" x14ac:dyDescent="0.35">
      <c r="B7" s="113" t="s">
        <v>18</v>
      </c>
      <c r="C7" s="113" t="s">
        <v>171</v>
      </c>
      <c r="D7" s="113" t="s">
        <v>169</v>
      </c>
      <c r="E7" s="112" t="s">
        <v>170</v>
      </c>
      <c r="F7" s="102" t="s">
        <v>168</v>
      </c>
      <c r="G7" s="113" t="s">
        <v>25</v>
      </c>
      <c r="H7" s="113" t="s">
        <v>82</v>
      </c>
      <c r="I7" s="103" t="s">
        <v>29</v>
      </c>
      <c r="J7" s="1" t="s">
        <v>148</v>
      </c>
      <c r="K7" s="1" t="s">
        <v>147</v>
      </c>
      <c r="L7" s="1" t="s">
        <v>175</v>
      </c>
      <c r="M7" s="1" t="s">
        <v>180</v>
      </c>
      <c r="N7" s="1" t="s">
        <v>146</v>
      </c>
      <c r="O7" s="1" t="s">
        <v>280</v>
      </c>
      <c r="P7"/>
      <c r="Q7" s="113" t="s">
        <v>18</v>
      </c>
      <c r="R7" s="113" t="s">
        <v>171</v>
      </c>
      <c r="S7" s="113" t="s">
        <v>169</v>
      </c>
      <c r="T7" s="112" t="s">
        <v>170</v>
      </c>
      <c r="U7" s="102" t="s">
        <v>168</v>
      </c>
      <c r="V7" s="113" t="s">
        <v>25</v>
      </c>
      <c r="W7" s="113" t="s">
        <v>82</v>
      </c>
      <c r="X7" s="103" t="s">
        <v>29</v>
      </c>
      <c r="Y7" s="1" t="s">
        <v>148</v>
      </c>
      <c r="Z7" s="1" t="s">
        <v>147</v>
      </c>
      <c r="AA7" s="1" t="s">
        <v>175</v>
      </c>
      <c r="AB7" s="1" t="s">
        <v>180</v>
      </c>
      <c r="AC7" s="1" t="s">
        <v>146</v>
      </c>
      <c r="AD7" s="1" t="s">
        <v>280</v>
      </c>
    </row>
    <row r="8" spans="2:30" s="112" customFormat="1" ht="14.5" x14ac:dyDescent="0.35">
      <c r="B8" s="1">
        <v>2026</v>
      </c>
      <c r="C8" s="1" t="s">
        <v>159</v>
      </c>
      <c r="D8" s="1" t="s">
        <v>88</v>
      </c>
      <c r="E8" s="1" t="s">
        <v>80</v>
      </c>
      <c r="F8" s="1" t="s">
        <v>149</v>
      </c>
      <c r="G8" s="1" t="s">
        <v>143</v>
      </c>
      <c r="H8" s="1" t="s">
        <v>83</v>
      </c>
      <c r="I8" s="103"/>
      <c r="J8" s="103">
        <v>11257458</v>
      </c>
      <c r="K8" s="103">
        <v>7477508.0000000009</v>
      </c>
      <c r="L8" s="103">
        <v>990593</v>
      </c>
      <c r="M8" s="103"/>
      <c r="N8" s="103"/>
      <c r="O8" s="103"/>
      <c r="P8" s="111"/>
      <c r="Q8" s="1">
        <v>2026</v>
      </c>
      <c r="R8" s="1" t="s">
        <v>159</v>
      </c>
      <c r="S8" s="1" t="s">
        <v>88</v>
      </c>
      <c r="T8" s="1" t="s">
        <v>80</v>
      </c>
      <c r="U8" s="1" t="s">
        <v>149</v>
      </c>
      <c r="V8" s="1" t="s">
        <v>143</v>
      </c>
      <c r="W8" s="1" t="s">
        <v>83</v>
      </c>
      <c r="X8" s="103"/>
      <c r="Y8" s="103"/>
      <c r="Z8" s="103"/>
      <c r="AA8" s="103"/>
      <c r="AB8" s="103"/>
      <c r="AC8" s="103"/>
      <c r="AD8" s="103"/>
    </row>
    <row r="9" spans="2:30" ht="14.5" x14ac:dyDescent="0.35">
      <c r="B9" s="1">
        <v>2026</v>
      </c>
      <c r="C9" s="1" t="s">
        <v>159</v>
      </c>
      <c r="D9" s="1" t="s">
        <v>88</v>
      </c>
      <c r="E9" s="1" t="s">
        <v>87</v>
      </c>
      <c r="F9" s="1" t="s">
        <v>149</v>
      </c>
      <c r="G9" s="1" t="s">
        <v>81</v>
      </c>
      <c r="H9" s="1" t="s">
        <v>83</v>
      </c>
      <c r="I9" s="103"/>
      <c r="J9" s="103"/>
      <c r="K9" s="103"/>
      <c r="L9" s="103"/>
      <c r="M9" s="103"/>
      <c r="N9" s="103">
        <v>4393086.0000000009</v>
      </c>
      <c r="O9" s="103"/>
      <c r="P9"/>
      <c r="Q9" s="1">
        <v>2026</v>
      </c>
      <c r="R9" s="1" t="s">
        <v>159</v>
      </c>
      <c r="S9" s="1" t="s">
        <v>88</v>
      </c>
      <c r="T9" s="1" t="s">
        <v>87</v>
      </c>
      <c r="U9" s="1" t="s">
        <v>149</v>
      </c>
      <c r="V9" s="1" t="s">
        <v>81</v>
      </c>
      <c r="W9" s="1" t="s">
        <v>83</v>
      </c>
      <c r="X9" s="103"/>
      <c r="Y9" s="103"/>
      <c r="Z9" s="103"/>
      <c r="AA9" s="103"/>
      <c r="AB9" s="103"/>
      <c r="AC9" s="103"/>
      <c r="AD9" s="103"/>
    </row>
    <row r="10" spans="2:30" ht="14.5" x14ac:dyDescent="0.35">
      <c r="B10" s="1">
        <v>2026</v>
      </c>
      <c r="C10" s="1" t="s">
        <v>159</v>
      </c>
      <c r="D10" s="1" t="s">
        <v>88</v>
      </c>
      <c r="E10" s="2" t="s">
        <v>185</v>
      </c>
      <c r="F10" s="1" t="s">
        <v>185</v>
      </c>
      <c r="G10" s="1" t="s">
        <v>81</v>
      </c>
      <c r="H10" s="1" t="s">
        <v>83</v>
      </c>
      <c r="I10" s="103"/>
      <c r="J10" s="103"/>
      <c r="K10" s="103"/>
      <c r="L10" s="103"/>
      <c r="M10" s="326">
        <v>5049775</v>
      </c>
      <c r="N10" s="103"/>
      <c r="O10" s="103"/>
      <c r="P10"/>
      <c r="Q10" s="1">
        <v>2026</v>
      </c>
      <c r="R10" s="1" t="s">
        <v>159</v>
      </c>
      <c r="S10" s="1" t="s">
        <v>88</v>
      </c>
      <c r="T10" s="2" t="s">
        <v>185</v>
      </c>
      <c r="U10" s="1" t="s">
        <v>185</v>
      </c>
      <c r="V10" s="1" t="s">
        <v>81</v>
      </c>
      <c r="W10" s="1" t="s">
        <v>83</v>
      </c>
      <c r="X10" s="103"/>
      <c r="Y10" s="103"/>
      <c r="Z10" s="103"/>
      <c r="AA10" s="103"/>
      <c r="AB10" s="103"/>
      <c r="AC10" s="103"/>
      <c r="AD10" s="103"/>
    </row>
    <row r="11" spans="2:30" ht="14.5" x14ac:dyDescent="0.35">
      <c r="B11" s="1">
        <v>2026</v>
      </c>
      <c r="C11" s="1" t="s">
        <v>166</v>
      </c>
      <c r="E11" s="1"/>
      <c r="F11" s="1"/>
      <c r="G11" s="1"/>
      <c r="H11" s="1"/>
      <c r="I11" s="103"/>
      <c r="J11" s="103">
        <v>11257458</v>
      </c>
      <c r="K11" s="103">
        <v>7477508.0000000009</v>
      </c>
      <c r="L11" s="103">
        <v>990593</v>
      </c>
      <c r="M11" s="103">
        <v>5049775</v>
      </c>
      <c r="N11" s="103">
        <v>4393086.0000000009</v>
      </c>
      <c r="O11" s="103"/>
      <c r="P11"/>
      <c r="Q11" s="1">
        <v>2026</v>
      </c>
      <c r="R11" s="1" t="s">
        <v>166</v>
      </c>
      <c r="X11" s="103"/>
      <c r="Y11" s="103"/>
      <c r="Z11" s="103"/>
      <c r="AA11" s="103"/>
      <c r="AB11" s="103"/>
      <c r="AC11" s="103"/>
      <c r="AD11" s="103"/>
    </row>
    <row r="12" spans="2:30" ht="14.5" x14ac:dyDescent="0.35">
      <c r="B12" s="1">
        <v>2026</v>
      </c>
      <c r="C12" s="1" t="s">
        <v>162</v>
      </c>
      <c r="D12" s="1" t="s">
        <v>88</v>
      </c>
      <c r="E12" s="1" t="s">
        <v>80</v>
      </c>
      <c r="F12" s="1" t="s">
        <v>149</v>
      </c>
      <c r="G12" s="1" t="s">
        <v>144</v>
      </c>
      <c r="H12" s="1" t="s">
        <v>83</v>
      </c>
      <c r="I12" s="103"/>
      <c r="J12" s="103">
        <v>41580653.999999993</v>
      </c>
      <c r="K12" s="103">
        <v>29182344.999999996</v>
      </c>
      <c r="L12" s="103">
        <v>6642066</v>
      </c>
      <c r="M12" s="103"/>
      <c r="N12" s="103"/>
      <c r="O12" s="103"/>
      <c r="P12"/>
      <c r="Q12" s="1">
        <v>2026</v>
      </c>
      <c r="R12" s="1" t="s">
        <v>162</v>
      </c>
      <c r="S12" s="1" t="s">
        <v>88</v>
      </c>
      <c r="T12" s="1" t="s">
        <v>80</v>
      </c>
      <c r="U12" s="1" t="s">
        <v>149</v>
      </c>
      <c r="V12" s="1" t="s">
        <v>144</v>
      </c>
      <c r="W12" s="1" t="s">
        <v>83</v>
      </c>
      <c r="X12" s="103"/>
      <c r="Y12" s="103">
        <v>31782549.96977951</v>
      </c>
      <c r="Z12" s="103">
        <v>27262067.243586499</v>
      </c>
      <c r="AA12" s="103">
        <v>5811311.4669732703</v>
      </c>
      <c r="AB12" s="103"/>
      <c r="AC12" s="103"/>
      <c r="AD12" s="103"/>
    </row>
    <row r="13" spans="2:30" ht="14.5" x14ac:dyDescent="0.35">
      <c r="B13" s="1">
        <v>2026</v>
      </c>
      <c r="C13" s="1" t="s">
        <v>162</v>
      </c>
      <c r="D13" s="1" t="s">
        <v>88</v>
      </c>
      <c r="E13" s="1" t="s">
        <v>80</v>
      </c>
      <c r="F13" s="1" t="s">
        <v>149</v>
      </c>
      <c r="G13" s="1" t="s">
        <v>143</v>
      </c>
      <c r="H13" s="1" t="s">
        <v>83</v>
      </c>
      <c r="I13" s="103"/>
      <c r="J13" s="103">
        <v>13569539.928000001</v>
      </c>
      <c r="K13" s="103">
        <v>6754210.9999999991</v>
      </c>
      <c r="L13" s="103">
        <v>2368348.0000000005</v>
      </c>
      <c r="M13" s="103"/>
      <c r="N13" s="103"/>
      <c r="O13" s="103"/>
      <c r="P13"/>
      <c r="Q13" s="1">
        <v>2026</v>
      </c>
      <c r="R13" s="1" t="s">
        <v>162</v>
      </c>
      <c r="S13" s="1" t="s">
        <v>88</v>
      </c>
      <c r="T13" s="1" t="s">
        <v>80</v>
      </c>
      <c r="U13" s="1" t="s">
        <v>149</v>
      </c>
      <c r="V13" s="1" t="s">
        <v>143</v>
      </c>
      <c r="W13" s="1" t="s">
        <v>83</v>
      </c>
      <c r="X13" s="103"/>
      <c r="Y13" s="103">
        <v>14193627.644579403</v>
      </c>
      <c r="Z13" s="103">
        <v>6861185.1674999995</v>
      </c>
      <c r="AA13" s="103">
        <v>2960847.9869999997</v>
      </c>
      <c r="AB13" s="103"/>
      <c r="AC13" s="103"/>
      <c r="AD13" s="103"/>
    </row>
    <row r="14" spans="2:30" ht="14.5" x14ac:dyDescent="0.35">
      <c r="B14" s="1">
        <v>2026</v>
      </c>
      <c r="C14" s="1" t="s">
        <v>162</v>
      </c>
      <c r="D14" s="1" t="s">
        <v>88</v>
      </c>
      <c r="E14" s="1" t="s">
        <v>80</v>
      </c>
      <c r="F14" s="1" t="s">
        <v>149</v>
      </c>
      <c r="G14" s="1" t="s">
        <v>142</v>
      </c>
      <c r="H14" s="1" t="s">
        <v>83</v>
      </c>
      <c r="I14" s="103"/>
      <c r="J14" s="103"/>
      <c r="K14" s="103">
        <v>0</v>
      </c>
      <c r="L14" s="103">
        <v>0</v>
      </c>
      <c r="M14" s="103"/>
      <c r="N14" s="103"/>
      <c r="O14" s="103"/>
      <c r="P14"/>
      <c r="Q14" s="1">
        <v>2026</v>
      </c>
      <c r="R14" s="1" t="s">
        <v>162</v>
      </c>
      <c r="S14" s="1" t="s">
        <v>88</v>
      </c>
      <c r="T14" s="1" t="s">
        <v>80</v>
      </c>
      <c r="U14" s="1" t="s">
        <v>149</v>
      </c>
      <c r="V14" s="1" t="s">
        <v>142</v>
      </c>
      <c r="W14" s="1" t="s">
        <v>83</v>
      </c>
      <c r="X14" s="103"/>
      <c r="Y14" s="103"/>
      <c r="Z14" s="103">
        <v>8213814.3222899996</v>
      </c>
      <c r="AA14" s="103">
        <v>1752661.3787099998</v>
      </c>
      <c r="AB14" s="103"/>
      <c r="AC14" s="103"/>
      <c r="AD14" s="103"/>
    </row>
    <row r="15" spans="2:30" ht="14.5" x14ac:dyDescent="0.35">
      <c r="B15" s="1">
        <v>2026</v>
      </c>
      <c r="C15" s="1" t="s">
        <v>162</v>
      </c>
      <c r="D15" s="1" t="s">
        <v>88</v>
      </c>
      <c r="E15" s="1" t="s">
        <v>80</v>
      </c>
      <c r="F15" s="1" t="s">
        <v>149</v>
      </c>
      <c r="G15" s="1" t="s">
        <v>141</v>
      </c>
      <c r="H15" s="1" t="s">
        <v>83</v>
      </c>
      <c r="I15" s="103"/>
      <c r="J15" s="103">
        <v>35307368.999999993</v>
      </c>
      <c r="K15" s="103"/>
      <c r="L15" s="103"/>
      <c r="M15" s="103"/>
      <c r="N15" s="103"/>
      <c r="O15" s="103"/>
      <c r="P15"/>
      <c r="Q15" s="1">
        <v>2026</v>
      </c>
      <c r="R15" s="1" t="s">
        <v>162</v>
      </c>
      <c r="S15" s="1" t="s">
        <v>88</v>
      </c>
      <c r="T15" s="1" t="s">
        <v>80</v>
      </c>
      <c r="U15" s="1" t="s">
        <v>149</v>
      </c>
      <c r="V15" s="1" t="s">
        <v>141</v>
      </c>
      <c r="W15" s="1" t="s">
        <v>83</v>
      </c>
      <c r="X15" s="103"/>
      <c r="Y15" s="103"/>
      <c r="Z15" s="103"/>
      <c r="AA15" s="103"/>
      <c r="AB15" s="103"/>
      <c r="AC15" s="103"/>
      <c r="AD15" s="103"/>
    </row>
    <row r="16" spans="2:30" x14ac:dyDescent="0.3">
      <c r="B16" s="1">
        <v>2026</v>
      </c>
      <c r="C16" s="1" t="s">
        <v>162</v>
      </c>
      <c r="D16" s="1" t="s">
        <v>88</v>
      </c>
      <c r="E16" s="1" t="s">
        <v>87</v>
      </c>
      <c r="F16" s="1" t="s">
        <v>149</v>
      </c>
      <c r="G16" s="1" t="s">
        <v>81</v>
      </c>
      <c r="H16" s="1" t="s">
        <v>83</v>
      </c>
      <c r="I16" s="103">
        <v>251810582.00000003</v>
      </c>
      <c r="J16" s="103"/>
      <c r="K16" s="103"/>
      <c r="L16" s="103"/>
      <c r="M16" s="103">
        <v>8819906</v>
      </c>
      <c r="N16" s="103">
        <v>8153422</v>
      </c>
      <c r="O16" s="103"/>
      <c r="Q16" s="1">
        <v>2026</v>
      </c>
      <c r="R16" s="1" t="s">
        <v>162</v>
      </c>
      <c r="S16" s="1" t="s">
        <v>88</v>
      </c>
      <c r="T16" s="1" t="s">
        <v>87</v>
      </c>
      <c r="U16" s="1" t="s">
        <v>149</v>
      </c>
      <c r="V16" s="1" t="s">
        <v>81</v>
      </c>
      <c r="W16" s="1" t="s">
        <v>83</v>
      </c>
      <c r="X16" s="103"/>
      <c r="Y16" s="103"/>
      <c r="Z16" s="103"/>
      <c r="AA16" s="103"/>
      <c r="AB16" s="103">
        <v>8963409.4412000012</v>
      </c>
      <c r="AC16" s="103">
        <v>15914399.142599998</v>
      </c>
      <c r="AD16" s="103"/>
    </row>
    <row r="17" spans="2:30" x14ac:dyDescent="0.3">
      <c r="B17" s="1">
        <v>2026</v>
      </c>
      <c r="C17" s="1" t="s">
        <v>162</v>
      </c>
      <c r="D17" s="1" t="s">
        <v>88</v>
      </c>
      <c r="E17" s="1" t="s">
        <v>87</v>
      </c>
      <c r="F17" s="1" t="s">
        <v>149</v>
      </c>
      <c r="G17" s="1" t="s">
        <v>81</v>
      </c>
      <c r="H17" s="1" t="s">
        <v>93</v>
      </c>
      <c r="I17" s="103">
        <v>-99583029</v>
      </c>
      <c r="J17" s="103"/>
      <c r="K17" s="103"/>
      <c r="L17" s="103"/>
      <c r="M17" s="103"/>
      <c r="N17" s="103"/>
      <c r="O17" s="103"/>
      <c r="Q17" s="1">
        <v>2026</v>
      </c>
      <c r="R17" s="1" t="s">
        <v>162</v>
      </c>
      <c r="S17" s="1" t="s">
        <v>88</v>
      </c>
      <c r="T17" s="1" t="s">
        <v>87</v>
      </c>
      <c r="U17" s="1" t="s">
        <v>149</v>
      </c>
      <c r="V17" s="1" t="s">
        <v>81</v>
      </c>
      <c r="W17" s="1" t="s">
        <v>93</v>
      </c>
      <c r="X17" s="103"/>
      <c r="Y17" s="103"/>
      <c r="Z17" s="103"/>
      <c r="AA17" s="103"/>
      <c r="AB17" s="103"/>
      <c r="AC17" s="103"/>
      <c r="AD17" s="103"/>
    </row>
    <row r="18" spans="2:30" x14ac:dyDescent="0.3">
      <c r="B18" s="1">
        <v>2026</v>
      </c>
      <c r="C18" s="1" t="s">
        <v>167</v>
      </c>
      <c r="E18" s="1"/>
      <c r="F18" s="1"/>
      <c r="G18" s="1"/>
      <c r="H18" s="1"/>
      <c r="I18" s="103">
        <v>152227553.00000003</v>
      </c>
      <c r="J18" s="103">
        <v>90457562.927999988</v>
      </c>
      <c r="K18" s="103">
        <v>35936555.999999993</v>
      </c>
      <c r="L18" s="103">
        <v>9010414</v>
      </c>
      <c r="M18" s="103">
        <v>8819906</v>
      </c>
      <c r="N18" s="103">
        <v>8153422</v>
      </c>
      <c r="O18" s="103"/>
      <c r="Q18" s="1">
        <v>2026</v>
      </c>
      <c r="R18" s="1" t="s">
        <v>167</v>
      </c>
      <c r="X18" s="103"/>
      <c r="Y18" s="103">
        <v>45976177.614358917</v>
      </c>
      <c r="Z18" s="103">
        <v>42337066.733376503</v>
      </c>
      <c r="AA18" s="103">
        <v>10524820.832683271</v>
      </c>
      <c r="AB18" s="103">
        <v>8963409.4412000012</v>
      </c>
      <c r="AC18" s="103">
        <v>15914399.142599998</v>
      </c>
      <c r="AD18" s="103"/>
    </row>
    <row r="19" spans="2:30" x14ac:dyDescent="0.3">
      <c r="B19" s="1">
        <v>2026</v>
      </c>
      <c r="C19" s="1" t="s">
        <v>80</v>
      </c>
      <c r="D19" s="1" t="s">
        <v>88</v>
      </c>
      <c r="E19" s="1" t="s">
        <v>87</v>
      </c>
      <c r="F19" s="1" t="s">
        <v>149</v>
      </c>
      <c r="G19" s="1" t="s">
        <v>81</v>
      </c>
      <c r="H19" s="1" t="s">
        <v>83</v>
      </c>
      <c r="I19" s="103">
        <v>141164774</v>
      </c>
      <c r="J19" s="103"/>
      <c r="K19" s="103"/>
      <c r="L19" s="103"/>
      <c r="M19" s="103"/>
      <c r="N19" s="103"/>
      <c r="O19" s="103"/>
      <c r="Q19" s="1">
        <v>2026</v>
      </c>
      <c r="R19" s="1" t="s">
        <v>80</v>
      </c>
      <c r="S19" s="1" t="s">
        <v>88</v>
      </c>
      <c r="T19" s="1" t="s">
        <v>87</v>
      </c>
      <c r="U19" s="1" t="s">
        <v>149</v>
      </c>
      <c r="V19" s="1" t="s">
        <v>81</v>
      </c>
      <c r="W19" s="1" t="s">
        <v>83</v>
      </c>
      <c r="X19" s="103">
        <v>141164774</v>
      </c>
      <c r="Y19" s="103"/>
      <c r="Z19" s="103"/>
      <c r="AA19" s="103"/>
      <c r="AB19" s="103"/>
      <c r="AC19" s="103"/>
      <c r="AD19" s="103"/>
    </row>
    <row r="20" spans="2:30" x14ac:dyDescent="0.3">
      <c r="B20" s="1">
        <v>2026</v>
      </c>
      <c r="C20" s="1" t="s">
        <v>80</v>
      </c>
      <c r="D20" s="1" t="s">
        <v>88</v>
      </c>
      <c r="E20" s="1" t="s">
        <v>87</v>
      </c>
      <c r="F20" s="1" t="s">
        <v>149</v>
      </c>
      <c r="G20" s="1" t="s">
        <v>81</v>
      </c>
      <c r="H20" s="1" t="s">
        <v>93</v>
      </c>
      <c r="I20" s="103">
        <v>-59216875.999999993</v>
      </c>
      <c r="J20" s="103"/>
      <c r="K20" s="103"/>
      <c r="L20" s="103"/>
      <c r="M20" s="103"/>
      <c r="N20" s="103"/>
      <c r="O20" s="103"/>
      <c r="Q20" s="1">
        <v>2026</v>
      </c>
      <c r="R20" s="1" t="s">
        <v>80</v>
      </c>
      <c r="S20" s="1" t="s">
        <v>88</v>
      </c>
      <c r="T20" s="1" t="s">
        <v>87</v>
      </c>
      <c r="U20" s="1" t="s">
        <v>149</v>
      </c>
      <c r="V20" s="1" t="s">
        <v>81</v>
      </c>
      <c r="W20" s="1" t="s">
        <v>93</v>
      </c>
      <c r="X20" s="103">
        <v>-59216875.999999993</v>
      </c>
      <c r="Y20" s="103"/>
      <c r="Z20" s="103"/>
      <c r="AA20" s="103"/>
      <c r="AB20" s="103"/>
      <c r="AC20" s="103"/>
      <c r="AD20" s="103"/>
    </row>
    <row r="21" spans="2:30" x14ac:dyDescent="0.3">
      <c r="B21" s="1">
        <v>2026</v>
      </c>
      <c r="C21" s="1" t="s">
        <v>80</v>
      </c>
      <c r="D21" s="1" t="s">
        <v>88</v>
      </c>
      <c r="E21" s="2" t="s">
        <v>172</v>
      </c>
      <c r="F21" s="1" t="s">
        <v>172</v>
      </c>
      <c r="G21" s="1" t="s">
        <v>81</v>
      </c>
      <c r="H21" s="1" t="s">
        <v>83</v>
      </c>
      <c r="I21" s="103"/>
      <c r="J21" s="103"/>
      <c r="K21" s="103"/>
      <c r="L21" s="103"/>
      <c r="M21" s="326">
        <v>5778926.0000000019</v>
      </c>
      <c r="N21" s="326">
        <v>6122740.5645000003</v>
      </c>
      <c r="O21" s="103"/>
      <c r="Q21" s="1">
        <v>2026</v>
      </c>
      <c r="R21" s="1" t="s">
        <v>80</v>
      </c>
      <c r="S21" s="1" t="s">
        <v>88</v>
      </c>
      <c r="T21" s="2" t="s">
        <v>172</v>
      </c>
      <c r="U21" s="1" t="s">
        <v>172</v>
      </c>
      <c r="V21" s="1" t="s">
        <v>81</v>
      </c>
      <c r="W21" s="1" t="s">
        <v>83</v>
      </c>
      <c r="X21" s="103"/>
      <c r="Y21" s="103"/>
      <c r="Z21" s="103"/>
      <c r="AA21" s="103"/>
      <c r="AB21" s="103"/>
      <c r="AC21" s="103"/>
      <c r="AD21" s="103"/>
    </row>
    <row r="22" spans="2:30" x14ac:dyDescent="0.3">
      <c r="B22" s="1">
        <v>2026</v>
      </c>
      <c r="C22" s="1" t="s">
        <v>80</v>
      </c>
      <c r="D22" s="1" t="s">
        <v>88</v>
      </c>
      <c r="E22" s="2" t="s">
        <v>172</v>
      </c>
      <c r="F22" s="1" t="s">
        <v>172</v>
      </c>
      <c r="G22" s="1" t="s">
        <v>144</v>
      </c>
      <c r="H22" s="1" t="s">
        <v>83</v>
      </c>
      <c r="I22" s="103"/>
      <c r="J22" s="326">
        <v>17265549.454188678</v>
      </c>
      <c r="K22" s="326">
        <v>9202504.1204424165</v>
      </c>
      <c r="L22" s="326">
        <v>2735581.8299562335</v>
      </c>
      <c r="M22" s="103"/>
      <c r="N22" s="103"/>
      <c r="O22" s="103"/>
      <c r="Q22" s="1">
        <v>2026</v>
      </c>
      <c r="R22" s="1" t="s">
        <v>80</v>
      </c>
      <c r="S22" s="1" t="s">
        <v>88</v>
      </c>
      <c r="T22" s="2" t="s">
        <v>172</v>
      </c>
      <c r="U22" s="1" t="s">
        <v>172</v>
      </c>
      <c r="V22" s="1" t="s">
        <v>144</v>
      </c>
      <c r="W22" s="1" t="s">
        <v>83</v>
      </c>
      <c r="X22" s="103"/>
      <c r="Y22" s="103"/>
      <c r="Z22" s="103"/>
      <c r="AA22" s="103"/>
      <c r="AB22" s="103"/>
      <c r="AC22" s="103"/>
      <c r="AD22" s="103"/>
    </row>
    <row r="23" spans="2:30" x14ac:dyDescent="0.3">
      <c r="B23" s="1">
        <v>2026</v>
      </c>
      <c r="C23" s="1" t="s">
        <v>80</v>
      </c>
      <c r="D23" s="1" t="s">
        <v>88</v>
      </c>
      <c r="E23" s="2" t="s">
        <v>172</v>
      </c>
      <c r="F23" s="1" t="s">
        <v>172</v>
      </c>
      <c r="G23" s="1" t="s">
        <v>143</v>
      </c>
      <c r="H23" s="1" t="s">
        <v>83</v>
      </c>
      <c r="I23" s="103"/>
      <c r="J23" s="326">
        <v>16791454.162601285</v>
      </c>
      <c r="K23" s="326">
        <v>9167913.8911045715</v>
      </c>
      <c r="L23" s="326">
        <v>6558778.3147787722</v>
      </c>
      <c r="M23" s="103"/>
      <c r="N23" s="103"/>
      <c r="O23" s="103"/>
      <c r="Q23" s="1">
        <v>2026</v>
      </c>
      <c r="R23" s="1" t="s">
        <v>80</v>
      </c>
      <c r="S23" s="1" t="s">
        <v>88</v>
      </c>
      <c r="T23" s="2" t="s">
        <v>172</v>
      </c>
      <c r="U23" s="1" t="s">
        <v>172</v>
      </c>
      <c r="V23" s="1" t="s">
        <v>143</v>
      </c>
      <c r="W23" s="1" t="s">
        <v>83</v>
      </c>
      <c r="X23" s="103"/>
      <c r="Y23" s="103"/>
      <c r="Z23" s="103"/>
      <c r="AA23" s="103"/>
      <c r="AB23" s="103"/>
      <c r="AC23" s="103"/>
      <c r="AD23" s="103"/>
    </row>
    <row r="24" spans="2:30" x14ac:dyDescent="0.3">
      <c r="B24" s="1">
        <v>2026</v>
      </c>
      <c r="C24" s="1" t="s">
        <v>80</v>
      </c>
      <c r="D24" s="1" t="s">
        <v>88</v>
      </c>
      <c r="E24" s="2" t="s">
        <v>172</v>
      </c>
      <c r="F24" s="1" t="s">
        <v>172</v>
      </c>
      <c r="G24" s="1" t="s">
        <v>141</v>
      </c>
      <c r="H24" s="1" t="s">
        <v>83</v>
      </c>
      <c r="I24" s="103"/>
      <c r="J24" s="326">
        <v>34222221.7058824</v>
      </c>
      <c r="K24" s="103"/>
      <c r="L24" s="103"/>
      <c r="M24" s="103"/>
      <c r="N24" s="103"/>
      <c r="O24" s="103"/>
      <c r="Q24" s="1">
        <v>2026</v>
      </c>
      <c r="R24" s="1" t="s">
        <v>80</v>
      </c>
      <c r="S24" s="1" t="s">
        <v>88</v>
      </c>
      <c r="T24" s="2" t="s">
        <v>172</v>
      </c>
      <c r="U24" s="1" t="s">
        <v>172</v>
      </c>
      <c r="V24" s="1" t="s">
        <v>141</v>
      </c>
      <c r="W24" s="1" t="s">
        <v>83</v>
      </c>
      <c r="X24" s="103"/>
      <c r="Y24" s="103"/>
      <c r="Z24" s="103"/>
      <c r="AA24" s="103"/>
      <c r="AB24" s="103"/>
      <c r="AC24" s="103"/>
      <c r="AD24" s="103"/>
    </row>
    <row r="25" spans="2:30" x14ac:dyDescent="0.3">
      <c r="B25" s="1">
        <v>2026</v>
      </c>
      <c r="C25" s="1" t="s">
        <v>164</v>
      </c>
      <c r="E25" s="1"/>
      <c r="F25" s="1"/>
      <c r="G25" s="1"/>
      <c r="H25" s="1"/>
      <c r="I25" s="103">
        <v>81947898</v>
      </c>
      <c r="J25" s="103">
        <v>68279225.322672367</v>
      </c>
      <c r="K25" s="103">
        <v>18370418.011546988</v>
      </c>
      <c r="L25" s="103">
        <v>9294360.1447350048</v>
      </c>
      <c r="M25" s="103">
        <v>5778926.0000000019</v>
      </c>
      <c r="N25" s="103">
        <v>6122740.5645000003</v>
      </c>
      <c r="O25" s="103"/>
      <c r="Q25" s="1">
        <v>2026</v>
      </c>
      <c r="R25" s="1" t="s">
        <v>164</v>
      </c>
      <c r="X25" s="103">
        <v>81947898</v>
      </c>
      <c r="Y25" s="103"/>
      <c r="Z25" s="103"/>
      <c r="AA25" s="103"/>
      <c r="AB25" s="103"/>
      <c r="AC25" s="103"/>
      <c r="AD25" s="103"/>
    </row>
    <row r="26" spans="2:30" x14ac:dyDescent="0.3">
      <c r="B26" s="1">
        <v>2026</v>
      </c>
      <c r="C26" s="1" t="s">
        <v>87</v>
      </c>
      <c r="D26" s="1" t="s">
        <v>177</v>
      </c>
      <c r="E26" s="2" t="s">
        <v>172</v>
      </c>
      <c r="F26" s="1" t="s">
        <v>172</v>
      </c>
      <c r="G26" s="1" t="s">
        <v>81</v>
      </c>
      <c r="H26" s="1" t="s">
        <v>83</v>
      </c>
      <c r="I26" s="127">
        <v>203330050.50388041</v>
      </c>
      <c r="J26" s="103"/>
      <c r="K26" s="103"/>
      <c r="L26" s="103"/>
      <c r="M26" s="103">
        <v>7255543</v>
      </c>
      <c r="N26" s="103">
        <v>0</v>
      </c>
      <c r="O26" s="328">
        <v>2378590.0000000005</v>
      </c>
      <c r="Q26" s="1">
        <v>2026</v>
      </c>
      <c r="R26" s="1" t="s">
        <v>87</v>
      </c>
      <c r="S26" s="1" t="s">
        <v>177</v>
      </c>
      <c r="T26" s="2" t="s">
        <v>172</v>
      </c>
      <c r="U26" s="1" t="s">
        <v>172</v>
      </c>
      <c r="V26" s="1" t="s">
        <v>81</v>
      </c>
      <c r="W26" s="1" t="s">
        <v>83</v>
      </c>
      <c r="X26" s="103"/>
      <c r="Y26" s="103"/>
      <c r="Z26" s="103"/>
      <c r="AA26" s="103"/>
      <c r="AB26" s="127">
        <v>0</v>
      </c>
      <c r="AC26" s="127">
        <v>7261730.7633000007</v>
      </c>
      <c r="AD26" s="127">
        <v>0</v>
      </c>
    </row>
    <row r="27" spans="2:30" x14ac:dyDescent="0.3">
      <c r="B27" s="1">
        <v>2026</v>
      </c>
      <c r="C27" s="1" t="s">
        <v>87</v>
      </c>
      <c r="D27" s="1" t="s">
        <v>177</v>
      </c>
      <c r="E27" s="2" t="s">
        <v>172</v>
      </c>
      <c r="F27" s="1" t="s">
        <v>172</v>
      </c>
      <c r="G27" s="1" t="s">
        <v>81</v>
      </c>
      <c r="H27" s="1" t="s">
        <v>93</v>
      </c>
      <c r="I27" s="127">
        <v>-82304999.822557956</v>
      </c>
      <c r="J27" s="103"/>
      <c r="K27" s="103"/>
      <c r="L27" s="103"/>
      <c r="M27" s="103"/>
      <c r="N27" s="103"/>
      <c r="O27" s="103"/>
      <c r="Q27" s="1">
        <v>2026</v>
      </c>
      <c r="R27" s="1" t="s">
        <v>87</v>
      </c>
      <c r="S27" s="1" t="s">
        <v>177</v>
      </c>
      <c r="T27" s="2" t="s">
        <v>172</v>
      </c>
      <c r="U27" s="1" t="s">
        <v>172</v>
      </c>
      <c r="V27" s="1" t="s">
        <v>81</v>
      </c>
      <c r="W27" s="1" t="s">
        <v>93</v>
      </c>
      <c r="X27" s="103"/>
      <c r="Y27" s="103"/>
      <c r="Z27" s="103"/>
      <c r="AA27" s="103"/>
      <c r="AB27" s="327"/>
      <c r="AC27" s="327"/>
      <c r="AD27" s="103"/>
    </row>
    <row r="28" spans="2:30" x14ac:dyDescent="0.3">
      <c r="B28" s="1">
        <v>2026</v>
      </c>
      <c r="C28" s="1" t="s">
        <v>87</v>
      </c>
      <c r="D28" s="1" t="s">
        <v>177</v>
      </c>
      <c r="E28" s="2" t="s">
        <v>172</v>
      </c>
      <c r="F28" s="1" t="s">
        <v>172</v>
      </c>
      <c r="G28" s="1" t="s">
        <v>144</v>
      </c>
      <c r="H28" s="1" t="s">
        <v>83</v>
      </c>
      <c r="I28" s="103"/>
      <c r="J28" s="103">
        <v>0</v>
      </c>
      <c r="K28" s="103">
        <v>0</v>
      </c>
      <c r="L28" s="103">
        <v>0</v>
      </c>
      <c r="M28" s="103"/>
      <c r="N28" s="103"/>
      <c r="O28" s="103"/>
      <c r="Q28" s="1">
        <v>2026</v>
      </c>
      <c r="R28" s="1" t="s">
        <v>87</v>
      </c>
      <c r="S28" s="1" t="s">
        <v>177</v>
      </c>
      <c r="T28" s="2" t="s">
        <v>172</v>
      </c>
      <c r="U28" s="1" t="s">
        <v>172</v>
      </c>
      <c r="V28" s="1" t="s">
        <v>144</v>
      </c>
      <c r="W28" s="1" t="s">
        <v>83</v>
      </c>
      <c r="X28" s="103"/>
      <c r="Y28" s="127">
        <v>11104182.509999998</v>
      </c>
      <c r="Z28" s="127">
        <v>10173825.2499763</v>
      </c>
      <c r="AA28" s="127">
        <v>7249876.2400275199</v>
      </c>
      <c r="AB28" s="327"/>
      <c r="AC28" s="327"/>
      <c r="AD28" s="103"/>
    </row>
    <row r="29" spans="2:30" x14ac:dyDescent="0.3">
      <c r="B29" s="1">
        <v>2026</v>
      </c>
      <c r="C29" s="1" t="s">
        <v>87</v>
      </c>
      <c r="D29" s="1" t="s">
        <v>177</v>
      </c>
      <c r="E29" s="2" t="s">
        <v>172</v>
      </c>
      <c r="F29" s="1" t="s">
        <v>172</v>
      </c>
      <c r="G29" s="1" t="s">
        <v>143</v>
      </c>
      <c r="H29" s="1" t="s">
        <v>83</v>
      </c>
      <c r="I29" s="103"/>
      <c r="J29" s="103">
        <v>0</v>
      </c>
      <c r="K29" s="103">
        <v>0</v>
      </c>
      <c r="L29" s="103">
        <v>0</v>
      </c>
      <c r="M29" s="103"/>
      <c r="N29" s="103"/>
      <c r="O29" s="103"/>
      <c r="Q29" s="1">
        <v>2026</v>
      </c>
      <c r="R29" s="1" t="s">
        <v>87</v>
      </c>
      <c r="S29" s="1" t="s">
        <v>177</v>
      </c>
      <c r="T29" s="2" t="s">
        <v>172</v>
      </c>
      <c r="U29" s="1" t="s">
        <v>172</v>
      </c>
      <c r="V29" s="1" t="s">
        <v>143</v>
      </c>
      <c r="W29" s="1" t="s">
        <v>83</v>
      </c>
      <c r="X29" s="103"/>
      <c r="Y29" s="127">
        <v>14355291.357857144</v>
      </c>
      <c r="Z29" s="127">
        <v>5460548.1701785726</v>
      </c>
      <c r="AA29" s="127">
        <v>4291110.9878571425</v>
      </c>
      <c r="AB29" s="327"/>
      <c r="AC29" s="327"/>
      <c r="AD29" s="103"/>
    </row>
    <row r="30" spans="2:30" x14ac:dyDescent="0.3">
      <c r="B30" s="1">
        <v>2026</v>
      </c>
      <c r="C30" s="1" t="s">
        <v>165</v>
      </c>
      <c r="E30" s="1"/>
      <c r="F30" s="1"/>
      <c r="G30" s="1"/>
      <c r="H30" s="1"/>
      <c r="I30" s="103">
        <v>121025050.68132246</v>
      </c>
      <c r="J30" s="103">
        <v>0</v>
      </c>
      <c r="K30" s="103">
        <v>0</v>
      </c>
      <c r="L30" s="103">
        <v>0</v>
      </c>
      <c r="M30" s="103">
        <v>7255543</v>
      </c>
      <c r="N30" s="103">
        <v>0</v>
      </c>
      <c r="O30" s="103">
        <v>2378590.0000000005</v>
      </c>
      <c r="Q30" s="1">
        <v>2026</v>
      </c>
      <c r="R30" s="1" t="s">
        <v>165</v>
      </c>
      <c r="X30" s="103"/>
      <c r="Y30" s="103">
        <v>25459473.867857143</v>
      </c>
      <c r="Z30" s="103">
        <v>15634373.420154873</v>
      </c>
      <c r="AA30" s="103">
        <v>11540987.227884661</v>
      </c>
      <c r="AB30" s="103">
        <v>0</v>
      </c>
      <c r="AC30" s="103">
        <v>7261730.7633000007</v>
      </c>
      <c r="AD30" s="103">
        <v>0</v>
      </c>
    </row>
    <row r="31" spans="2:30" x14ac:dyDescent="0.3">
      <c r="B31" s="1" t="s">
        <v>150</v>
      </c>
      <c r="E31" s="1"/>
      <c r="F31" s="1"/>
      <c r="G31" s="1"/>
      <c r="H31" s="1"/>
      <c r="I31" s="103">
        <v>355200501.68132246</v>
      </c>
      <c r="J31" s="103">
        <v>169994246.25067234</v>
      </c>
      <c r="K31" s="103">
        <v>61784482.011546992</v>
      </c>
      <c r="L31" s="103">
        <v>19295367.144735005</v>
      </c>
      <c r="M31" s="103">
        <v>26904150</v>
      </c>
      <c r="N31" s="103">
        <v>18669248.5645</v>
      </c>
      <c r="O31" s="103">
        <v>2378590.0000000005</v>
      </c>
      <c r="Q31" s="1" t="s">
        <v>150</v>
      </c>
      <c r="X31" s="103">
        <v>81947898</v>
      </c>
      <c r="Y31" s="103">
        <v>71435651.48221606</v>
      </c>
      <c r="Z31" s="103">
        <v>57971440.153531373</v>
      </c>
      <c r="AA31" s="103">
        <v>22065808.06056793</v>
      </c>
      <c r="AB31" s="103">
        <v>8963409.4412000012</v>
      </c>
      <c r="AC31" s="103">
        <v>23176129.905899998</v>
      </c>
      <c r="AD31" s="103">
        <v>0</v>
      </c>
    </row>
    <row r="32" spans="2:30" ht="14.5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2:14" ht="14.5" x14ac:dyDescent="0.3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5" x14ac:dyDescent="0.35">
      <c r="B34"/>
      <c r="C34"/>
      <c r="D34"/>
      <c r="E34"/>
      <c r="F34"/>
      <c r="G34"/>
      <c r="H34"/>
      <c r="I34"/>
      <c r="J34"/>
      <c r="K34"/>
    </row>
    <row r="35" spans="2:14" ht="14.5" x14ac:dyDescent="0.35">
      <c r="B35"/>
      <c r="C35"/>
      <c r="D35"/>
      <c r="E35"/>
      <c r="F35"/>
      <c r="G35"/>
      <c r="H35"/>
      <c r="I35"/>
      <c r="J35"/>
      <c r="K35"/>
    </row>
    <row r="36" spans="2:14" ht="14.5" x14ac:dyDescent="0.35">
      <c r="B36"/>
      <c r="C36"/>
      <c r="D36"/>
      <c r="E36"/>
      <c r="F36"/>
      <c r="G36"/>
      <c r="H36"/>
      <c r="I36"/>
      <c r="J36"/>
      <c r="K36"/>
    </row>
    <row r="37" spans="2:14" ht="14.5" x14ac:dyDescent="0.35">
      <c r="B37"/>
      <c r="C37"/>
      <c r="D37"/>
      <c r="E37"/>
      <c r="F37"/>
      <c r="G37"/>
      <c r="H37"/>
      <c r="I37"/>
      <c r="J37"/>
      <c r="K37"/>
    </row>
    <row r="38" spans="2:14" ht="14.5" x14ac:dyDescent="0.35">
      <c r="B38"/>
      <c r="C38"/>
      <c r="D38"/>
      <c r="E38"/>
      <c r="F38"/>
      <c r="G38"/>
      <c r="H38"/>
      <c r="I38"/>
      <c r="J38"/>
      <c r="K38"/>
    </row>
    <row r="39" spans="2:14" ht="14.5" x14ac:dyDescent="0.35">
      <c r="B39"/>
      <c r="C39"/>
      <c r="D39"/>
      <c r="E39"/>
      <c r="F39"/>
      <c r="G39"/>
      <c r="H39"/>
      <c r="I39"/>
      <c r="J39"/>
      <c r="K39"/>
    </row>
    <row r="40" spans="2:14" ht="14.5" x14ac:dyDescent="0.35">
      <c r="B40"/>
      <c r="C40"/>
      <c r="D40"/>
      <c r="E40"/>
      <c r="F40"/>
      <c r="G40"/>
      <c r="H40"/>
      <c r="I40"/>
      <c r="J40"/>
      <c r="K40"/>
    </row>
    <row r="41" spans="2:14" ht="14.5" x14ac:dyDescent="0.35">
      <c r="B41"/>
      <c r="C41"/>
      <c r="D41"/>
      <c r="E41"/>
      <c r="F41"/>
      <c r="G41"/>
      <c r="H41"/>
      <c r="I41"/>
      <c r="J41"/>
      <c r="K41"/>
    </row>
  </sheetData>
  <pageMargins left="0.7" right="0.7" top="0.75" bottom="0.75" header="0.3" footer="0.3"/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C421-79EE-4F8D-AE0D-339DB2BA0F29}">
  <sheetPr filterMode="1">
    <tabColor rgb="FFC00000"/>
  </sheetPr>
  <dimension ref="B1:AF388"/>
  <sheetViews>
    <sheetView topLeftCell="B1" workbookViewId="0">
      <pane ySplit="4" topLeftCell="A327" activePane="bottomLeft" state="frozen"/>
      <selection pane="bottomLeft" activeCell="B341" sqref="A341:XFD352"/>
    </sheetView>
  </sheetViews>
  <sheetFormatPr defaultRowHeight="14.5" x14ac:dyDescent="0.35"/>
  <cols>
    <col min="1" max="1" width="3.08984375" customWidth="1"/>
    <col min="2" max="2" width="4.08984375" style="36" customWidth="1"/>
    <col min="3" max="3" width="11" style="36" customWidth="1"/>
    <col min="4" max="4" width="6.54296875" style="36" customWidth="1"/>
    <col min="5" max="5" width="10.08984375" style="36" bestFit="1" customWidth="1"/>
    <col min="6" max="6" width="11.7265625" style="36" customWidth="1"/>
    <col min="7" max="7" width="8.7265625" style="86" bestFit="1" customWidth="1"/>
    <col min="8" max="8" width="10.453125" style="91" bestFit="1" customWidth="1"/>
    <col min="9" max="9" width="15" style="36" bestFit="1" customWidth="1"/>
    <col min="10" max="10" width="6" bestFit="1" customWidth="1"/>
    <col min="11" max="11" width="5" bestFit="1" customWidth="1"/>
    <col min="12" max="12" width="8" style="36" bestFit="1" customWidth="1"/>
    <col min="13" max="13" width="15" style="49" bestFit="1" customWidth="1"/>
    <col min="14" max="14" width="8.54296875" style="58" bestFit="1" customWidth="1"/>
    <col min="15" max="15" width="11.08984375" style="58" customWidth="1"/>
    <col min="16" max="16" width="15.1796875" bestFit="1" customWidth="1"/>
    <col min="17" max="17" width="6" bestFit="1" customWidth="1"/>
    <col min="18" max="18" width="7.54296875" style="47" customWidth="1"/>
    <col min="19" max="19" width="6.26953125" style="47" bestFit="1" customWidth="1"/>
    <col min="20" max="20" width="18" style="36" bestFit="1" customWidth="1"/>
    <col min="21" max="21" width="22.7265625" style="36" bestFit="1" customWidth="1"/>
    <col min="22" max="22" width="9.36328125" style="36" customWidth="1"/>
    <col min="23" max="23" width="6.54296875" bestFit="1" customWidth="1"/>
    <col min="24" max="24" width="9.36328125" style="91" bestFit="1" customWidth="1"/>
    <col min="25" max="25" width="5" style="110" bestFit="1" customWidth="1"/>
    <col min="26" max="26" width="15" style="49" bestFit="1" customWidth="1"/>
    <col min="27" max="27" width="8.54296875" style="58" bestFit="1" customWidth="1"/>
    <col min="28" max="28" width="9.90625" style="58" customWidth="1"/>
    <col min="29" max="29" width="15.1796875" bestFit="1" customWidth="1"/>
    <col min="30" max="30" width="7.90625" customWidth="1"/>
    <col min="31" max="31" width="7.54296875" style="47" customWidth="1"/>
    <col min="32" max="32" width="6" bestFit="1" customWidth="1"/>
  </cols>
  <sheetData>
    <row r="1" spans="2:32" s="1" customFormat="1" ht="13" x14ac:dyDescent="0.3">
      <c r="B1" s="10"/>
      <c r="C1" s="12"/>
      <c r="D1" s="12"/>
      <c r="E1" s="12"/>
      <c r="F1" s="12"/>
      <c r="G1" s="83"/>
      <c r="H1" s="93"/>
      <c r="I1" s="12"/>
      <c r="J1" s="8"/>
      <c r="K1" s="8"/>
      <c r="L1" s="12"/>
      <c r="M1" s="50"/>
      <c r="N1" s="54"/>
      <c r="O1" s="54"/>
      <c r="P1" s="30"/>
      <c r="Q1" s="30"/>
      <c r="R1" s="59"/>
      <c r="S1" s="43"/>
      <c r="T1" s="12"/>
      <c r="U1" s="12"/>
      <c r="V1" s="12"/>
      <c r="W1" s="8"/>
      <c r="X1" s="88"/>
      <c r="Y1" s="107"/>
      <c r="Z1" s="50"/>
      <c r="AA1" s="54"/>
      <c r="AB1" s="54"/>
      <c r="AC1" s="30"/>
      <c r="AD1" s="30"/>
      <c r="AE1" s="59"/>
      <c r="AF1" s="38"/>
    </row>
    <row r="2" spans="2:32" s="1" customFormat="1" ht="13" x14ac:dyDescent="0.3">
      <c r="B2" s="10"/>
      <c r="C2" s="12"/>
      <c r="D2" s="92" t="s">
        <v>136</v>
      </c>
      <c r="E2" s="12"/>
      <c r="F2" s="12"/>
      <c r="G2" s="83"/>
      <c r="H2" s="93"/>
      <c r="I2" s="12"/>
      <c r="J2" s="8"/>
      <c r="K2" s="8"/>
      <c r="L2" s="12"/>
      <c r="M2" s="50"/>
      <c r="N2" s="54"/>
      <c r="O2" s="54"/>
      <c r="P2" s="30"/>
      <c r="Q2" s="30"/>
      <c r="R2" s="59"/>
      <c r="S2" s="43"/>
      <c r="T2" s="12"/>
      <c r="U2" s="12"/>
      <c r="V2" s="12"/>
      <c r="W2" s="8"/>
      <c r="X2" s="88"/>
      <c r="Y2" s="107"/>
      <c r="Z2" s="50"/>
      <c r="AA2" s="54"/>
      <c r="AB2" s="54"/>
      <c r="AC2" s="30"/>
      <c r="AD2" s="30"/>
      <c r="AE2" s="59"/>
      <c r="AF2" s="38"/>
    </row>
    <row r="3" spans="2:32" s="1" customFormat="1" ht="13" x14ac:dyDescent="0.3">
      <c r="B3" s="10"/>
      <c r="C3" s="12"/>
      <c r="D3" s="12"/>
      <c r="E3" s="12"/>
      <c r="F3" s="12"/>
      <c r="G3" s="83"/>
      <c r="H3" s="93"/>
      <c r="I3" s="12"/>
      <c r="J3" s="8"/>
      <c r="K3" s="8"/>
      <c r="L3" s="12"/>
      <c r="M3" s="50"/>
      <c r="N3" s="54"/>
      <c r="O3" s="54"/>
      <c r="P3" s="30"/>
      <c r="Q3" s="30"/>
      <c r="R3" s="59"/>
      <c r="S3" s="43"/>
      <c r="T3" s="12"/>
      <c r="U3" s="12"/>
      <c r="V3" s="12"/>
      <c r="W3" s="8"/>
      <c r="X3" s="88"/>
      <c r="Y3" s="107"/>
      <c r="Z3" s="50"/>
      <c r="AA3" s="54"/>
      <c r="AB3" s="54"/>
      <c r="AC3" s="30"/>
      <c r="AD3" s="30"/>
      <c r="AE3" s="59"/>
      <c r="AF3" s="38"/>
    </row>
    <row r="4" spans="2:32" s="40" customFormat="1" ht="23.5" x14ac:dyDescent="0.3">
      <c r="B4" s="41" t="s">
        <v>18</v>
      </c>
      <c r="C4" s="41" t="s">
        <v>19</v>
      </c>
      <c r="D4" s="41" t="s">
        <v>171</v>
      </c>
      <c r="E4" s="41" t="s">
        <v>169</v>
      </c>
      <c r="F4" s="41" t="s">
        <v>170</v>
      </c>
      <c r="G4" s="84" t="s">
        <v>92</v>
      </c>
      <c r="H4" s="89" t="s">
        <v>27</v>
      </c>
      <c r="I4" s="41" t="s">
        <v>21</v>
      </c>
      <c r="J4" s="39" t="s">
        <v>20</v>
      </c>
      <c r="K4" s="39" t="s">
        <v>22</v>
      </c>
      <c r="L4" s="41" t="s">
        <v>23</v>
      </c>
      <c r="M4" s="51" t="s">
        <v>84</v>
      </c>
      <c r="N4" s="55" t="s">
        <v>86</v>
      </c>
      <c r="O4" s="55" t="s">
        <v>94</v>
      </c>
      <c r="P4" s="42" t="s">
        <v>85</v>
      </c>
      <c r="Q4" s="42" t="s">
        <v>91</v>
      </c>
      <c r="R4" s="44" t="s">
        <v>95</v>
      </c>
      <c r="S4" s="44" t="s">
        <v>24</v>
      </c>
      <c r="T4" s="41" t="s">
        <v>25</v>
      </c>
      <c r="U4" s="41" t="s">
        <v>26</v>
      </c>
      <c r="V4" s="41" t="s">
        <v>82</v>
      </c>
      <c r="W4" s="42" t="s">
        <v>89</v>
      </c>
      <c r="X4" s="89" t="s">
        <v>168</v>
      </c>
      <c r="Y4" s="108" t="s">
        <v>22</v>
      </c>
      <c r="Z4" s="51" t="s">
        <v>127</v>
      </c>
      <c r="AA4" s="55" t="s">
        <v>128</v>
      </c>
      <c r="AB4" s="55" t="s">
        <v>129</v>
      </c>
      <c r="AC4" s="42" t="s">
        <v>130</v>
      </c>
      <c r="AD4" s="42" t="s">
        <v>131</v>
      </c>
      <c r="AE4" s="44" t="s">
        <v>132</v>
      </c>
      <c r="AF4" s="39" t="s">
        <v>133</v>
      </c>
    </row>
    <row r="5" spans="2:32" s="1" customFormat="1" ht="13" hidden="1" x14ac:dyDescent="0.3">
      <c r="B5" s="12">
        <v>2026</v>
      </c>
      <c r="C5" s="12" t="s">
        <v>34</v>
      </c>
      <c r="D5" s="12" t="s">
        <v>80</v>
      </c>
      <c r="E5" s="12" t="s">
        <v>88</v>
      </c>
      <c r="F5" s="12" t="s">
        <v>87</v>
      </c>
      <c r="G5" s="83">
        <v>46230</v>
      </c>
      <c r="H5" s="93">
        <v>478270</v>
      </c>
      <c r="I5" s="12" t="s">
        <v>29</v>
      </c>
      <c r="J5" s="8" t="str">
        <f>IFERROR(VLOOKUP(I5,Map!$F$18:$G$56,2,0),"Add in Map")</f>
        <v>3P</v>
      </c>
      <c r="K5" s="8" t="str">
        <f>VLOOKUP(L5,Map!$C$18:$D$29,2,0)</f>
        <v>CNT</v>
      </c>
      <c r="L5" s="12" t="s">
        <v>31</v>
      </c>
      <c r="M5" s="52">
        <v>24645502.89876033</v>
      </c>
      <c r="N5" s="56">
        <f t="shared" ref="N5:N15" si="0">IF(L5="TOTAL",(M5*0.19),0)</f>
        <v>0</v>
      </c>
      <c r="O5" s="56">
        <f>M5*1.19</f>
        <v>29328148.44952479</v>
      </c>
      <c r="P5" s="31">
        <f t="shared" ref="P5:P14" si="1">M5/S5</f>
        <v>26672.62218480555</v>
      </c>
      <c r="Q5" s="31">
        <f t="shared" ref="Q5:Q15" si="2">IF(L5="TOTAL",(P5*0.19),0)</f>
        <v>0</v>
      </c>
      <c r="R5" s="60">
        <f>P5*1.19</f>
        <v>31740.420399918603</v>
      </c>
      <c r="S5" s="45">
        <f>INDEX(FX!$D$3:$O$19,MATCH(B5,FX!$B$3:$B$32,0),MATCH(D5,FX!$D$2:$O$2,0))</f>
        <v>924</v>
      </c>
      <c r="T5" s="12" t="s">
        <v>81</v>
      </c>
      <c r="U5" s="12" t="s">
        <v>32</v>
      </c>
      <c r="V5" s="12" t="s">
        <v>83</v>
      </c>
      <c r="W5" s="8" t="str">
        <f>VLOOKUP(I5,Map!$F$18:$H$51,3,0)</f>
        <v>Variable</v>
      </c>
      <c r="X5" s="88" t="s">
        <v>149</v>
      </c>
      <c r="Y5" s="107" t="str">
        <f>VLOOKUP(L5,Map!$C$18:$D$29,2,0)</f>
        <v>CNT</v>
      </c>
      <c r="Z5" s="52">
        <v>24645502.89876033</v>
      </c>
      <c r="AA5" s="56">
        <f t="shared" ref="AA5:AA28" si="3">IF(Y5="TOTAL",(Z5*0.19),0)</f>
        <v>0</v>
      </c>
      <c r="AB5" s="56">
        <f>Z5*1.19</f>
        <v>29328148.44952479</v>
      </c>
      <c r="AC5" s="31">
        <f t="shared" ref="AC5:AC28" si="4">Z5/S5</f>
        <v>26672.62218480555</v>
      </c>
      <c r="AD5" s="31">
        <f t="shared" ref="AD5:AD28" si="5">IF(Y5="TOTAL",(AC5*0.19),0)</f>
        <v>0</v>
      </c>
      <c r="AE5" s="60">
        <f>AC5*1.19</f>
        <v>31740.420399918603</v>
      </c>
      <c r="AF5" s="8"/>
    </row>
    <row r="6" spans="2:32" s="1" customFormat="1" ht="13" hidden="1" x14ac:dyDescent="0.3">
      <c r="B6" s="12">
        <v>2026</v>
      </c>
      <c r="C6" s="12" t="s">
        <v>34</v>
      </c>
      <c r="D6" s="12" t="s">
        <v>80</v>
      </c>
      <c r="E6" s="12" t="s">
        <v>88</v>
      </c>
      <c r="F6" s="12" t="s">
        <v>87</v>
      </c>
      <c r="G6" s="83">
        <v>46230</v>
      </c>
      <c r="H6" s="93">
        <v>478270</v>
      </c>
      <c r="I6" s="12" t="s">
        <v>29</v>
      </c>
      <c r="J6" s="8" t="str">
        <f>IFERROR(VLOOKUP(I6,Map!$F$18:$G$56,2,0),"Add in Map")</f>
        <v>3P</v>
      </c>
      <c r="K6" s="8" t="str">
        <f>VLOOKUP(L6,Map!$C$18:$D$29,2,0)</f>
        <v>CVT</v>
      </c>
      <c r="L6" s="12" t="s">
        <v>36</v>
      </c>
      <c r="M6" s="52">
        <v>291662.75619834714</v>
      </c>
      <c r="N6" s="56">
        <f t="shared" si="0"/>
        <v>0</v>
      </c>
      <c r="O6" s="56">
        <f t="shared" ref="O6:O15" si="6">M6*1.19</f>
        <v>347078.6798760331</v>
      </c>
      <c r="P6" s="31">
        <f t="shared" si="1"/>
        <v>315.65233354799471</v>
      </c>
      <c r="Q6" s="31">
        <f t="shared" si="2"/>
        <v>0</v>
      </c>
      <c r="R6" s="60">
        <f t="shared" ref="R6:R28" si="7">P6*1.19</f>
        <v>375.62627692211368</v>
      </c>
      <c r="S6" s="45">
        <f>INDEX(FX!$D$3:$O$19,MATCH(B6,FX!$B$3:$B$32,0),MATCH(D6,FX!$D$2:$O$2,0))</f>
        <v>924</v>
      </c>
      <c r="T6" s="12" t="s">
        <v>81</v>
      </c>
      <c r="U6" s="12" t="s">
        <v>32</v>
      </c>
      <c r="V6" s="12" t="s">
        <v>83</v>
      </c>
      <c r="W6" s="8" t="str">
        <f>VLOOKUP(I6,Map!$F$18:$H$51,3,0)</f>
        <v>Variable</v>
      </c>
      <c r="X6" s="88" t="s">
        <v>149</v>
      </c>
      <c r="Y6" s="107" t="str">
        <f>VLOOKUP(L6,Map!$C$18:$D$29,2,0)</f>
        <v>CVT</v>
      </c>
      <c r="Z6" s="52">
        <v>291662.75619834714</v>
      </c>
      <c r="AA6" s="56">
        <f t="shared" si="3"/>
        <v>0</v>
      </c>
      <c r="AB6" s="56">
        <f t="shared" ref="AB6:AB28" si="8">Z6*1.19</f>
        <v>347078.6798760331</v>
      </c>
      <c r="AC6" s="31">
        <f t="shared" si="4"/>
        <v>315.65233354799471</v>
      </c>
      <c r="AD6" s="31">
        <f t="shared" si="5"/>
        <v>0</v>
      </c>
      <c r="AE6" s="60">
        <f t="shared" ref="AE6:AE28" si="9">AC6*1.19</f>
        <v>375.62627692211368</v>
      </c>
      <c r="AF6" s="8"/>
    </row>
    <row r="7" spans="2:32" s="1" customFormat="1" ht="13" hidden="1" x14ac:dyDescent="0.3">
      <c r="B7" s="12">
        <v>2026</v>
      </c>
      <c r="C7" s="12" t="s">
        <v>34</v>
      </c>
      <c r="D7" s="12" t="s">
        <v>80</v>
      </c>
      <c r="E7" s="12" t="s">
        <v>88</v>
      </c>
      <c r="F7" s="12" t="s">
        <v>87</v>
      </c>
      <c r="G7" s="83">
        <v>46230</v>
      </c>
      <c r="H7" s="93">
        <v>478270</v>
      </c>
      <c r="I7" s="12" t="s">
        <v>29</v>
      </c>
      <c r="J7" s="8" t="str">
        <f>IFERROR(VLOOKUP(I7,Map!$F$18:$G$56,2,0),"Add in Map")</f>
        <v>3P</v>
      </c>
      <c r="K7" s="8" t="str">
        <f>VLOOKUP(L7,Map!$C$18:$D$29,2,0)</f>
        <v>CDT</v>
      </c>
      <c r="L7" s="12" t="s">
        <v>38</v>
      </c>
      <c r="M7" s="52">
        <v>1020819.6466942149</v>
      </c>
      <c r="N7" s="56">
        <f t="shared" si="0"/>
        <v>0</v>
      </c>
      <c r="O7" s="56">
        <f t="shared" si="6"/>
        <v>1214775.3795661156</v>
      </c>
      <c r="P7" s="31">
        <f t="shared" si="1"/>
        <v>1104.7831674179815</v>
      </c>
      <c r="Q7" s="31">
        <f t="shared" si="2"/>
        <v>0</v>
      </c>
      <c r="R7" s="60">
        <f t="shared" si="7"/>
        <v>1314.691969227398</v>
      </c>
      <c r="S7" s="45">
        <f>INDEX(FX!$D$3:$O$19,MATCH(B7,FX!$B$3:$B$32,0),MATCH(D7,FX!$D$2:$O$2,0))</f>
        <v>924</v>
      </c>
      <c r="T7" s="12" t="s">
        <v>81</v>
      </c>
      <c r="U7" s="12" t="s">
        <v>32</v>
      </c>
      <c r="V7" s="12" t="s">
        <v>83</v>
      </c>
      <c r="W7" s="8" t="str">
        <f>VLOOKUP(I7,Map!$F$18:$H$51,3,0)</f>
        <v>Variable</v>
      </c>
      <c r="X7" s="88" t="s">
        <v>149</v>
      </c>
      <c r="Y7" s="107" t="str">
        <f>VLOOKUP(L7,Map!$C$18:$D$29,2,0)</f>
        <v>CDT</v>
      </c>
      <c r="Z7" s="52">
        <v>1020819.6466942149</v>
      </c>
      <c r="AA7" s="56">
        <f t="shared" si="3"/>
        <v>0</v>
      </c>
      <c r="AB7" s="56">
        <f t="shared" si="8"/>
        <v>1214775.3795661156</v>
      </c>
      <c r="AC7" s="31">
        <f t="shared" si="4"/>
        <v>1104.7831674179815</v>
      </c>
      <c r="AD7" s="31">
        <f t="shared" si="5"/>
        <v>0</v>
      </c>
      <c r="AE7" s="60">
        <f t="shared" si="9"/>
        <v>1314.691969227398</v>
      </c>
      <c r="AF7" s="8"/>
    </row>
    <row r="8" spans="2:32" s="1" customFormat="1" ht="13" hidden="1" x14ac:dyDescent="0.3">
      <c r="B8" s="12">
        <v>2026</v>
      </c>
      <c r="C8" s="12" t="s">
        <v>34</v>
      </c>
      <c r="D8" s="12" t="s">
        <v>80</v>
      </c>
      <c r="E8" s="12" t="s">
        <v>88</v>
      </c>
      <c r="F8" s="12" t="s">
        <v>87</v>
      </c>
      <c r="G8" s="83">
        <v>46230</v>
      </c>
      <c r="H8" s="93">
        <v>478270</v>
      </c>
      <c r="I8" s="12" t="s">
        <v>29</v>
      </c>
      <c r="J8" s="8" t="str">
        <f>IFERROR(VLOOKUP(I8,Map!$F$18:$G$56,2,0),"Add in Map")</f>
        <v>3P</v>
      </c>
      <c r="K8" s="8" t="str">
        <f>VLOOKUP(L8,Map!$C$18:$D$29,2,0)</f>
        <v>DFT</v>
      </c>
      <c r="L8" s="12" t="s">
        <v>40</v>
      </c>
      <c r="M8" s="52">
        <v>73207351.80578512</v>
      </c>
      <c r="N8" s="56">
        <f t="shared" si="0"/>
        <v>0</v>
      </c>
      <c r="O8" s="56">
        <f t="shared" si="6"/>
        <v>87116748.648884282</v>
      </c>
      <c r="P8" s="31">
        <f t="shared" si="1"/>
        <v>79228.735720546669</v>
      </c>
      <c r="Q8" s="31">
        <f t="shared" si="2"/>
        <v>0</v>
      </c>
      <c r="R8" s="60">
        <f t="shared" si="7"/>
        <v>94282.195507450539</v>
      </c>
      <c r="S8" s="45">
        <f>INDEX(FX!$D$3:$O$19,MATCH(B8,FX!$B$3:$B$32,0),MATCH(D8,FX!$D$2:$O$2,0))</f>
        <v>924</v>
      </c>
      <c r="T8" s="12" t="s">
        <v>81</v>
      </c>
      <c r="U8" s="12" t="s">
        <v>32</v>
      </c>
      <c r="V8" s="12" t="s">
        <v>83</v>
      </c>
      <c r="W8" s="8" t="str">
        <f>VLOOKUP(I8,Map!$F$18:$H$51,3,0)</f>
        <v>Variable</v>
      </c>
      <c r="X8" s="88" t="s">
        <v>149</v>
      </c>
      <c r="Y8" s="107" t="str">
        <f>VLOOKUP(L8,Map!$C$18:$D$29,2,0)</f>
        <v>DFT</v>
      </c>
      <c r="Z8" s="52">
        <v>73207351.80578512</v>
      </c>
      <c r="AA8" s="56">
        <f t="shared" si="3"/>
        <v>0</v>
      </c>
      <c r="AB8" s="56">
        <f t="shared" si="8"/>
        <v>87116748.648884282</v>
      </c>
      <c r="AC8" s="31">
        <f t="shared" si="4"/>
        <v>79228.735720546669</v>
      </c>
      <c r="AD8" s="31">
        <f t="shared" si="5"/>
        <v>0</v>
      </c>
      <c r="AE8" s="60">
        <f t="shared" si="9"/>
        <v>94282.195507450539</v>
      </c>
      <c r="AF8" s="8"/>
    </row>
    <row r="9" spans="2:32" s="1" customFormat="1" ht="13" hidden="1" x14ac:dyDescent="0.3">
      <c r="B9" s="12">
        <v>2026</v>
      </c>
      <c r="C9" s="12" t="s">
        <v>34</v>
      </c>
      <c r="D9" s="12" t="s">
        <v>80</v>
      </c>
      <c r="E9" s="12" t="s">
        <v>88</v>
      </c>
      <c r="F9" s="12" t="s">
        <v>87</v>
      </c>
      <c r="G9" s="83">
        <v>46230</v>
      </c>
      <c r="H9" s="93">
        <v>478270</v>
      </c>
      <c r="I9" s="12" t="s">
        <v>29</v>
      </c>
      <c r="J9" s="8" t="str">
        <f>IFERROR(VLOOKUP(I9,Map!$F$18:$G$56,2,0),"Add in Map")</f>
        <v>3P</v>
      </c>
      <c r="K9" s="8" t="str">
        <f>VLOOKUP(L9,Map!$C$18:$D$29,2,0)</f>
        <v>DVT</v>
      </c>
      <c r="L9" s="12" t="s">
        <v>42</v>
      </c>
      <c r="M9" s="52">
        <v>145831.37809917357</v>
      </c>
      <c r="N9" s="56">
        <f t="shared" si="0"/>
        <v>0</v>
      </c>
      <c r="O9" s="56">
        <f t="shared" si="6"/>
        <v>173539.33993801655</v>
      </c>
      <c r="P9" s="31">
        <f t="shared" si="1"/>
        <v>157.82616677399736</v>
      </c>
      <c r="Q9" s="31">
        <f t="shared" si="2"/>
        <v>0</v>
      </c>
      <c r="R9" s="60">
        <f t="shared" si="7"/>
        <v>187.81313846105684</v>
      </c>
      <c r="S9" s="45">
        <f>INDEX(FX!$D$3:$O$19,MATCH(B9,FX!$B$3:$B$32,0),MATCH(D9,FX!$D$2:$O$2,0))</f>
        <v>924</v>
      </c>
      <c r="T9" s="12" t="s">
        <v>81</v>
      </c>
      <c r="U9" s="12" t="s">
        <v>32</v>
      </c>
      <c r="V9" s="12" t="s">
        <v>83</v>
      </c>
      <c r="W9" s="8" t="str">
        <f>VLOOKUP(I9,Map!$F$18:$H$51,3,0)</f>
        <v>Variable</v>
      </c>
      <c r="X9" s="88" t="s">
        <v>149</v>
      </c>
      <c r="Y9" s="107" t="str">
        <f>VLOOKUP(L9,Map!$C$18:$D$29,2,0)</f>
        <v>DVT</v>
      </c>
      <c r="Z9" s="52">
        <v>145831.37809917357</v>
      </c>
      <c r="AA9" s="56">
        <f t="shared" si="3"/>
        <v>0</v>
      </c>
      <c r="AB9" s="56">
        <f t="shared" si="8"/>
        <v>173539.33993801655</v>
      </c>
      <c r="AC9" s="31">
        <f t="shared" si="4"/>
        <v>157.82616677399736</v>
      </c>
      <c r="AD9" s="31">
        <f t="shared" si="5"/>
        <v>0</v>
      </c>
      <c r="AE9" s="60">
        <f t="shared" si="9"/>
        <v>187.81313846105684</v>
      </c>
      <c r="AF9" s="8"/>
    </row>
    <row r="10" spans="2:32" s="1" customFormat="1" ht="13" hidden="1" x14ac:dyDescent="0.3">
      <c r="B10" s="12">
        <v>2026</v>
      </c>
      <c r="C10" s="12" t="s">
        <v>34</v>
      </c>
      <c r="D10" s="12" t="s">
        <v>80</v>
      </c>
      <c r="E10" s="12" t="s">
        <v>88</v>
      </c>
      <c r="F10" s="12" t="s">
        <v>87</v>
      </c>
      <c r="G10" s="83">
        <v>46230</v>
      </c>
      <c r="H10" s="93">
        <v>478270</v>
      </c>
      <c r="I10" s="12" t="s">
        <v>29</v>
      </c>
      <c r="J10" s="8" t="str">
        <f>IFERROR(VLOOKUP(I10,Map!$F$18:$G$56,2,0),"Add in Map")</f>
        <v>3P</v>
      </c>
      <c r="K10" s="8" t="str">
        <f>VLOOKUP(L10,Map!$C$18:$D$29,2,0)</f>
        <v>GLT</v>
      </c>
      <c r="L10" s="12" t="s">
        <v>44</v>
      </c>
      <c r="M10" s="52">
        <v>34707867.987603307</v>
      </c>
      <c r="N10" s="56">
        <f t="shared" si="0"/>
        <v>0</v>
      </c>
      <c r="O10" s="56">
        <f t="shared" si="6"/>
        <v>41302362.905247934</v>
      </c>
      <c r="P10" s="31">
        <f t="shared" si="1"/>
        <v>37562.627692211368</v>
      </c>
      <c r="Q10" s="31">
        <f t="shared" si="2"/>
        <v>0</v>
      </c>
      <c r="R10" s="60">
        <f t="shared" si="7"/>
        <v>44699.526953731525</v>
      </c>
      <c r="S10" s="45">
        <f>INDEX(FX!$D$3:$O$19,MATCH(B10,FX!$B$3:$B$32,0),MATCH(D10,FX!$D$2:$O$2,0))</f>
        <v>924</v>
      </c>
      <c r="T10" s="12" t="s">
        <v>81</v>
      </c>
      <c r="U10" s="12" t="s">
        <v>32</v>
      </c>
      <c r="V10" s="12" t="s">
        <v>83</v>
      </c>
      <c r="W10" s="8" t="str">
        <f>VLOOKUP(I10,Map!$F$18:$H$51,3,0)</f>
        <v>Variable</v>
      </c>
      <c r="X10" s="88" t="s">
        <v>149</v>
      </c>
      <c r="Y10" s="107" t="str">
        <f>VLOOKUP(L10,Map!$C$18:$D$29,2,0)</f>
        <v>GLT</v>
      </c>
      <c r="Z10" s="52">
        <v>34707867.987603307</v>
      </c>
      <c r="AA10" s="56">
        <f t="shared" si="3"/>
        <v>0</v>
      </c>
      <c r="AB10" s="56">
        <f t="shared" si="8"/>
        <v>41302362.905247934</v>
      </c>
      <c r="AC10" s="31">
        <f t="shared" si="4"/>
        <v>37562.627692211368</v>
      </c>
      <c r="AD10" s="31">
        <f t="shared" si="5"/>
        <v>0</v>
      </c>
      <c r="AE10" s="60">
        <f t="shared" si="9"/>
        <v>44699.526953731525</v>
      </c>
      <c r="AF10" s="8"/>
    </row>
    <row r="11" spans="2:32" s="1" customFormat="1" ht="13" hidden="1" x14ac:dyDescent="0.3">
      <c r="B11" s="12">
        <v>2026</v>
      </c>
      <c r="C11" s="12" t="s">
        <v>34</v>
      </c>
      <c r="D11" s="12" t="s">
        <v>80</v>
      </c>
      <c r="E11" s="12" t="s">
        <v>88</v>
      </c>
      <c r="F11" s="12" t="s">
        <v>87</v>
      </c>
      <c r="G11" s="83">
        <v>46230</v>
      </c>
      <c r="H11" s="93">
        <v>478270</v>
      </c>
      <c r="I11" s="12" t="s">
        <v>29</v>
      </c>
      <c r="J11" s="8" t="str">
        <f>IFERROR(VLOOKUP(I11,Map!$F$18:$G$56,2,0),"Add in Map")</f>
        <v>3P</v>
      </c>
      <c r="K11" s="8" t="str">
        <f>VLOOKUP(L11,Map!$C$18:$D$29,2,0)</f>
        <v>PNT</v>
      </c>
      <c r="L11" s="12" t="s">
        <v>46</v>
      </c>
      <c r="M11" s="52">
        <v>2187470.6714876033</v>
      </c>
      <c r="N11" s="56">
        <f t="shared" si="0"/>
        <v>0</v>
      </c>
      <c r="O11" s="56">
        <f t="shared" si="6"/>
        <v>2603090.0990702477</v>
      </c>
      <c r="P11" s="31">
        <f t="shared" si="1"/>
        <v>2367.3925016099602</v>
      </c>
      <c r="Q11" s="31">
        <f t="shared" si="2"/>
        <v>0</v>
      </c>
      <c r="R11" s="60">
        <f t="shared" si="7"/>
        <v>2817.1970769158524</v>
      </c>
      <c r="S11" s="45">
        <f>INDEX(FX!$D$3:$O$19,MATCH(B11,FX!$B$3:$B$32,0),MATCH(D11,FX!$D$2:$O$2,0))</f>
        <v>924</v>
      </c>
      <c r="T11" s="12" t="s">
        <v>81</v>
      </c>
      <c r="U11" s="12" t="s">
        <v>32</v>
      </c>
      <c r="V11" s="12" t="s">
        <v>83</v>
      </c>
      <c r="W11" s="8" t="str">
        <f>VLOOKUP(I11,Map!$F$18:$H$51,3,0)</f>
        <v>Variable</v>
      </c>
      <c r="X11" s="88" t="s">
        <v>149</v>
      </c>
      <c r="Y11" s="107" t="str">
        <f>VLOOKUP(L11,Map!$C$18:$D$29,2,0)</f>
        <v>PNT</v>
      </c>
      <c r="Z11" s="52">
        <v>2187470.6714876033</v>
      </c>
      <c r="AA11" s="56">
        <f t="shared" si="3"/>
        <v>0</v>
      </c>
      <c r="AB11" s="56">
        <f t="shared" si="8"/>
        <v>2603090.0990702477</v>
      </c>
      <c r="AC11" s="31">
        <f t="shared" si="4"/>
        <v>2367.3925016099602</v>
      </c>
      <c r="AD11" s="31">
        <f t="shared" si="5"/>
        <v>0</v>
      </c>
      <c r="AE11" s="60">
        <f t="shared" si="9"/>
        <v>2817.1970769158524</v>
      </c>
      <c r="AF11" s="8"/>
    </row>
    <row r="12" spans="2:32" s="1" customFormat="1" ht="13" hidden="1" x14ac:dyDescent="0.3">
      <c r="B12" s="12">
        <v>2026</v>
      </c>
      <c r="C12" s="12" t="s">
        <v>34</v>
      </c>
      <c r="D12" s="12" t="s">
        <v>80</v>
      </c>
      <c r="E12" s="12" t="s">
        <v>88</v>
      </c>
      <c r="F12" s="12" t="s">
        <v>87</v>
      </c>
      <c r="G12" s="83">
        <v>46230</v>
      </c>
      <c r="H12" s="93">
        <v>478270</v>
      </c>
      <c r="I12" s="12" t="s">
        <v>29</v>
      </c>
      <c r="J12" s="8" t="str">
        <f>IFERROR(VLOOKUP(I12,Map!$F$18:$G$56,2,0),"Add in Map")</f>
        <v>3P</v>
      </c>
      <c r="K12" s="8" t="str">
        <f>VLOOKUP(L12,Map!$C$18:$D$29,2,0)</f>
        <v>GTT</v>
      </c>
      <c r="L12" s="12" t="s">
        <v>48</v>
      </c>
      <c r="M12" s="52">
        <v>3645784.4524793387</v>
      </c>
      <c r="N12" s="56">
        <f t="shared" si="0"/>
        <v>0</v>
      </c>
      <c r="O12" s="56">
        <f t="shared" si="6"/>
        <v>4338483.4984504133</v>
      </c>
      <c r="P12" s="31">
        <f t="shared" si="1"/>
        <v>3945.6541693499339</v>
      </c>
      <c r="Q12" s="31">
        <f t="shared" si="2"/>
        <v>0</v>
      </c>
      <c r="R12" s="60">
        <f t="shared" si="7"/>
        <v>4695.3284615264211</v>
      </c>
      <c r="S12" s="45">
        <f>INDEX(FX!$D$3:$O$19,MATCH(B12,FX!$B$3:$B$32,0),MATCH(D12,FX!$D$2:$O$2,0))</f>
        <v>924</v>
      </c>
      <c r="T12" s="12" t="s">
        <v>81</v>
      </c>
      <c r="U12" s="12" t="s">
        <v>32</v>
      </c>
      <c r="V12" s="12" t="s">
        <v>83</v>
      </c>
      <c r="W12" s="8" t="str">
        <f>VLOOKUP(I12,Map!$F$18:$H$51,3,0)</f>
        <v>Variable</v>
      </c>
      <c r="X12" s="88" t="s">
        <v>149</v>
      </c>
      <c r="Y12" s="107" t="str">
        <f>VLOOKUP(L12,Map!$C$18:$D$29,2,0)</f>
        <v>GTT</v>
      </c>
      <c r="Z12" s="52">
        <v>3645784.4524793387</v>
      </c>
      <c r="AA12" s="56">
        <f t="shared" si="3"/>
        <v>0</v>
      </c>
      <c r="AB12" s="56">
        <f t="shared" si="8"/>
        <v>4338483.4984504133</v>
      </c>
      <c r="AC12" s="31">
        <f t="shared" si="4"/>
        <v>3945.6541693499339</v>
      </c>
      <c r="AD12" s="31">
        <f t="shared" si="5"/>
        <v>0</v>
      </c>
      <c r="AE12" s="60">
        <f t="shared" si="9"/>
        <v>4695.3284615264211</v>
      </c>
      <c r="AF12" s="8"/>
    </row>
    <row r="13" spans="2:32" s="1" customFormat="1" ht="13" hidden="1" x14ac:dyDescent="0.3">
      <c r="B13" s="12">
        <v>2026</v>
      </c>
      <c r="C13" s="12" t="s">
        <v>34</v>
      </c>
      <c r="D13" s="12" t="s">
        <v>80</v>
      </c>
      <c r="E13" s="12" t="s">
        <v>88</v>
      </c>
      <c r="F13" s="12" t="s">
        <v>87</v>
      </c>
      <c r="G13" s="83">
        <v>46230</v>
      </c>
      <c r="H13" s="93">
        <v>478270</v>
      </c>
      <c r="I13" s="12" t="s">
        <v>29</v>
      </c>
      <c r="J13" s="8" t="str">
        <f>IFERROR(VLOOKUP(I13,Map!$F$18:$G$56,2,0),"Add in Map")</f>
        <v>3P</v>
      </c>
      <c r="K13" s="8" t="str">
        <f>VLOOKUP(L13,Map!$C$18:$D$29,2,0)</f>
        <v>DGT</v>
      </c>
      <c r="L13" s="12" t="s">
        <v>50</v>
      </c>
      <c r="M13" s="52">
        <v>1020819.6466942149</v>
      </c>
      <c r="N13" s="56">
        <f t="shared" si="0"/>
        <v>0</v>
      </c>
      <c r="O13" s="56">
        <f t="shared" si="6"/>
        <v>1214775.3795661156</v>
      </c>
      <c r="P13" s="31">
        <f t="shared" si="1"/>
        <v>1104.7831674179815</v>
      </c>
      <c r="Q13" s="31">
        <f t="shared" si="2"/>
        <v>0</v>
      </c>
      <c r="R13" s="60">
        <f t="shared" si="7"/>
        <v>1314.691969227398</v>
      </c>
      <c r="S13" s="45">
        <f>INDEX(FX!$D$3:$O$19,MATCH(B13,FX!$B$3:$B$32,0),MATCH(D13,FX!$D$2:$O$2,0))</f>
        <v>924</v>
      </c>
      <c r="T13" s="12" t="s">
        <v>81</v>
      </c>
      <c r="U13" s="12" t="s">
        <v>32</v>
      </c>
      <c r="V13" s="12" t="s">
        <v>83</v>
      </c>
      <c r="W13" s="8" t="str">
        <f>VLOOKUP(I13,Map!$F$18:$H$51,3,0)</f>
        <v>Variable</v>
      </c>
      <c r="X13" s="88" t="s">
        <v>149</v>
      </c>
      <c r="Y13" s="107" t="str">
        <f>VLOOKUP(L13,Map!$C$18:$D$29,2,0)</f>
        <v>DGT</v>
      </c>
      <c r="Z13" s="52">
        <v>1020819.6466942149</v>
      </c>
      <c r="AA13" s="56">
        <f t="shared" si="3"/>
        <v>0</v>
      </c>
      <c r="AB13" s="56">
        <f t="shared" si="8"/>
        <v>1214775.3795661156</v>
      </c>
      <c r="AC13" s="31">
        <f t="shared" si="4"/>
        <v>1104.7831674179815</v>
      </c>
      <c r="AD13" s="31">
        <f t="shared" si="5"/>
        <v>0</v>
      </c>
      <c r="AE13" s="60">
        <f t="shared" si="9"/>
        <v>1314.691969227398</v>
      </c>
      <c r="AF13" s="8"/>
    </row>
    <row r="14" spans="2:32" s="1" customFormat="1" ht="13" hidden="1" x14ac:dyDescent="0.3">
      <c r="B14" s="12">
        <v>2026</v>
      </c>
      <c r="C14" s="12" t="s">
        <v>34</v>
      </c>
      <c r="D14" s="12" t="s">
        <v>80</v>
      </c>
      <c r="E14" s="12" t="s">
        <v>88</v>
      </c>
      <c r="F14" s="12" t="s">
        <v>87</v>
      </c>
      <c r="G14" s="83">
        <v>46230</v>
      </c>
      <c r="H14" s="93">
        <v>478270</v>
      </c>
      <c r="I14" s="12" t="s">
        <v>29</v>
      </c>
      <c r="J14" s="8" t="str">
        <f>IFERROR(VLOOKUP(I14,Map!$F$18:$G$56,2,0),"Add in Map")</f>
        <v>3P</v>
      </c>
      <c r="K14" s="8" t="str">
        <f>VLOOKUP(L14,Map!$C$18:$D$29,2,0)</f>
        <v>DLT</v>
      </c>
      <c r="L14" s="12" t="s">
        <v>52</v>
      </c>
      <c r="M14" s="52">
        <v>291662.75619834714</v>
      </c>
      <c r="N14" s="56">
        <f t="shared" si="0"/>
        <v>0</v>
      </c>
      <c r="O14" s="56">
        <f t="shared" si="6"/>
        <v>347078.6798760331</v>
      </c>
      <c r="P14" s="31">
        <f t="shared" si="1"/>
        <v>315.65233354799471</v>
      </c>
      <c r="Q14" s="31">
        <f t="shared" si="2"/>
        <v>0</v>
      </c>
      <c r="R14" s="60">
        <f t="shared" si="7"/>
        <v>375.62627692211368</v>
      </c>
      <c r="S14" s="45">
        <f>INDEX(FX!$D$3:$O$19,MATCH(B14,FX!$B$3:$B$32,0),MATCH(D14,FX!$D$2:$O$2,0))</f>
        <v>924</v>
      </c>
      <c r="T14" s="12" t="s">
        <v>81</v>
      </c>
      <c r="U14" s="12" t="s">
        <v>32</v>
      </c>
      <c r="V14" s="12" t="s">
        <v>83</v>
      </c>
      <c r="W14" s="8" t="str">
        <f>VLOOKUP(I14,Map!$F$18:$H$51,3,0)</f>
        <v>Variable</v>
      </c>
      <c r="X14" s="88" t="s">
        <v>149</v>
      </c>
      <c r="Y14" s="107" t="str">
        <f>VLOOKUP(L14,Map!$C$18:$D$29,2,0)</f>
        <v>DLT</v>
      </c>
      <c r="Z14" s="52">
        <v>291662.75619834714</v>
      </c>
      <c r="AA14" s="56">
        <f t="shared" si="3"/>
        <v>0</v>
      </c>
      <c r="AB14" s="56">
        <f t="shared" si="8"/>
        <v>347078.6798760331</v>
      </c>
      <c r="AC14" s="31">
        <f t="shared" si="4"/>
        <v>315.65233354799471</v>
      </c>
      <c r="AD14" s="31">
        <f t="shared" si="5"/>
        <v>0</v>
      </c>
      <c r="AE14" s="60">
        <f t="shared" si="9"/>
        <v>375.62627692211368</v>
      </c>
      <c r="AF14" s="8"/>
    </row>
    <row r="15" spans="2:32" s="1" customFormat="1" ht="13" hidden="1" x14ac:dyDescent="0.3">
      <c r="B15" s="12">
        <v>2026</v>
      </c>
      <c r="C15" s="12" t="s">
        <v>34</v>
      </c>
      <c r="D15" s="12" t="s">
        <v>80</v>
      </c>
      <c r="E15" s="12" t="s">
        <v>88</v>
      </c>
      <c r="F15" s="12" t="s">
        <v>87</v>
      </c>
      <c r="G15" s="83">
        <v>46230</v>
      </c>
      <c r="H15" s="93">
        <v>478270</v>
      </c>
      <c r="I15" s="12" t="s">
        <v>29</v>
      </c>
      <c r="J15" s="8" t="str">
        <f>IFERROR(VLOOKUP(I15,Map!$F$18:$G$56,2,0),"Add in Map")</f>
        <v>3P</v>
      </c>
      <c r="K15" s="8" t="str">
        <f>VLOOKUP(L15,Map!$C$18:$D$29,2,0)</f>
        <v>DMT</v>
      </c>
      <c r="L15" s="12" t="s">
        <v>54</v>
      </c>
      <c r="M15" s="52">
        <v>0</v>
      </c>
      <c r="N15" s="56">
        <f t="shared" si="0"/>
        <v>0</v>
      </c>
      <c r="O15" s="56">
        <f t="shared" si="6"/>
        <v>0</v>
      </c>
      <c r="P15" s="48">
        <v>0</v>
      </c>
      <c r="Q15" s="31">
        <f t="shared" si="2"/>
        <v>0</v>
      </c>
      <c r="R15" s="60">
        <f t="shared" si="7"/>
        <v>0</v>
      </c>
      <c r="S15" s="45">
        <f>INDEX(FX!$D$3:$O$19,MATCH(B15,FX!$B$3:$B$32,0),MATCH(D15,FX!$D$2:$O$2,0))</f>
        <v>924</v>
      </c>
      <c r="T15" s="12" t="s">
        <v>81</v>
      </c>
      <c r="U15" s="12" t="s">
        <v>32</v>
      </c>
      <c r="V15" s="12" t="s">
        <v>83</v>
      </c>
      <c r="W15" s="8" t="str">
        <f>VLOOKUP(I15,Map!$F$18:$H$51,3,0)</f>
        <v>Variable</v>
      </c>
      <c r="X15" s="88" t="s">
        <v>149</v>
      </c>
      <c r="Y15" s="107" t="str">
        <f>VLOOKUP(L15,Map!$C$18:$D$29,2,0)</f>
        <v>DMT</v>
      </c>
      <c r="Z15" s="52">
        <v>0</v>
      </c>
      <c r="AA15" s="56">
        <f t="shared" si="3"/>
        <v>0</v>
      </c>
      <c r="AB15" s="56">
        <f t="shared" si="8"/>
        <v>0</v>
      </c>
      <c r="AC15" s="48">
        <f t="shared" si="4"/>
        <v>0</v>
      </c>
      <c r="AD15" s="31">
        <f t="shared" si="5"/>
        <v>0</v>
      </c>
      <c r="AE15" s="60">
        <f t="shared" si="9"/>
        <v>0</v>
      </c>
      <c r="AF15" s="8"/>
    </row>
    <row r="16" spans="2:32" s="37" customFormat="1" hidden="1" x14ac:dyDescent="0.35">
      <c r="B16" s="13">
        <v>2026</v>
      </c>
      <c r="C16" s="13" t="s">
        <v>34</v>
      </c>
      <c r="D16" s="13" t="s">
        <v>80</v>
      </c>
      <c r="E16" s="13" t="s">
        <v>88</v>
      </c>
      <c r="F16" s="13" t="s">
        <v>87</v>
      </c>
      <c r="G16" s="85">
        <v>46230</v>
      </c>
      <c r="H16" s="94">
        <v>478270</v>
      </c>
      <c r="I16" s="13" t="s">
        <v>29</v>
      </c>
      <c r="J16" s="29" t="str">
        <f>IFERROR(VLOOKUP(I16,Map!$F$18:$G$56,2,0),"Add in Map")</f>
        <v>3P</v>
      </c>
      <c r="K16" s="29" t="str">
        <f>VLOOKUP(L16,Map!$C$18:$D$29,2,0)</f>
        <v>TOTAL</v>
      </c>
      <c r="L16" s="13" t="s">
        <v>56</v>
      </c>
      <c r="M16" s="126">
        <f>SUM(M5:M15)</f>
        <v>141164774</v>
      </c>
      <c r="N16" s="57">
        <f t="shared" ref="N16:N47" si="10">IF(L16="TOTAL",(M16*0.19),0)</f>
        <v>26821307.059999999</v>
      </c>
      <c r="O16" s="57">
        <f t="shared" ref="O16:O47" si="11">M16*1.19</f>
        <v>167986081.06</v>
      </c>
      <c r="P16" s="11">
        <f t="shared" ref="P16:P47" si="12">M16/S16</f>
        <v>152775.72943722943</v>
      </c>
      <c r="Q16" s="11">
        <f t="shared" ref="Q16:Q47" si="13">IF(L16="TOTAL",(P16*0.19),0)</f>
        <v>29027.388593073592</v>
      </c>
      <c r="R16" s="61">
        <f t="shared" si="7"/>
        <v>181803.11803030301</v>
      </c>
      <c r="S16" s="46">
        <f>INDEX(FX!$D$3:$O$19,MATCH(B16,FX!$B$3:$B$32,0),MATCH(D16,FX!$D$2:$O$2,0))</f>
        <v>924</v>
      </c>
      <c r="T16" s="13" t="s">
        <v>81</v>
      </c>
      <c r="U16" s="13" t="s">
        <v>32</v>
      </c>
      <c r="V16" s="13" t="s">
        <v>83</v>
      </c>
      <c r="W16" s="29" t="str">
        <f>VLOOKUP(I16,Map!$F$18:$H$51,3,0)</f>
        <v>Variable</v>
      </c>
      <c r="X16" s="90" t="s">
        <v>149</v>
      </c>
      <c r="Y16" s="109" t="str">
        <f>VLOOKUP(L16,Map!$C$18:$D$29,2,0)</f>
        <v>TOTAL</v>
      </c>
      <c r="Z16" s="53">
        <f>SUM(Z5:Z15)</f>
        <v>141164774</v>
      </c>
      <c r="AA16" s="57">
        <f t="shared" si="3"/>
        <v>26821307.059999999</v>
      </c>
      <c r="AB16" s="57">
        <f t="shared" si="8"/>
        <v>167986081.06</v>
      </c>
      <c r="AC16" s="11">
        <f t="shared" si="4"/>
        <v>152775.72943722943</v>
      </c>
      <c r="AD16" s="11">
        <f t="shared" si="5"/>
        <v>29027.388593073592</v>
      </c>
      <c r="AE16" s="61">
        <f t="shared" si="9"/>
        <v>181803.11803030301</v>
      </c>
      <c r="AF16" s="87" t="s">
        <v>134</v>
      </c>
    </row>
    <row r="17" spans="2:32" s="1" customFormat="1" ht="13" hidden="1" x14ac:dyDescent="0.3">
      <c r="B17" s="12">
        <v>2026</v>
      </c>
      <c r="C17" s="12" t="s">
        <v>34</v>
      </c>
      <c r="D17" s="12" t="s">
        <v>80</v>
      </c>
      <c r="E17" s="12" t="s">
        <v>88</v>
      </c>
      <c r="F17" s="12" t="s">
        <v>87</v>
      </c>
      <c r="G17" s="83">
        <v>46230</v>
      </c>
      <c r="H17" s="93">
        <v>456288</v>
      </c>
      <c r="I17" s="12" t="s">
        <v>29</v>
      </c>
      <c r="J17" s="8" t="str">
        <f>IFERROR(VLOOKUP(I17,Map!$F$18:$G$56,2,0),"Add in Map")</f>
        <v>3P</v>
      </c>
      <c r="K17" s="8" t="str">
        <f>VLOOKUP(L17,Map!$C$18:$D$29,2,0)</f>
        <v>CNT</v>
      </c>
      <c r="L17" s="12" t="s">
        <v>31</v>
      </c>
      <c r="M17" s="50">
        <v>-10338483.516528925</v>
      </c>
      <c r="N17" s="54">
        <f t="shared" si="10"/>
        <v>0</v>
      </c>
      <c r="O17" s="54">
        <f t="shared" si="11"/>
        <v>-12302795.384669419</v>
      </c>
      <c r="P17" s="30">
        <f t="shared" si="12"/>
        <v>-11188.834974598403</v>
      </c>
      <c r="Q17" s="30">
        <f t="shared" si="13"/>
        <v>0</v>
      </c>
      <c r="R17" s="59">
        <f t="shared" si="7"/>
        <v>-13314.713619772099</v>
      </c>
      <c r="S17" s="45">
        <f>INDEX(FX!$D$3:$O$19,MATCH(B17,FX!$B$3:$B$32,0),MATCH(D17,FX!$D$2:$O$2,0))</f>
        <v>924</v>
      </c>
      <c r="T17" s="12" t="s">
        <v>81</v>
      </c>
      <c r="U17" s="12" t="s">
        <v>32</v>
      </c>
      <c r="V17" s="12" t="s">
        <v>93</v>
      </c>
      <c r="W17" s="8" t="str">
        <f>VLOOKUP(I17,Map!$F$18:$H$51,3,0)</f>
        <v>Variable</v>
      </c>
      <c r="X17" s="88" t="s">
        <v>149</v>
      </c>
      <c r="Y17" s="107" t="str">
        <f>VLOOKUP(L17,Map!$C$18:$D$29,2,0)</f>
        <v>CNT</v>
      </c>
      <c r="Z17" s="50">
        <v>-10338483.516528925</v>
      </c>
      <c r="AA17" s="54">
        <f t="shared" si="3"/>
        <v>0</v>
      </c>
      <c r="AB17" s="54">
        <f t="shared" si="8"/>
        <v>-12302795.384669419</v>
      </c>
      <c r="AC17" s="30">
        <f t="shared" si="4"/>
        <v>-11188.834974598403</v>
      </c>
      <c r="AD17" s="30">
        <f t="shared" si="5"/>
        <v>0</v>
      </c>
      <c r="AE17" s="59">
        <f t="shared" si="9"/>
        <v>-13314.713619772099</v>
      </c>
      <c r="AF17" s="8"/>
    </row>
    <row r="18" spans="2:32" s="1" customFormat="1" ht="13" hidden="1" x14ac:dyDescent="0.3">
      <c r="B18" s="12">
        <v>2026</v>
      </c>
      <c r="C18" s="12" t="s">
        <v>34</v>
      </c>
      <c r="D18" s="12" t="s">
        <v>80</v>
      </c>
      <c r="E18" s="12" t="s">
        <v>88</v>
      </c>
      <c r="F18" s="12" t="s">
        <v>87</v>
      </c>
      <c r="G18" s="83">
        <v>46230</v>
      </c>
      <c r="H18" s="93">
        <v>456288</v>
      </c>
      <c r="I18" s="12" t="s">
        <v>29</v>
      </c>
      <c r="J18" s="8" t="str">
        <f>IFERROR(VLOOKUP(I18,Map!$F$18:$G$56,2,0),"Add in Map")</f>
        <v>3P</v>
      </c>
      <c r="K18" s="8" t="str">
        <f>VLOOKUP(L18,Map!$C$18:$D$29,2,0)</f>
        <v>CVT</v>
      </c>
      <c r="L18" s="12" t="s">
        <v>36</v>
      </c>
      <c r="M18" s="50">
        <v>-122348.9173553719</v>
      </c>
      <c r="N18" s="54">
        <f t="shared" si="10"/>
        <v>0</v>
      </c>
      <c r="O18" s="54">
        <f t="shared" si="11"/>
        <v>-145595.21165289255</v>
      </c>
      <c r="P18" s="30">
        <f t="shared" si="12"/>
        <v>-132.41224822009946</v>
      </c>
      <c r="Q18" s="30">
        <f t="shared" si="13"/>
        <v>0</v>
      </c>
      <c r="R18" s="59">
        <f t="shared" si="7"/>
        <v>-157.57057538191836</v>
      </c>
      <c r="S18" s="45">
        <f>INDEX(FX!$D$3:$O$19,MATCH(B18,FX!$B$3:$B$32,0),MATCH(D18,FX!$D$2:$O$2,0))</f>
        <v>924</v>
      </c>
      <c r="T18" s="12" t="s">
        <v>81</v>
      </c>
      <c r="U18" s="12" t="s">
        <v>32</v>
      </c>
      <c r="V18" s="12" t="s">
        <v>93</v>
      </c>
      <c r="W18" s="8" t="str">
        <f>VLOOKUP(I18,Map!$F$18:$H$51,3,0)</f>
        <v>Variable</v>
      </c>
      <c r="X18" s="88" t="s">
        <v>149</v>
      </c>
      <c r="Y18" s="107" t="str">
        <f>VLOOKUP(L18,Map!$C$18:$D$29,2,0)</f>
        <v>CVT</v>
      </c>
      <c r="Z18" s="50">
        <v>-122348.9173553719</v>
      </c>
      <c r="AA18" s="54">
        <f t="shared" si="3"/>
        <v>0</v>
      </c>
      <c r="AB18" s="54">
        <f t="shared" si="8"/>
        <v>-145595.21165289255</v>
      </c>
      <c r="AC18" s="30">
        <f t="shared" si="4"/>
        <v>-132.41224822009946</v>
      </c>
      <c r="AD18" s="30">
        <f t="shared" si="5"/>
        <v>0</v>
      </c>
      <c r="AE18" s="59">
        <f t="shared" si="9"/>
        <v>-157.57057538191836</v>
      </c>
      <c r="AF18" s="8"/>
    </row>
    <row r="19" spans="2:32" s="1" customFormat="1" ht="13" hidden="1" x14ac:dyDescent="0.3">
      <c r="B19" s="12">
        <v>2026</v>
      </c>
      <c r="C19" s="12" t="s">
        <v>34</v>
      </c>
      <c r="D19" s="12" t="s">
        <v>80</v>
      </c>
      <c r="E19" s="12" t="s">
        <v>88</v>
      </c>
      <c r="F19" s="12" t="s">
        <v>87</v>
      </c>
      <c r="G19" s="83">
        <v>46230</v>
      </c>
      <c r="H19" s="93">
        <v>456288</v>
      </c>
      <c r="I19" s="12" t="s">
        <v>29</v>
      </c>
      <c r="J19" s="8" t="str">
        <f>IFERROR(VLOOKUP(I19,Map!$F$18:$G$56,2,0),"Add in Map")</f>
        <v>3P</v>
      </c>
      <c r="K19" s="8" t="str">
        <f>VLOOKUP(L19,Map!$C$18:$D$29,2,0)</f>
        <v>CDT</v>
      </c>
      <c r="L19" s="12" t="s">
        <v>38</v>
      </c>
      <c r="M19" s="50">
        <v>-428221.21074380167</v>
      </c>
      <c r="N19" s="54">
        <f t="shared" si="10"/>
        <v>0</v>
      </c>
      <c r="O19" s="54">
        <f t="shared" si="11"/>
        <v>-509583.24078512395</v>
      </c>
      <c r="P19" s="30">
        <f t="shared" si="12"/>
        <v>-463.44286877034813</v>
      </c>
      <c r="Q19" s="30">
        <f t="shared" si="13"/>
        <v>0</v>
      </c>
      <c r="R19" s="59">
        <f t="shared" si="7"/>
        <v>-551.49701383671425</v>
      </c>
      <c r="S19" s="45">
        <f>INDEX(FX!$D$3:$O$19,MATCH(B19,FX!$B$3:$B$32,0),MATCH(D19,FX!$D$2:$O$2,0))</f>
        <v>924</v>
      </c>
      <c r="T19" s="12" t="s">
        <v>81</v>
      </c>
      <c r="U19" s="12" t="s">
        <v>32</v>
      </c>
      <c r="V19" s="12" t="s">
        <v>93</v>
      </c>
      <c r="W19" s="8" t="str">
        <f>VLOOKUP(I19,Map!$F$18:$H$51,3,0)</f>
        <v>Variable</v>
      </c>
      <c r="X19" s="88" t="s">
        <v>149</v>
      </c>
      <c r="Y19" s="107" t="str">
        <f>VLOOKUP(L19,Map!$C$18:$D$29,2,0)</f>
        <v>CDT</v>
      </c>
      <c r="Z19" s="50">
        <v>-428221.21074380167</v>
      </c>
      <c r="AA19" s="54">
        <f t="shared" si="3"/>
        <v>0</v>
      </c>
      <c r="AB19" s="54">
        <f t="shared" si="8"/>
        <v>-509583.24078512395</v>
      </c>
      <c r="AC19" s="30">
        <f t="shared" si="4"/>
        <v>-463.44286877034813</v>
      </c>
      <c r="AD19" s="30">
        <f t="shared" si="5"/>
        <v>0</v>
      </c>
      <c r="AE19" s="59">
        <f t="shared" si="9"/>
        <v>-551.49701383671425</v>
      </c>
      <c r="AF19" s="8"/>
    </row>
    <row r="20" spans="2:32" s="1" customFormat="1" ht="13" hidden="1" x14ac:dyDescent="0.3">
      <c r="B20" s="12">
        <v>2026</v>
      </c>
      <c r="C20" s="12" t="s">
        <v>34</v>
      </c>
      <c r="D20" s="12" t="s">
        <v>80</v>
      </c>
      <c r="E20" s="12" t="s">
        <v>88</v>
      </c>
      <c r="F20" s="12" t="s">
        <v>87</v>
      </c>
      <c r="G20" s="83">
        <v>46230</v>
      </c>
      <c r="H20" s="93">
        <v>456288</v>
      </c>
      <c r="I20" s="12" t="s">
        <v>29</v>
      </c>
      <c r="J20" s="8" t="str">
        <f>IFERROR(VLOOKUP(I20,Map!$F$18:$G$56,2,0),"Add in Map")</f>
        <v>3P</v>
      </c>
      <c r="K20" s="8" t="str">
        <f>VLOOKUP(L20,Map!$C$18:$D$29,2,0)</f>
        <v>DFT</v>
      </c>
      <c r="L20" s="12" t="s">
        <v>40</v>
      </c>
      <c r="M20" s="50">
        <v>-30709578.256198347</v>
      </c>
      <c r="N20" s="54">
        <f t="shared" si="10"/>
        <v>0</v>
      </c>
      <c r="O20" s="54">
        <f t="shared" si="11"/>
        <v>-36544398.12487603</v>
      </c>
      <c r="P20" s="30">
        <f t="shared" si="12"/>
        <v>-33235.474303244962</v>
      </c>
      <c r="Q20" s="30">
        <f t="shared" si="13"/>
        <v>0</v>
      </c>
      <c r="R20" s="59">
        <f t="shared" si="7"/>
        <v>-39550.214420861506</v>
      </c>
      <c r="S20" s="45">
        <f>INDEX(FX!$D$3:$O$19,MATCH(B20,FX!$B$3:$B$32,0),MATCH(D20,FX!$D$2:$O$2,0))</f>
        <v>924</v>
      </c>
      <c r="T20" s="12" t="s">
        <v>81</v>
      </c>
      <c r="U20" s="12" t="s">
        <v>32</v>
      </c>
      <c r="V20" s="12" t="s">
        <v>93</v>
      </c>
      <c r="W20" s="8" t="str">
        <f>VLOOKUP(I20,Map!$F$18:$H$51,3,0)</f>
        <v>Variable</v>
      </c>
      <c r="X20" s="88" t="s">
        <v>149</v>
      </c>
      <c r="Y20" s="107" t="str">
        <f>VLOOKUP(L20,Map!$C$18:$D$29,2,0)</f>
        <v>DFT</v>
      </c>
      <c r="Z20" s="50">
        <v>-30709578.256198347</v>
      </c>
      <c r="AA20" s="54">
        <f t="shared" si="3"/>
        <v>0</v>
      </c>
      <c r="AB20" s="54">
        <f t="shared" si="8"/>
        <v>-36544398.12487603</v>
      </c>
      <c r="AC20" s="30">
        <f t="shared" si="4"/>
        <v>-33235.474303244962</v>
      </c>
      <c r="AD20" s="30">
        <f t="shared" si="5"/>
        <v>0</v>
      </c>
      <c r="AE20" s="59">
        <f t="shared" si="9"/>
        <v>-39550.214420861506</v>
      </c>
      <c r="AF20" s="8"/>
    </row>
    <row r="21" spans="2:32" s="1" customFormat="1" ht="13" hidden="1" x14ac:dyDescent="0.3">
      <c r="B21" s="12">
        <v>2026</v>
      </c>
      <c r="C21" s="12" t="s">
        <v>34</v>
      </c>
      <c r="D21" s="12" t="s">
        <v>80</v>
      </c>
      <c r="E21" s="12" t="s">
        <v>88</v>
      </c>
      <c r="F21" s="12" t="s">
        <v>87</v>
      </c>
      <c r="G21" s="83">
        <v>46230</v>
      </c>
      <c r="H21" s="93">
        <v>456288</v>
      </c>
      <c r="I21" s="12" t="s">
        <v>29</v>
      </c>
      <c r="J21" s="8" t="str">
        <f>IFERROR(VLOOKUP(I21,Map!$F$18:$G$56,2,0),"Add in Map")</f>
        <v>3P</v>
      </c>
      <c r="K21" s="8" t="str">
        <f>VLOOKUP(L21,Map!$C$18:$D$29,2,0)</f>
        <v>DVT</v>
      </c>
      <c r="L21" s="12" t="s">
        <v>42</v>
      </c>
      <c r="M21" s="50">
        <v>-61174.458677685951</v>
      </c>
      <c r="N21" s="54">
        <f t="shared" si="10"/>
        <v>0</v>
      </c>
      <c r="O21" s="54">
        <f t="shared" si="11"/>
        <v>-72797.605826446277</v>
      </c>
      <c r="P21" s="30">
        <f t="shared" si="12"/>
        <v>-66.206124110049728</v>
      </c>
      <c r="Q21" s="30">
        <f t="shared" si="13"/>
        <v>0</v>
      </c>
      <c r="R21" s="59">
        <f t="shared" si="7"/>
        <v>-78.78528769095918</v>
      </c>
      <c r="S21" s="45">
        <f>INDEX(FX!$D$3:$O$19,MATCH(B21,FX!$B$3:$B$32,0),MATCH(D21,FX!$D$2:$O$2,0))</f>
        <v>924</v>
      </c>
      <c r="T21" s="12" t="s">
        <v>81</v>
      </c>
      <c r="U21" s="12" t="s">
        <v>32</v>
      </c>
      <c r="V21" s="12" t="s">
        <v>93</v>
      </c>
      <c r="W21" s="8" t="str">
        <f>VLOOKUP(I21,Map!$F$18:$H$51,3,0)</f>
        <v>Variable</v>
      </c>
      <c r="X21" s="88" t="s">
        <v>149</v>
      </c>
      <c r="Y21" s="107" t="str">
        <f>VLOOKUP(L21,Map!$C$18:$D$29,2,0)</f>
        <v>DVT</v>
      </c>
      <c r="Z21" s="50">
        <v>-61174.458677685951</v>
      </c>
      <c r="AA21" s="54">
        <f t="shared" si="3"/>
        <v>0</v>
      </c>
      <c r="AB21" s="54">
        <f t="shared" si="8"/>
        <v>-72797.605826446277</v>
      </c>
      <c r="AC21" s="30">
        <f t="shared" si="4"/>
        <v>-66.206124110049728</v>
      </c>
      <c r="AD21" s="30">
        <f t="shared" si="5"/>
        <v>0</v>
      </c>
      <c r="AE21" s="59">
        <f t="shared" si="9"/>
        <v>-78.78528769095918</v>
      </c>
      <c r="AF21" s="8"/>
    </row>
    <row r="22" spans="2:32" s="1" customFormat="1" ht="13" hidden="1" x14ac:dyDescent="0.3">
      <c r="B22" s="12">
        <v>2026</v>
      </c>
      <c r="C22" s="12" t="s">
        <v>34</v>
      </c>
      <c r="D22" s="12" t="s">
        <v>80</v>
      </c>
      <c r="E22" s="12" t="s">
        <v>88</v>
      </c>
      <c r="F22" s="12" t="s">
        <v>87</v>
      </c>
      <c r="G22" s="83">
        <v>46230</v>
      </c>
      <c r="H22" s="93">
        <v>456288</v>
      </c>
      <c r="I22" s="12" t="s">
        <v>29</v>
      </c>
      <c r="J22" s="8" t="str">
        <f>IFERROR(VLOOKUP(I22,Map!$F$18:$G$56,2,0),"Add in Map")</f>
        <v>3P</v>
      </c>
      <c r="K22" s="8" t="str">
        <f>VLOOKUP(L22,Map!$C$18:$D$29,2,0)</f>
        <v>GLT</v>
      </c>
      <c r="L22" s="12" t="s">
        <v>44</v>
      </c>
      <c r="M22" s="50">
        <v>-14559521.165289257</v>
      </c>
      <c r="N22" s="54">
        <f t="shared" si="10"/>
        <v>0</v>
      </c>
      <c r="O22" s="54">
        <f t="shared" si="11"/>
        <v>-17325830.186694216</v>
      </c>
      <c r="P22" s="30">
        <f t="shared" si="12"/>
        <v>-15757.057538191837</v>
      </c>
      <c r="Q22" s="30">
        <f t="shared" si="13"/>
        <v>0</v>
      </c>
      <c r="R22" s="59">
        <f t="shared" si="7"/>
        <v>-18750.898470448286</v>
      </c>
      <c r="S22" s="45">
        <f>INDEX(FX!$D$3:$O$19,MATCH(B22,FX!$B$3:$B$32,0),MATCH(D22,FX!$D$2:$O$2,0))</f>
        <v>924</v>
      </c>
      <c r="T22" s="12" t="s">
        <v>81</v>
      </c>
      <c r="U22" s="12" t="s">
        <v>32</v>
      </c>
      <c r="V22" s="12" t="s">
        <v>93</v>
      </c>
      <c r="W22" s="8" t="str">
        <f>VLOOKUP(I22,Map!$F$18:$H$51,3,0)</f>
        <v>Variable</v>
      </c>
      <c r="X22" s="88" t="s">
        <v>149</v>
      </c>
      <c r="Y22" s="107" t="str">
        <f>VLOOKUP(L22,Map!$C$18:$D$29,2,0)</f>
        <v>GLT</v>
      </c>
      <c r="Z22" s="50">
        <v>-14559521.165289257</v>
      </c>
      <c r="AA22" s="54">
        <f t="shared" si="3"/>
        <v>0</v>
      </c>
      <c r="AB22" s="54">
        <f t="shared" si="8"/>
        <v>-17325830.186694216</v>
      </c>
      <c r="AC22" s="30">
        <f t="shared" si="4"/>
        <v>-15757.057538191837</v>
      </c>
      <c r="AD22" s="30">
        <f t="shared" si="5"/>
        <v>0</v>
      </c>
      <c r="AE22" s="59">
        <f t="shared" si="9"/>
        <v>-18750.898470448286</v>
      </c>
      <c r="AF22" s="8"/>
    </row>
    <row r="23" spans="2:32" s="1" customFormat="1" ht="13" hidden="1" x14ac:dyDescent="0.3">
      <c r="B23" s="12">
        <v>2026</v>
      </c>
      <c r="C23" s="12" t="s">
        <v>34</v>
      </c>
      <c r="D23" s="12" t="s">
        <v>80</v>
      </c>
      <c r="E23" s="12" t="s">
        <v>88</v>
      </c>
      <c r="F23" s="12" t="s">
        <v>87</v>
      </c>
      <c r="G23" s="83">
        <v>46230</v>
      </c>
      <c r="H23" s="93">
        <v>456288</v>
      </c>
      <c r="I23" s="12" t="s">
        <v>29</v>
      </c>
      <c r="J23" s="8" t="str">
        <f>IFERROR(VLOOKUP(I23,Map!$F$18:$G$56,2,0),"Add in Map")</f>
        <v>3P</v>
      </c>
      <c r="K23" s="8" t="str">
        <f>VLOOKUP(L23,Map!$C$18:$D$29,2,0)</f>
        <v>PNT</v>
      </c>
      <c r="L23" s="12" t="s">
        <v>46</v>
      </c>
      <c r="M23" s="50">
        <v>-917616.88016528927</v>
      </c>
      <c r="N23" s="54">
        <f t="shared" si="10"/>
        <v>0</v>
      </c>
      <c r="O23" s="54">
        <f t="shared" si="11"/>
        <v>-1091964.0873966941</v>
      </c>
      <c r="P23" s="30">
        <f t="shared" si="12"/>
        <v>-993.09186165074595</v>
      </c>
      <c r="Q23" s="30">
        <f t="shared" si="13"/>
        <v>0</v>
      </c>
      <c r="R23" s="59">
        <f t="shared" si="7"/>
        <v>-1181.7793153643877</v>
      </c>
      <c r="S23" s="45">
        <f>INDEX(FX!$D$3:$O$19,MATCH(B23,FX!$B$3:$B$32,0),MATCH(D23,FX!$D$2:$O$2,0))</f>
        <v>924</v>
      </c>
      <c r="T23" s="12" t="s">
        <v>81</v>
      </c>
      <c r="U23" s="12" t="s">
        <v>32</v>
      </c>
      <c r="V23" s="12" t="s">
        <v>93</v>
      </c>
      <c r="W23" s="8" t="str">
        <f>VLOOKUP(I23,Map!$F$18:$H$51,3,0)</f>
        <v>Variable</v>
      </c>
      <c r="X23" s="88" t="s">
        <v>149</v>
      </c>
      <c r="Y23" s="107" t="str">
        <f>VLOOKUP(L23,Map!$C$18:$D$29,2,0)</f>
        <v>PNT</v>
      </c>
      <c r="Z23" s="50">
        <v>-917616.88016528927</v>
      </c>
      <c r="AA23" s="54">
        <f t="shared" si="3"/>
        <v>0</v>
      </c>
      <c r="AB23" s="54">
        <f t="shared" si="8"/>
        <v>-1091964.0873966941</v>
      </c>
      <c r="AC23" s="30">
        <f t="shared" si="4"/>
        <v>-993.09186165074595</v>
      </c>
      <c r="AD23" s="30">
        <f t="shared" si="5"/>
        <v>0</v>
      </c>
      <c r="AE23" s="59">
        <f t="shared" si="9"/>
        <v>-1181.7793153643877</v>
      </c>
      <c r="AF23" s="8"/>
    </row>
    <row r="24" spans="2:32" s="1" customFormat="1" ht="13" hidden="1" x14ac:dyDescent="0.3">
      <c r="B24" s="12">
        <v>2026</v>
      </c>
      <c r="C24" s="12" t="s">
        <v>34</v>
      </c>
      <c r="D24" s="12" t="s">
        <v>80</v>
      </c>
      <c r="E24" s="12" t="s">
        <v>88</v>
      </c>
      <c r="F24" s="12" t="s">
        <v>87</v>
      </c>
      <c r="G24" s="83">
        <v>46230</v>
      </c>
      <c r="H24" s="93">
        <v>456288</v>
      </c>
      <c r="I24" s="12" t="s">
        <v>29</v>
      </c>
      <c r="J24" s="8" t="str">
        <f>IFERROR(VLOOKUP(I24,Map!$F$18:$G$56,2,0),"Add in Map")</f>
        <v>3P</v>
      </c>
      <c r="K24" s="8" t="str">
        <f>VLOOKUP(L24,Map!$C$18:$D$29,2,0)</f>
        <v>GTT</v>
      </c>
      <c r="L24" s="12" t="s">
        <v>48</v>
      </c>
      <c r="M24" s="50">
        <v>-1529361.4669421487</v>
      </c>
      <c r="N24" s="54">
        <f t="shared" si="10"/>
        <v>0</v>
      </c>
      <c r="O24" s="54">
        <f t="shared" si="11"/>
        <v>-1819940.1456611569</v>
      </c>
      <c r="P24" s="30">
        <f t="shared" si="12"/>
        <v>-1655.1531027512433</v>
      </c>
      <c r="Q24" s="30">
        <f t="shared" si="13"/>
        <v>0</v>
      </c>
      <c r="R24" s="59">
        <f t="shared" si="7"/>
        <v>-1969.6321922739794</v>
      </c>
      <c r="S24" s="45">
        <f>INDEX(FX!$D$3:$O$19,MATCH(B24,FX!$B$3:$B$32,0),MATCH(D24,FX!$D$2:$O$2,0))</f>
        <v>924</v>
      </c>
      <c r="T24" s="12" t="s">
        <v>81</v>
      </c>
      <c r="U24" s="12" t="s">
        <v>32</v>
      </c>
      <c r="V24" s="12" t="s">
        <v>93</v>
      </c>
      <c r="W24" s="8" t="str">
        <f>VLOOKUP(I24,Map!$F$18:$H$51,3,0)</f>
        <v>Variable</v>
      </c>
      <c r="X24" s="88" t="s">
        <v>149</v>
      </c>
      <c r="Y24" s="107" t="str">
        <f>VLOOKUP(L24,Map!$C$18:$D$29,2,0)</f>
        <v>GTT</v>
      </c>
      <c r="Z24" s="50">
        <v>-1529361.4669421487</v>
      </c>
      <c r="AA24" s="54">
        <f t="shared" si="3"/>
        <v>0</v>
      </c>
      <c r="AB24" s="54">
        <f t="shared" si="8"/>
        <v>-1819940.1456611569</v>
      </c>
      <c r="AC24" s="30">
        <f t="shared" si="4"/>
        <v>-1655.1531027512433</v>
      </c>
      <c r="AD24" s="30">
        <f t="shared" si="5"/>
        <v>0</v>
      </c>
      <c r="AE24" s="59">
        <f t="shared" si="9"/>
        <v>-1969.6321922739794</v>
      </c>
      <c r="AF24" s="8"/>
    </row>
    <row r="25" spans="2:32" s="1" customFormat="1" ht="13" hidden="1" x14ac:dyDescent="0.3">
      <c r="B25" s="12">
        <v>2026</v>
      </c>
      <c r="C25" s="12" t="s">
        <v>34</v>
      </c>
      <c r="D25" s="12" t="s">
        <v>80</v>
      </c>
      <c r="E25" s="12" t="s">
        <v>88</v>
      </c>
      <c r="F25" s="12" t="s">
        <v>87</v>
      </c>
      <c r="G25" s="83">
        <v>46230</v>
      </c>
      <c r="H25" s="93">
        <v>456288</v>
      </c>
      <c r="I25" s="12" t="s">
        <v>29</v>
      </c>
      <c r="J25" s="8" t="str">
        <f>IFERROR(VLOOKUP(I25,Map!$F$18:$G$56,2,0),"Add in Map")</f>
        <v>3P</v>
      </c>
      <c r="K25" s="8" t="str">
        <f>VLOOKUP(L25,Map!$C$18:$D$29,2,0)</f>
        <v>DGT</v>
      </c>
      <c r="L25" s="12" t="s">
        <v>50</v>
      </c>
      <c r="M25" s="50">
        <v>-428221.21074380167</v>
      </c>
      <c r="N25" s="54">
        <f t="shared" si="10"/>
        <v>0</v>
      </c>
      <c r="O25" s="54">
        <f t="shared" si="11"/>
        <v>-509583.24078512395</v>
      </c>
      <c r="P25" s="30">
        <f t="shared" si="12"/>
        <v>-463.44286877034813</v>
      </c>
      <c r="Q25" s="30">
        <f t="shared" si="13"/>
        <v>0</v>
      </c>
      <c r="R25" s="59">
        <f t="shared" si="7"/>
        <v>-551.49701383671425</v>
      </c>
      <c r="S25" s="45">
        <f>INDEX(FX!$D$3:$O$19,MATCH(B25,FX!$B$3:$B$32,0),MATCH(D25,FX!$D$2:$O$2,0))</f>
        <v>924</v>
      </c>
      <c r="T25" s="12" t="s">
        <v>81</v>
      </c>
      <c r="U25" s="12" t="s">
        <v>32</v>
      </c>
      <c r="V25" s="12" t="s">
        <v>93</v>
      </c>
      <c r="W25" s="8" t="str">
        <f>VLOOKUP(I25,Map!$F$18:$H$51,3,0)</f>
        <v>Variable</v>
      </c>
      <c r="X25" s="88" t="s">
        <v>149</v>
      </c>
      <c r="Y25" s="107" t="str">
        <f>VLOOKUP(L25,Map!$C$18:$D$29,2,0)</f>
        <v>DGT</v>
      </c>
      <c r="Z25" s="50">
        <v>-428221.21074380167</v>
      </c>
      <c r="AA25" s="54">
        <f t="shared" si="3"/>
        <v>0</v>
      </c>
      <c r="AB25" s="54">
        <f t="shared" si="8"/>
        <v>-509583.24078512395</v>
      </c>
      <c r="AC25" s="30">
        <f t="shared" si="4"/>
        <v>-463.44286877034813</v>
      </c>
      <c r="AD25" s="30">
        <f t="shared" si="5"/>
        <v>0</v>
      </c>
      <c r="AE25" s="59">
        <f t="shared" si="9"/>
        <v>-551.49701383671425</v>
      </c>
      <c r="AF25" s="8"/>
    </row>
    <row r="26" spans="2:32" s="1" customFormat="1" ht="13" hidden="1" x14ac:dyDescent="0.3">
      <c r="B26" s="12">
        <v>2026</v>
      </c>
      <c r="C26" s="12" t="s">
        <v>34</v>
      </c>
      <c r="D26" s="12" t="s">
        <v>80</v>
      </c>
      <c r="E26" s="12" t="s">
        <v>88</v>
      </c>
      <c r="F26" s="12" t="s">
        <v>87</v>
      </c>
      <c r="G26" s="83">
        <v>46230</v>
      </c>
      <c r="H26" s="93">
        <v>456288</v>
      </c>
      <c r="I26" s="12" t="s">
        <v>29</v>
      </c>
      <c r="J26" s="8" t="str">
        <f>IFERROR(VLOOKUP(I26,Map!$F$18:$G$56,2,0),"Add in Map")</f>
        <v>3P</v>
      </c>
      <c r="K26" s="8" t="str">
        <f>VLOOKUP(L26,Map!$C$18:$D$29,2,0)</f>
        <v>DLT</v>
      </c>
      <c r="L26" s="12" t="s">
        <v>52</v>
      </c>
      <c r="M26" s="50">
        <v>-122348.9173553719</v>
      </c>
      <c r="N26" s="54">
        <f t="shared" si="10"/>
        <v>0</v>
      </c>
      <c r="O26" s="54">
        <f t="shared" si="11"/>
        <v>-145595.21165289255</v>
      </c>
      <c r="P26" s="30">
        <f t="shared" si="12"/>
        <v>-132.41224822009946</v>
      </c>
      <c r="Q26" s="30">
        <f t="shared" si="13"/>
        <v>0</v>
      </c>
      <c r="R26" s="59">
        <f t="shared" si="7"/>
        <v>-157.57057538191836</v>
      </c>
      <c r="S26" s="45">
        <f>INDEX(FX!$D$3:$O$19,MATCH(B26,FX!$B$3:$B$32,0),MATCH(D26,FX!$D$2:$O$2,0))</f>
        <v>924</v>
      </c>
      <c r="T26" s="12" t="s">
        <v>81</v>
      </c>
      <c r="U26" s="12" t="s">
        <v>32</v>
      </c>
      <c r="V26" s="12" t="s">
        <v>93</v>
      </c>
      <c r="W26" s="8" t="str">
        <f>VLOOKUP(I26,Map!$F$18:$H$51,3,0)</f>
        <v>Variable</v>
      </c>
      <c r="X26" s="88" t="s">
        <v>149</v>
      </c>
      <c r="Y26" s="107" t="str">
        <f>VLOOKUP(L26,Map!$C$18:$D$29,2,0)</f>
        <v>DLT</v>
      </c>
      <c r="Z26" s="50">
        <v>-122348.9173553719</v>
      </c>
      <c r="AA26" s="54">
        <f t="shared" si="3"/>
        <v>0</v>
      </c>
      <c r="AB26" s="54">
        <f t="shared" si="8"/>
        <v>-145595.21165289255</v>
      </c>
      <c r="AC26" s="30">
        <f t="shared" si="4"/>
        <v>-132.41224822009946</v>
      </c>
      <c r="AD26" s="30">
        <f t="shared" si="5"/>
        <v>0</v>
      </c>
      <c r="AE26" s="59">
        <f t="shared" si="9"/>
        <v>-157.57057538191836</v>
      </c>
      <c r="AF26" s="8"/>
    </row>
    <row r="27" spans="2:32" s="1" customFormat="1" ht="13" hidden="1" x14ac:dyDescent="0.3">
      <c r="B27" s="12">
        <v>2026</v>
      </c>
      <c r="C27" s="12" t="s">
        <v>34</v>
      </c>
      <c r="D27" s="12" t="s">
        <v>80</v>
      </c>
      <c r="E27" s="12" t="s">
        <v>88</v>
      </c>
      <c r="F27" s="12" t="s">
        <v>87</v>
      </c>
      <c r="G27" s="83">
        <v>46230</v>
      </c>
      <c r="H27" s="93">
        <v>456288</v>
      </c>
      <c r="I27" s="12" t="s">
        <v>29</v>
      </c>
      <c r="J27" s="8" t="str">
        <f>IFERROR(VLOOKUP(I27,Map!$F$18:$G$56,2,0),"Add in Map")</f>
        <v>3P</v>
      </c>
      <c r="K27" s="8" t="str">
        <f>VLOOKUP(L27,Map!$C$18:$D$29,2,0)</f>
        <v>DMT</v>
      </c>
      <c r="L27" s="12" t="s">
        <v>54</v>
      </c>
      <c r="M27" s="50">
        <v>0</v>
      </c>
      <c r="N27" s="54">
        <f t="shared" si="10"/>
        <v>0</v>
      </c>
      <c r="O27" s="54">
        <f t="shared" si="11"/>
        <v>0</v>
      </c>
      <c r="P27" s="30">
        <f t="shared" si="12"/>
        <v>0</v>
      </c>
      <c r="Q27" s="30">
        <f t="shared" si="13"/>
        <v>0</v>
      </c>
      <c r="R27" s="59">
        <f t="shared" si="7"/>
        <v>0</v>
      </c>
      <c r="S27" s="45">
        <f>INDEX(FX!$D$3:$O$19,MATCH(B27,FX!$B$3:$B$32,0),MATCH(D27,FX!$D$2:$O$2,0))</f>
        <v>924</v>
      </c>
      <c r="T27" s="12" t="s">
        <v>81</v>
      </c>
      <c r="U27" s="12" t="s">
        <v>32</v>
      </c>
      <c r="V27" s="12" t="s">
        <v>93</v>
      </c>
      <c r="W27" s="8" t="str">
        <f>VLOOKUP(I27,Map!$F$18:$H$51,3,0)</f>
        <v>Variable</v>
      </c>
      <c r="X27" s="88" t="s">
        <v>149</v>
      </c>
      <c r="Y27" s="107" t="str">
        <f>VLOOKUP(L27,Map!$C$18:$D$29,2,0)</f>
        <v>DMT</v>
      </c>
      <c r="Z27" s="50">
        <v>0</v>
      </c>
      <c r="AA27" s="54">
        <f t="shared" si="3"/>
        <v>0</v>
      </c>
      <c r="AB27" s="54">
        <f t="shared" si="8"/>
        <v>0</v>
      </c>
      <c r="AC27" s="30">
        <f t="shared" si="4"/>
        <v>0</v>
      </c>
      <c r="AD27" s="30">
        <f t="shared" si="5"/>
        <v>0</v>
      </c>
      <c r="AE27" s="59">
        <f t="shared" si="9"/>
        <v>0</v>
      </c>
      <c r="AF27" s="8"/>
    </row>
    <row r="28" spans="2:32" s="105" customFormat="1" hidden="1" x14ac:dyDescent="0.35">
      <c r="B28" s="13">
        <v>2026</v>
      </c>
      <c r="C28" s="13" t="s">
        <v>34</v>
      </c>
      <c r="D28" s="13" t="s">
        <v>80</v>
      </c>
      <c r="E28" s="13" t="s">
        <v>88</v>
      </c>
      <c r="F28" s="13" t="s">
        <v>87</v>
      </c>
      <c r="G28" s="85">
        <v>46230</v>
      </c>
      <c r="H28" s="94">
        <v>456288</v>
      </c>
      <c r="I28" s="13" t="s">
        <v>29</v>
      </c>
      <c r="J28" s="29" t="str">
        <f>IFERROR(VLOOKUP(I28,Map!$F$18:$G$56,2,0),"Add in Map")</f>
        <v>3P</v>
      </c>
      <c r="K28" s="29" t="str">
        <f>VLOOKUP(L28,Map!$C$18:$D$29,2,0)</f>
        <v>TOTAL</v>
      </c>
      <c r="L28" s="13" t="s">
        <v>56</v>
      </c>
      <c r="M28" s="126">
        <f>SUM(M17:M27)</f>
        <v>-59216875.999999993</v>
      </c>
      <c r="N28" s="57">
        <f t="shared" si="10"/>
        <v>-11251206.439999999</v>
      </c>
      <c r="O28" s="57">
        <f t="shared" si="11"/>
        <v>-70468082.439999983</v>
      </c>
      <c r="P28" s="11">
        <f t="shared" si="12"/>
        <v>-64087.528138528127</v>
      </c>
      <c r="Q28" s="11">
        <f t="shared" si="13"/>
        <v>-12176.630346320344</v>
      </c>
      <c r="R28" s="61">
        <f t="shared" si="7"/>
        <v>-76264.158484848464</v>
      </c>
      <c r="S28" s="46">
        <f>INDEX(FX!$D$3:$O$19,MATCH(B28,FX!$B$3:$B$32,0),MATCH(D28,FX!$D$2:$O$2,0))</f>
        <v>924</v>
      </c>
      <c r="T28" s="13" t="s">
        <v>81</v>
      </c>
      <c r="U28" s="13" t="s">
        <v>32</v>
      </c>
      <c r="V28" s="13" t="s">
        <v>93</v>
      </c>
      <c r="W28" s="29" t="str">
        <f>VLOOKUP(I28,Map!$F$18:$H$51,3,0)</f>
        <v>Variable</v>
      </c>
      <c r="X28" s="90" t="s">
        <v>149</v>
      </c>
      <c r="Y28" s="109" t="str">
        <f>VLOOKUP(L28,Map!$C$18:$D$29,2,0)</f>
        <v>TOTAL</v>
      </c>
      <c r="Z28" s="53">
        <f>SUM(Z17:Z27)</f>
        <v>-59216875.999999993</v>
      </c>
      <c r="AA28" s="57">
        <f t="shared" si="3"/>
        <v>-11251206.439999999</v>
      </c>
      <c r="AB28" s="57">
        <f t="shared" si="8"/>
        <v>-70468082.439999983</v>
      </c>
      <c r="AC28" s="11">
        <f t="shared" si="4"/>
        <v>-64087.528138528127</v>
      </c>
      <c r="AD28" s="11">
        <f t="shared" si="5"/>
        <v>-12176.630346320344</v>
      </c>
      <c r="AE28" s="61">
        <f t="shared" si="9"/>
        <v>-76264.158484848464</v>
      </c>
      <c r="AF28" s="104" t="s">
        <v>137</v>
      </c>
    </row>
    <row r="29" spans="2:32" s="1" customFormat="1" ht="13" hidden="1" x14ac:dyDescent="0.3">
      <c r="B29" s="12">
        <v>2026</v>
      </c>
      <c r="C29" s="12" t="s">
        <v>153</v>
      </c>
      <c r="D29" s="12" t="s">
        <v>80</v>
      </c>
      <c r="E29" s="12" t="s">
        <v>88</v>
      </c>
      <c r="F29" s="12" t="s">
        <v>172</v>
      </c>
      <c r="G29" s="83"/>
      <c r="H29" s="93"/>
      <c r="I29" s="12" t="s">
        <v>148</v>
      </c>
      <c r="J29" s="8" t="str">
        <f>IFERROR(VLOOKUP(I29,Map!$F$18:$G$56,2,0),"Add in Map")</f>
        <v>3P</v>
      </c>
      <c r="K29" s="8" t="str">
        <f>VLOOKUP(L29,Map!$C$18:$D$29,2,0)</f>
        <v>CNT</v>
      </c>
      <c r="L29" s="12" t="s">
        <v>31</v>
      </c>
      <c r="M29" s="52">
        <v>4169389.651475904</v>
      </c>
      <c r="N29" s="56">
        <f t="shared" si="10"/>
        <v>0</v>
      </c>
      <c r="O29" s="56">
        <f t="shared" si="11"/>
        <v>4961573.6852563256</v>
      </c>
      <c r="P29" s="31">
        <f t="shared" si="12"/>
        <v>4512.3264626362597</v>
      </c>
      <c r="Q29" s="31">
        <f t="shared" si="13"/>
        <v>0</v>
      </c>
      <c r="R29" s="60">
        <f t="shared" ref="R29:R52" si="14">P29*1.19</f>
        <v>5369.6684905371485</v>
      </c>
      <c r="S29" s="45">
        <f>INDEX(FX!$D$3:$O$19,MATCH(B29,FX!$B$3:$B$32,0),MATCH(D29,FX!$D$2:$O$2,0))</f>
        <v>924</v>
      </c>
      <c r="T29" s="12" t="s">
        <v>144</v>
      </c>
      <c r="U29" s="12" t="s">
        <v>155</v>
      </c>
      <c r="V29" s="12" t="s">
        <v>83</v>
      </c>
      <c r="W29" s="8" t="str">
        <f>VLOOKUP(I29,Map!$F$18:$H$51,3,0)</f>
        <v>Variable</v>
      </c>
      <c r="X29" s="88" t="s">
        <v>172</v>
      </c>
      <c r="Y29" s="107" t="str">
        <f>VLOOKUP(L29,Map!$C$18:$D$29,2,0)</f>
        <v>CNT</v>
      </c>
      <c r="Z29" s="52"/>
      <c r="AA29" s="56">
        <f t="shared" ref="AA29:AA64" si="15">IF(Y29="TOTAL",(Z29*0.19),0)</f>
        <v>0</v>
      </c>
      <c r="AB29" s="56">
        <f t="shared" ref="AB29:AB64" si="16">Z29*1.19</f>
        <v>0</v>
      </c>
      <c r="AC29" s="31">
        <f t="shared" ref="AC29:AC64" si="17">Z29/S29</f>
        <v>0</v>
      </c>
      <c r="AD29" s="31">
        <f t="shared" ref="AD29:AD64" si="18">IF(Y29="TOTAL",(AC29*0.19),0)</f>
        <v>0</v>
      </c>
      <c r="AE29" s="60">
        <f t="shared" ref="AE29:AE64" si="19">AC29*1.19</f>
        <v>0</v>
      </c>
      <c r="AF29" s="8"/>
    </row>
    <row r="30" spans="2:32" s="1" customFormat="1" ht="13" hidden="1" x14ac:dyDescent="0.3">
      <c r="B30" s="12">
        <v>2026</v>
      </c>
      <c r="C30" s="12" t="s">
        <v>153</v>
      </c>
      <c r="D30" s="12" t="s">
        <v>80</v>
      </c>
      <c r="E30" s="12" t="s">
        <v>88</v>
      </c>
      <c r="F30" s="12" t="s">
        <v>172</v>
      </c>
      <c r="G30" s="83"/>
      <c r="H30" s="93"/>
      <c r="I30" s="12" t="s">
        <v>148</v>
      </c>
      <c r="J30" s="8" t="str">
        <f>IFERROR(VLOOKUP(I30,Map!$F$18:$G$56,2,0),"Add in Map")</f>
        <v>3P</v>
      </c>
      <c r="K30" s="8" t="str">
        <f>VLOOKUP(L30,Map!$C$18:$D$29,2,0)</f>
        <v>CVT</v>
      </c>
      <c r="L30" s="12" t="s">
        <v>36</v>
      </c>
      <c r="M30" s="52">
        <v>0</v>
      </c>
      <c r="N30" s="56">
        <f t="shared" si="10"/>
        <v>0</v>
      </c>
      <c r="O30" s="56">
        <f t="shared" si="11"/>
        <v>0</v>
      </c>
      <c r="P30" s="31">
        <f t="shared" si="12"/>
        <v>0</v>
      </c>
      <c r="Q30" s="31">
        <f t="shared" si="13"/>
        <v>0</v>
      </c>
      <c r="R30" s="60">
        <f t="shared" si="14"/>
        <v>0</v>
      </c>
      <c r="S30" s="45">
        <f>INDEX(FX!$D$3:$O$19,MATCH(B30,FX!$B$3:$B$32,0),MATCH(D30,FX!$D$2:$O$2,0))</f>
        <v>924</v>
      </c>
      <c r="T30" s="12" t="s">
        <v>144</v>
      </c>
      <c r="U30" s="12" t="s">
        <v>155</v>
      </c>
      <c r="V30" s="12" t="s">
        <v>83</v>
      </c>
      <c r="W30" s="8" t="str">
        <f>VLOOKUP(I30,Map!$F$18:$H$51,3,0)</f>
        <v>Variable</v>
      </c>
      <c r="X30" s="88" t="s">
        <v>172</v>
      </c>
      <c r="Y30" s="107" t="str">
        <f>VLOOKUP(L30,Map!$C$18:$D$29,2,0)</f>
        <v>CVT</v>
      </c>
      <c r="Z30" s="52"/>
      <c r="AA30" s="56">
        <f t="shared" si="15"/>
        <v>0</v>
      </c>
      <c r="AB30" s="56">
        <f t="shared" si="16"/>
        <v>0</v>
      </c>
      <c r="AC30" s="31">
        <f t="shared" si="17"/>
        <v>0</v>
      </c>
      <c r="AD30" s="31">
        <f t="shared" si="18"/>
        <v>0</v>
      </c>
      <c r="AE30" s="60">
        <f t="shared" si="19"/>
        <v>0</v>
      </c>
      <c r="AF30" s="8"/>
    </row>
    <row r="31" spans="2:32" s="1" customFormat="1" ht="13" hidden="1" x14ac:dyDescent="0.3">
      <c r="B31" s="12">
        <v>2026</v>
      </c>
      <c r="C31" s="12" t="s">
        <v>153</v>
      </c>
      <c r="D31" s="12" t="s">
        <v>80</v>
      </c>
      <c r="E31" s="12" t="s">
        <v>88</v>
      </c>
      <c r="F31" s="12" t="s">
        <v>172</v>
      </c>
      <c r="G31" s="83"/>
      <c r="H31" s="93"/>
      <c r="I31" s="12" t="s">
        <v>148</v>
      </c>
      <c r="J31" s="8" t="str">
        <f>IFERROR(VLOOKUP(I31,Map!$F$18:$G$56,2,0),"Add in Map")</f>
        <v>3P</v>
      </c>
      <c r="K31" s="8" t="str">
        <f>VLOOKUP(L31,Map!$C$18:$D$29,2,0)</f>
        <v>CDT</v>
      </c>
      <c r="L31" s="12" t="s">
        <v>38</v>
      </c>
      <c r="M31" s="52">
        <v>53453.713480460305</v>
      </c>
      <c r="N31" s="56">
        <f t="shared" si="10"/>
        <v>0</v>
      </c>
      <c r="O31" s="56">
        <f t="shared" si="11"/>
        <v>63609.919041747758</v>
      </c>
      <c r="P31" s="31">
        <f t="shared" si="12"/>
        <v>57.850339264567431</v>
      </c>
      <c r="Q31" s="31">
        <f t="shared" si="13"/>
        <v>0</v>
      </c>
      <c r="R31" s="60">
        <f t="shared" si="14"/>
        <v>68.841903724835234</v>
      </c>
      <c r="S31" s="45">
        <f>INDEX(FX!$D$3:$O$19,MATCH(B31,FX!$B$3:$B$32,0),MATCH(D31,FX!$D$2:$O$2,0))</f>
        <v>924</v>
      </c>
      <c r="T31" s="12" t="s">
        <v>144</v>
      </c>
      <c r="U31" s="12" t="s">
        <v>155</v>
      </c>
      <c r="V31" s="12" t="s">
        <v>83</v>
      </c>
      <c r="W31" s="8" t="str">
        <f>VLOOKUP(I31,Map!$F$18:$H$51,3,0)</f>
        <v>Variable</v>
      </c>
      <c r="X31" s="88" t="s">
        <v>172</v>
      </c>
      <c r="Y31" s="107" t="str">
        <f>VLOOKUP(L31,Map!$C$18:$D$29,2,0)</f>
        <v>CDT</v>
      </c>
      <c r="Z31" s="52"/>
      <c r="AA31" s="56">
        <f t="shared" si="15"/>
        <v>0</v>
      </c>
      <c r="AB31" s="56">
        <f t="shared" si="16"/>
        <v>0</v>
      </c>
      <c r="AC31" s="31">
        <f t="shared" si="17"/>
        <v>0</v>
      </c>
      <c r="AD31" s="31">
        <f t="shared" si="18"/>
        <v>0</v>
      </c>
      <c r="AE31" s="60">
        <f t="shared" si="19"/>
        <v>0</v>
      </c>
      <c r="AF31" s="8"/>
    </row>
    <row r="32" spans="2:32" s="1" customFormat="1" ht="13" hidden="1" x14ac:dyDescent="0.3">
      <c r="B32" s="12">
        <v>2026</v>
      </c>
      <c r="C32" s="12" t="s">
        <v>153</v>
      </c>
      <c r="D32" s="12" t="s">
        <v>80</v>
      </c>
      <c r="E32" s="12" t="s">
        <v>88</v>
      </c>
      <c r="F32" s="12" t="s">
        <v>172</v>
      </c>
      <c r="G32" s="83"/>
      <c r="H32" s="93"/>
      <c r="I32" s="12" t="s">
        <v>148</v>
      </c>
      <c r="J32" s="8" t="str">
        <f>IFERROR(VLOOKUP(I32,Map!$F$18:$G$56,2,0),"Add in Map")</f>
        <v>3P</v>
      </c>
      <c r="K32" s="8" t="str">
        <f>VLOOKUP(L32,Map!$C$18:$D$29,2,0)</f>
        <v>DFT</v>
      </c>
      <c r="L32" s="12" t="s">
        <v>40</v>
      </c>
      <c r="M32" s="52">
        <v>10049298.134326536</v>
      </c>
      <c r="N32" s="56">
        <f t="shared" si="10"/>
        <v>0</v>
      </c>
      <c r="O32" s="56">
        <f t="shared" si="11"/>
        <v>11958664.779848577</v>
      </c>
      <c r="P32" s="31">
        <f t="shared" si="12"/>
        <v>10875.863781738675</v>
      </c>
      <c r="Q32" s="31">
        <f t="shared" si="13"/>
        <v>0</v>
      </c>
      <c r="R32" s="60">
        <f t="shared" si="14"/>
        <v>12942.277900269022</v>
      </c>
      <c r="S32" s="45">
        <f>INDEX(FX!$D$3:$O$19,MATCH(B32,FX!$B$3:$B$32,0),MATCH(D32,FX!$D$2:$O$2,0))</f>
        <v>924</v>
      </c>
      <c r="T32" s="12" t="s">
        <v>144</v>
      </c>
      <c r="U32" s="12" t="s">
        <v>155</v>
      </c>
      <c r="V32" s="12" t="s">
        <v>83</v>
      </c>
      <c r="W32" s="8" t="str">
        <f>VLOOKUP(I32,Map!$F$18:$H$51,3,0)</f>
        <v>Variable</v>
      </c>
      <c r="X32" s="88" t="s">
        <v>172</v>
      </c>
      <c r="Y32" s="107" t="str">
        <f>VLOOKUP(L32,Map!$C$18:$D$29,2,0)</f>
        <v>DFT</v>
      </c>
      <c r="Z32" s="52"/>
      <c r="AA32" s="56">
        <f t="shared" si="15"/>
        <v>0</v>
      </c>
      <c r="AB32" s="56">
        <f t="shared" si="16"/>
        <v>0</v>
      </c>
      <c r="AC32" s="31">
        <f t="shared" si="17"/>
        <v>0</v>
      </c>
      <c r="AD32" s="31">
        <f t="shared" si="18"/>
        <v>0</v>
      </c>
      <c r="AE32" s="60">
        <f t="shared" si="19"/>
        <v>0</v>
      </c>
      <c r="AF32" s="8"/>
    </row>
    <row r="33" spans="2:32" s="1" customFormat="1" ht="13" hidden="1" x14ac:dyDescent="0.3">
      <c r="B33" s="12">
        <v>2026</v>
      </c>
      <c r="C33" s="12" t="s">
        <v>153</v>
      </c>
      <c r="D33" s="12" t="s">
        <v>80</v>
      </c>
      <c r="E33" s="12" t="s">
        <v>88</v>
      </c>
      <c r="F33" s="12" t="s">
        <v>172</v>
      </c>
      <c r="G33" s="83"/>
      <c r="H33" s="93"/>
      <c r="I33" s="12" t="s">
        <v>148</v>
      </c>
      <c r="J33" s="8" t="str">
        <f>IFERROR(VLOOKUP(I33,Map!$F$18:$G$56,2,0),"Add in Map")</f>
        <v>3P</v>
      </c>
      <c r="K33" s="8" t="str">
        <f>VLOOKUP(L33,Map!$C$18:$D$29,2,0)</f>
        <v>DVT</v>
      </c>
      <c r="L33" s="12" t="s">
        <v>42</v>
      </c>
      <c r="M33" s="52">
        <v>0</v>
      </c>
      <c r="N33" s="56">
        <f t="shared" si="10"/>
        <v>0</v>
      </c>
      <c r="O33" s="56">
        <f t="shared" si="11"/>
        <v>0</v>
      </c>
      <c r="P33" s="31">
        <f t="shared" si="12"/>
        <v>0</v>
      </c>
      <c r="Q33" s="31">
        <f t="shared" si="13"/>
        <v>0</v>
      </c>
      <c r="R33" s="60">
        <f t="shared" si="14"/>
        <v>0</v>
      </c>
      <c r="S33" s="45">
        <f>INDEX(FX!$D$3:$O$19,MATCH(B33,FX!$B$3:$B$32,0),MATCH(D33,FX!$D$2:$O$2,0))</f>
        <v>924</v>
      </c>
      <c r="T33" s="12" t="s">
        <v>144</v>
      </c>
      <c r="U33" s="12" t="s">
        <v>155</v>
      </c>
      <c r="V33" s="12" t="s">
        <v>83</v>
      </c>
      <c r="W33" s="8" t="str">
        <f>VLOOKUP(I33,Map!$F$18:$H$51,3,0)</f>
        <v>Variable</v>
      </c>
      <c r="X33" s="88" t="s">
        <v>172</v>
      </c>
      <c r="Y33" s="107" t="str">
        <f>VLOOKUP(L33,Map!$C$18:$D$29,2,0)</f>
        <v>DVT</v>
      </c>
      <c r="Z33" s="52"/>
      <c r="AA33" s="56">
        <f t="shared" si="15"/>
        <v>0</v>
      </c>
      <c r="AB33" s="56">
        <f t="shared" si="16"/>
        <v>0</v>
      </c>
      <c r="AC33" s="31">
        <f t="shared" si="17"/>
        <v>0</v>
      </c>
      <c r="AD33" s="31">
        <f t="shared" si="18"/>
        <v>0</v>
      </c>
      <c r="AE33" s="60">
        <f t="shared" si="19"/>
        <v>0</v>
      </c>
      <c r="AF33" s="8"/>
    </row>
    <row r="34" spans="2:32" s="1" customFormat="1" ht="13" hidden="1" x14ac:dyDescent="0.3">
      <c r="B34" s="12">
        <v>2026</v>
      </c>
      <c r="C34" s="12" t="s">
        <v>153</v>
      </c>
      <c r="D34" s="12" t="s">
        <v>80</v>
      </c>
      <c r="E34" s="12" t="s">
        <v>88</v>
      </c>
      <c r="F34" s="12" t="s">
        <v>172</v>
      </c>
      <c r="G34" s="83"/>
      <c r="H34" s="93"/>
      <c r="I34" s="12" t="s">
        <v>148</v>
      </c>
      <c r="J34" s="8" t="str">
        <f>IFERROR(VLOOKUP(I34,Map!$F$18:$G$56,2,0),"Add in Map")</f>
        <v>3P</v>
      </c>
      <c r="K34" s="8" t="str">
        <f>VLOOKUP(L34,Map!$C$18:$D$29,2,0)</f>
        <v>GLT</v>
      </c>
      <c r="L34" s="12" t="s">
        <v>44</v>
      </c>
      <c r="M34" s="52">
        <v>2191602.2526988722</v>
      </c>
      <c r="N34" s="56">
        <f t="shared" si="10"/>
        <v>0</v>
      </c>
      <c r="O34" s="56">
        <f t="shared" si="11"/>
        <v>2608006.6807116577</v>
      </c>
      <c r="P34" s="31">
        <f t="shared" si="12"/>
        <v>2371.8639098472645</v>
      </c>
      <c r="Q34" s="31">
        <f t="shared" si="13"/>
        <v>0</v>
      </c>
      <c r="R34" s="60">
        <f t="shared" si="14"/>
        <v>2822.5180527182447</v>
      </c>
      <c r="S34" s="45">
        <f>INDEX(FX!$D$3:$O$19,MATCH(B34,FX!$B$3:$B$32,0),MATCH(D34,FX!$D$2:$O$2,0))</f>
        <v>924</v>
      </c>
      <c r="T34" s="12" t="s">
        <v>144</v>
      </c>
      <c r="U34" s="12" t="s">
        <v>155</v>
      </c>
      <c r="V34" s="12" t="s">
        <v>83</v>
      </c>
      <c r="W34" s="8" t="str">
        <f>VLOOKUP(I34,Map!$F$18:$H$51,3,0)</f>
        <v>Variable</v>
      </c>
      <c r="X34" s="88" t="s">
        <v>172</v>
      </c>
      <c r="Y34" s="107" t="str">
        <f>VLOOKUP(L34,Map!$C$18:$D$29,2,0)</f>
        <v>GLT</v>
      </c>
      <c r="Z34" s="52"/>
      <c r="AA34" s="56">
        <f t="shared" si="15"/>
        <v>0</v>
      </c>
      <c r="AB34" s="56">
        <f t="shared" si="16"/>
        <v>0</v>
      </c>
      <c r="AC34" s="31">
        <f t="shared" si="17"/>
        <v>0</v>
      </c>
      <c r="AD34" s="31">
        <f t="shared" si="18"/>
        <v>0</v>
      </c>
      <c r="AE34" s="60">
        <f t="shared" si="19"/>
        <v>0</v>
      </c>
      <c r="AF34" s="8"/>
    </row>
    <row r="35" spans="2:32" s="1" customFormat="1" ht="13" hidden="1" x14ac:dyDescent="0.3">
      <c r="B35" s="12">
        <v>2026</v>
      </c>
      <c r="C35" s="12" t="s">
        <v>153</v>
      </c>
      <c r="D35" s="12" t="s">
        <v>80</v>
      </c>
      <c r="E35" s="12" t="s">
        <v>88</v>
      </c>
      <c r="F35" s="12" t="s">
        <v>172</v>
      </c>
      <c r="G35" s="83"/>
      <c r="H35" s="93"/>
      <c r="I35" s="12" t="s">
        <v>148</v>
      </c>
      <c r="J35" s="8" t="str">
        <f>IFERROR(VLOOKUP(I35,Map!$F$18:$G$56,2,0),"Add in Map")</f>
        <v>3P</v>
      </c>
      <c r="K35" s="8" t="str">
        <f>VLOOKUP(L35,Map!$C$18:$D$29,2,0)</f>
        <v>PNT</v>
      </c>
      <c r="L35" s="12" t="s">
        <v>46</v>
      </c>
      <c r="M35" s="52">
        <v>374175.99436322215</v>
      </c>
      <c r="N35" s="56">
        <f t="shared" si="10"/>
        <v>0</v>
      </c>
      <c r="O35" s="56">
        <f t="shared" si="11"/>
        <v>445269.43329223432</v>
      </c>
      <c r="P35" s="31">
        <f t="shared" si="12"/>
        <v>404.95237485197202</v>
      </c>
      <c r="Q35" s="31">
        <f t="shared" si="13"/>
        <v>0</v>
      </c>
      <c r="R35" s="60">
        <f t="shared" si="14"/>
        <v>481.89332607384671</v>
      </c>
      <c r="S35" s="45">
        <f>INDEX(FX!$D$3:$O$19,MATCH(B35,FX!$B$3:$B$32,0),MATCH(D35,FX!$D$2:$O$2,0))</f>
        <v>924</v>
      </c>
      <c r="T35" s="12" t="s">
        <v>144</v>
      </c>
      <c r="U35" s="12" t="s">
        <v>155</v>
      </c>
      <c r="V35" s="12" t="s">
        <v>83</v>
      </c>
      <c r="W35" s="8" t="str">
        <f>VLOOKUP(I35,Map!$F$18:$H$51,3,0)</f>
        <v>Variable</v>
      </c>
      <c r="X35" s="88" t="s">
        <v>172</v>
      </c>
      <c r="Y35" s="107" t="str">
        <f>VLOOKUP(L35,Map!$C$18:$D$29,2,0)</f>
        <v>PNT</v>
      </c>
      <c r="Z35" s="52"/>
      <c r="AA35" s="56">
        <f t="shared" si="15"/>
        <v>0</v>
      </c>
      <c r="AB35" s="56">
        <f t="shared" si="16"/>
        <v>0</v>
      </c>
      <c r="AC35" s="31">
        <f t="shared" si="17"/>
        <v>0</v>
      </c>
      <c r="AD35" s="31">
        <f t="shared" si="18"/>
        <v>0</v>
      </c>
      <c r="AE35" s="60">
        <f t="shared" si="19"/>
        <v>0</v>
      </c>
      <c r="AF35" s="8"/>
    </row>
    <row r="36" spans="2:32" s="1" customFormat="1" ht="13" hidden="1" x14ac:dyDescent="0.3">
      <c r="B36" s="12">
        <v>2026</v>
      </c>
      <c r="C36" s="12" t="s">
        <v>153</v>
      </c>
      <c r="D36" s="12" t="s">
        <v>80</v>
      </c>
      <c r="E36" s="12" t="s">
        <v>88</v>
      </c>
      <c r="F36" s="12" t="s">
        <v>172</v>
      </c>
      <c r="G36" s="83"/>
      <c r="H36" s="93"/>
      <c r="I36" s="12" t="s">
        <v>148</v>
      </c>
      <c r="J36" s="8" t="str">
        <f>IFERROR(VLOOKUP(I36,Map!$F$18:$G$56,2,0),"Add in Map")</f>
        <v>3P</v>
      </c>
      <c r="K36" s="8" t="str">
        <f>VLOOKUP(L36,Map!$C$18:$D$29,2,0)</f>
        <v>GTT</v>
      </c>
      <c r="L36" s="12" t="s">
        <v>48</v>
      </c>
      <c r="M36" s="52">
        <v>213814.85392184122</v>
      </c>
      <c r="N36" s="56">
        <f t="shared" si="10"/>
        <v>0</v>
      </c>
      <c r="O36" s="56">
        <f t="shared" si="11"/>
        <v>254439.67616699103</v>
      </c>
      <c r="P36" s="31">
        <f t="shared" si="12"/>
        <v>231.40135705826972</v>
      </c>
      <c r="Q36" s="31">
        <f t="shared" si="13"/>
        <v>0</v>
      </c>
      <c r="R36" s="60">
        <f t="shared" si="14"/>
        <v>275.36761489934094</v>
      </c>
      <c r="S36" s="45">
        <f>INDEX(FX!$D$3:$O$19,MATCH(B36,FX!$B$3:$B$32,0),MATCH(D36,FX!$D$2:$O$2,0))</f>
        <v>924</v>
      </c>
      <c r="T36" s="12" t="s">
        <v>144</v>
      </c>
      <c r="U36" s="12" t="s">
        <v>155</v>
      </c>
      <c r="V36" s="12" t="s">
        <v>83</v>
      </c>
      <c r="W36" s="8" t="str">
        <f>VLOOKUP(I36,Map!$F$18:$H$51,3,0)</f>
        <v>Variable</v>
      </c>
      <c r="X36" s="88" t="s">
        <v>172</v>
      </c>
      <c r="Y36" s="107" t="str">
        <f>VLOOKUP(L36,Map!$C$18:$D$29,2,0)</f>
        <v>GTT</v>
      </c>
      <c r="Z36" s="52"/>
      <c r="AA36" s="56">
        <f t="shared" si="15"/>
        <v>0</v>
      </c>
      <c r="AB36" s="56">
        <f t="shared" si="16"/>
        <v>0</v>
      </c>
      <c r="AC36" s="31">
        <f t="shared" si="17"/>
        <v>0</v>
      </c>
      <c r="AD36" s="31">
        <f t="shared" si="18"/>
        <v>0</v>
      </c>
      <c r="AE36" s="60">
        <f t="shared" si="19"/>
        <v>0</v>
      </c>
      <c r="AF36" s="8"/>
    </row>
    <row r="37" spans="2:32" s="1" customFormat="1" ht="13" hidden="1" x14ac:dyDescent="0.3">
      <c r="B37" s="12">
        <v>2026</v>
      </c>
      <c r="C37" s="12" t="s">
        <v>153</v>
      </c>
      <c r="D37" s="12" t="s">
        <v>80</v>
      </c>
      <c r="E37" s="12" t="s">
        <v>88</v>
      </c>
      <c r="F37" s="12" t="s">
        <v>172</v>
      </c>
      <c r="G37" s="83"/>
      <c r="H37" s="93"/>
      <c r="I37" s="12" t="s">
        <v>148</v>
      </c>
      <c r="J37" s="8" t="str">
        <f>IFERROR(VLOOKUP(I37,Map!$F$18:$G$56,2,0),"Add in Map")</f>
        <v>3P</v>
      </c>
      <c r="K37" s="8" t="str">
        <f>VLOOKUP(L37,Map!$C$18:$D$29,2,0)</f>
        <v>DGT</v>
      </c>
      <c r="L37" s="12" t="s">
        <v>50</v>
      </c>
      <c r="M37" s="52">
        <v>160361.14044138091</v>
      </c>
      <c r="N37" s="56">
        <f t="shared" si="10"/>
        <v>0</v>
      </c>
      <c r="O37" s="56">
        <f t="shared" si="11"/>
        <v>190829.75712524328</v>
      </c>
      <c r="P37" s="31">
        <f t="shared" si="12"/>
        <v>173.55101779370227</v>
      </c>
      <c r="Q37" s="31">
        <f t="shared" si="13"/>
        <v>0</v>
      </c>
      <c r="R37" s="60">
        <f t="shared" si="14"/>
        <v>206.52571117450569</v>
      </c>
      <c r="S37" s="45">
        <f>INDEX(FX!$D$3:$O$19,MATCH(B37,FX!$B$3:$B$32,0),MATCH(D37,FX!$D$2:$O$2,0))</f>
        <v>924</v>
      </c>
      <c r="T37" s="12" t="s">
        <v>144</v>
      </c>
      <c r="U37" s="12" t="s">
        <v>155</v>
      </c>
      <c r="V37" s="12" t="s">
        <v>83</v>
      </c>
      <c r="W37" s="8" t="str">
        <f>VLOOKUP(I37,Map!$F$18:$H$51,3,0)</f>
        <v>Variable</v>
      </c>
      <c r="X37" s="88" t="s">
        <v>172</v>
      </c>
      <c r="Y37" s="107" t="str">
        <f>VLOOKUP(L37,Map!$C$18:$D$29,2,0)</f>
        <v>DGT</v>
      </c>
      <c r="Z37" s="52"/>
      <c r="AA37" s="56">
        <f t="shared" si="15"/>
        <v>0</v>
      </c>
      <c r="AB37" s="56">
        <f t="shared" si="16"/>
        <v>0</v>
      </c>
      <c r="AC37" s="31">
        <f t="shared" si="17"/>
        <v>0</v>
      </c>
      <c r="AD37" s="31">
        <f t="shared" si="18"/>
        <v>0</v>
      </c>
      <c r="AE37" s="60">
        <f t="shared" si="19"/>
        <v>0</v>
      </c>
      <c r="AF37" s="8"/>
    </row>
    <row r="38" spans="2:32" s="1" customFormat="1" ht="13" hidden="1" x14ac:dyDescent="0.3">
      <c r="B38" s="12">
        <v>2026</v>
      </c>
      <c r="C38" s="12" t="s">
        <v>153</v>
      </c>
      <c r="D38" s="12" t="s">
        <v>80</v>
      </c>
      <c r="E38" s="12" t="s">
        <v>88</v>
      </c>
      <c r="F38" s="12" t="s">
        <v>172</v>
      </c>
      <c r="G38" s="83"/>
      <c r="H38" s="93"/>
      <c r="I38" s="12" t="s">
        <v>148</v>
      </c>
      <c r="J38" s="8" t="str">
        <f>IFERROR(VLOOKUP(I38,Map!$F$18:$G$56,2,0),"Add in Map")</f>
        <v>3P</v>
      </c>
      <c r="K38" s="8" t="str">
        <f>VLOOKUP(L38,Map!$C$18:$D$29,2,0)</f>
        <v>DLT</v>
      </c>
      <c r="L38" s="12" t="s">
        <v>52</v>
      </c>
      <c r="M38" s="52">
        <v>53453.713480460305</v>
      </c>
      <c r="N38" s="56">
        <f t="shared" si="10"/>
        <v>0</v>
      </c>
      <c r="O38" s="56">
        <f t="shared" si="11"/>
        <v>63609.919041747758</v>
      </c>
      <c r="P38" s="31">
        <f t="shared" si="12"/>
        <v>57.850339264567431</v>
      </c>
      <c r="Q38" s="31">
        <f t="shared" si="13"/>
        <v>0</v>
      </c>
      <c r="R38" s="60">
        <f t="shared" si="14"/>
        <v>68.841903724835234</v>
      </c>
      <c r="S38" s="45">
        <f>INDEX(FX!$D$3:$O$19,MATCH(B38,FX!$B$3:$B$32,0),MATCH(D38,FX!$D$2:$O$2,0))</f>
        <v>924</v>
      </c>
      <c r="T38" s="12" t="s">
        <v>144</v>
      </c>
      <c r="U38" s="12" t="s">
        <v>155</v>
      </c>
      <c r="V38" s="12" t="s">
        <v>83</v>
      </c>
      <c r="W38" s="8" t="str">
        <f>VLOOKUP(I38,Map!$F$18:$H$51,3,0)</f>
        <v>Variable</v>
      </c>
      <c r="X38" s="88" t="s">
        <v>172</v>
      </c>
      <c r="Y38" s="107" t="str">
        <f>VLOOKUP(L38,Map!$C$18:$D$29,2,0)</f>
        <v>DLT</v>
      </c>
      <c r="Z38" s="52"/>
      <c r="AA38" s="56">
        <f t="shared" si="15"/>
        <v>0</v>
      </c>
      <c r="AB38" s="56">
        <f t="shared" si="16"/>
        <v>0</v>
      </c>
      <c r="AC38" s="31">
        <f t="shared" si="17"/>
        <v>0</v>
      </c>
      <c r="AD38" s="31">
        <f t="shared" si="18"/>
        <v>0</v>
      </c>
      <c r="AE38" s="60">
        <f t="shared" si="19"/>
        <v>0</v>
      </c>
      <c r="AF38" s="8"/>
    </row>
    <row r="39" spans="2:32" s="1" customFormat="1" ht="13" hidden="1" x14ac:dyDescent="0.3">
      <c r="B39" s="12">
        <v>2026</v>
      </c>
      <c r="C39" s="12" t="s">
        <v>153</v>
      </c>
      <c r="D39" s="12" t="s">
        <v>80</v>
      </c>
      <c r="E39" s="12" t="s">
        <v>88</v>
      </c>
      <c r="F39" s="12" t="s">
        <v>172</v>
      </c>
      <c r="G39" s="83"/>
      <c r="H39" s="93"/>
      <c r="I39" s="12" t="s">
        <v>148</v>
      </c>
      <c r="J39" s="8" t="str">
        <f>IFERROR(VLOOKUP(I39,Map!$F$18:$G$56,2,0),"Add in Map")</f>
        <v>3P</v>
      </c>
      <c r="K39" s="8" t="str">
        <f>VLOOKUP(L39,Map!$C$18:$D$29,2,0)</f>
        <v>DMT</v>
      </c>
      <c r="L39" s="12" t="s">
        <v>54</v>
      </c>
      <c r="M39" s="52">
        <v>0</v>
      </c>
      <c r="N39" s="56">
        <f t="shared" si="10"/>
        <v>0</v>
      </c>
      <c r="O39" s="56">
        <f t="shared" si="11"/>
        <v>0</v>
      </c>
      <c r="P39" s="48">
        <f t="shared" si="12"/>
        <v>0</v>
      </c>
      <c r="Q39" s="31">
        <f t="shared" si="13"/>
        <v>0</v>
      </c>
      <c r="R39" s="60">
        <f t="shared" si="14"/>
        <v>0</v>
      </c>
      <c r="S39" s="45">
        <f>INDEX(FX!$D$3:$O$19,MATCH(B39,FX!$B$3:$B$32,0),MATCH(D39,FX!$D$2:$O$2,0))</f>
        <v>924</v>
      </c>
      <c r="T39" s="12" t="s">
        <v>144</v>
      </c>
      <c r="U39" s="12" t="s">
        <v>155</v>
      </c>
      <c r="V39" s="12" t="s">
        <v>83</v>
      </c>
      <c r="W39" s="8" t="str">
        <f>VLOOKUP(I39,Map!$F$18:$H$51,3,0)</f>
        <v>Variable</v>
      </c>
      <c r="X39" s="88" t="s">
        <v>172</v>
      </c>
      <c r="Y39" s="107" t="str">
        <f>VLOOKUP(L39,Map!$C$18:$D$29,2,0)</f>
        <v>DMT</v>
      </c>
      <c r="Z39" s="52"/>
      <c r="AA39" s="56">
        <f t="shared" si="15"/>
        <v>0</v>
      </c>
      <c r="AB39" s="56">
        <f t="shared" si="16"/>
        <v>0</v>
      </c>
      <c r="AC39" s="48">
        <f t="shared" si="17"/>
        <v>0</v>
      </c>
      <c r="AD39" s="31">
        <f t="shared" si="18"/>
        <v>0</v>
      </c>
      <c r="AE39" s="60">
        <f t="shared" si="19"/>
        <v>0</v>
      </c>
      <c r="AF39" s="8"/>
    </row>
    <row r="40" spans="2:32" s="37" customFormat="1" hidden="1" x14ac:dyDescent="0.35">
      <c r="B40" s="13">
        <v>2026</v>
      </c>
      <c r="C40" s="13" t="s">
        <v>153</v>
      </c>
      <c r="D40" s="13" t="s">
        <v>80</v>
      </c>
      <c r="E40" s="13" t="s">
        <v>88</v>
      </c>
      <c r="F40" s="13" t="s">
        <v>172</v>
      </c>
      <c r="G40" s="85"/>
      <c r="H40" s="94"/>
      <c r="I40" s="13" t="s">
        <v>148</v>
      </c>
      <c r="J40" s="29" t="str">
        <f>IFERROR(VLOOKUP(I40,Map!$F$18:$G$56,2,0),"Add in Map")</f>
        <v>3P</v>
      </c>
      <c r="K40" s="29" t="str">
        <f>VLOOKUP(L40,Map!$C$18:$D$29,2,0)</f>
        <v>TOTAL</v>
      </c>
      <c r="L40" s="13" t="s">
        <v>56</v>
      </c>
      <c r="M40" s="57">
        <f>SUM(M29:M39)</f>
        <v>17265549.454188678</v>
      </c>
      <c r="N40" s="57">
        <f t="shared" si="10"/>
        <v>3280454.3962958488</v>
      </c>
      <c r="O40" s="57">
        <f t="shared" si="11"/>
        <v>20546003.850484528</v>
      </c>
      <c r="P40" s="11">
        <f t="shared" si="12"/>
        <v>18685.659582455279</v>
      </c>
      <c r="Q40" s="11">
        <f t="shared" si="13"/>
        <v>3550.2753206665029</v>
      </c>
      <c r="R40" s="61">
        <f t="shared" si="14"/>
        <v>22235.934903121779</v>
      </c>
      <c r="S40" s="46">
        <f>INDEX(FX!$D$3:$O$19,MATCH(B40,FX!$B$3:$B$32,0),MATCH(D40,FX!$D$2:$O$2,0))</f>
        <v>924</v>
      </c>
      <c r="T40" s="13" t="s">
        <v>144</v>
      </c>
      <c r="U40" s="13" t="s">
        <v>155</v>
      </c>
      <c r="V40" s="13" t="s">
        <v>83</v>
      </c>
      <c r="W40" s="29" t="str">
        <f>VLOOKUP(I40,Map!$F$18:$H$51,3,0)</f>
        <v>Variable</v>
      </c>
      <c r="X40" s="90" t="s">
        <v>172</v>
      </c>
      <c r="Y40" s="109" t="str">
        <f>VLOOKUP(L40,Map!$C$18:$D$29,2,0)</f>
        <v>TOTAL</v>
      </c>
      <c r="Z40" s="53"/>
      <c r="AA40" s="57">
        <f t="shared" si="15"/>
        <v>0</v>
      </c>
      <c r="AB40" s="57">
        <f t="shared" si="16"/>
        <v>0</v>
      </c>
      <c r="AC40" s="11">
        <f t="shared" si="17"/>
        <v>0</v>
      </c>
      <c r="AD40" s="11">
        <f t="shared" si="18"/>
        <v>0</v>
      </c>
      <c r="AE40" s="61">
        <f t="shared" si="19"/>
        <v>0</v>
      </c>
      <c r="AF40" s="87"/>
    </row>
    <row r="41" spans="2:32" s="1" customFormat="1" ht="13" hidden="1" x14ac:dyDescent="0.3">
      <c r="B41" s="12">
        <v>2026</v>
      </c>
      <c r="C41" s="12" t="s">
        <v>154</v>
      </c>
      <c r="D41" s="12" t="s">
        <v>80</v>
      </c>
      <c r="E41" s="12" t="s">
        <v>88</v>
      </c>
      <c r="F41" s="12" t="s">
        <v>172</v>
      </c>
      <c r="G41" s="83"/>
      <c r="H41" s="93"/>
      <c r="I41" s="12" t="s">
        <v>148</v>
      </c>
      <c r="J41" s="8" t="str">
        <f>IFERROR(VLOOKUP(I41,Map!$F$18:$G$56,2,0),"Add in Map")</f>
        <v>3P</v>
      </c>
      <c r="K41" s="8" t="str">
        <f>VLOOKUP(L41,Map!$C$18:$D$29,2,0)</f>
        <v>CNT</v>
      </c>
      <c r="L41" s="12" t="s">
        <v>31</v>
      </c>
      <c r="M41" s="50">
        <v>4054902.2436003112</v>
      </c>
      <c r="N41" s="54">
        <f t="shared" si="10"/>
        <v>0</v>
      </c>
      <c r="O41" s="54">
        <f t="shared" si="11"/>
        <v>4825333.6698843697</v>
      </c>
      <c r="P41" s="30">
        <f t="shared" si="12"/>
        <v>4388.4223415587785</v>
      </c>
      <c r="Q41" s="30">
        <f t="shared" si="13"/>
        <v>0</v>
      </c>
      <c r="R41" s="59">
        <f t="shared" si="14"/>
        <v>5222.2225864549464</v>
      </c>
      <c r="S41" s="45">
        <f>INDEX(FX!$D$3:$O$19,MATCH(B41,FX!$B$3:$B$32,0),MATCH(D41,FX!$D$2:$O$2,0))</f>
        <v>924</v>
      </c>
      <c r="T41" s="12" t="s">
        <v>143</v>
      </c>
      <c r="U41" s="12" t="s">
        <v>155</v>
      </c>
      <c r="V41" s="12" t="s">
        <v>83</v>
      </c>
      <c r="W41" s="8" t="str">
        <f>VLOOKUP(I41,Map!$F$18:$H$51,3,0)</f>
        <v>Variable</v>
      </c>
      <c r="X41" s="88" t="s">
        <v>172</v>
      </c>
      <c r="Y41" s="107" t="str">
        <f>VLOOKUP(L41,Map!$C$18:$D$29,2,0)</f>
        <v>CNT</v>
      </c>
      <c r="Z41" s="50"/>
      <c r="AA41" s="54">
        <f t="shared" si="15"/>
        <v>0</v>
      </c>
      <c r="AB41" s="54">
        <f t="shared" si="16"/>
        <v>0</v>
      </c>
      <c r="AC41" s="30">
        <f t="shared" si="17"/>
        <v>0</v>
      </c>
      <c r="AD41" s="30">
        <f t="shared" si="18"/>
        <v>0</v>
      </c>
      <c r="AE41" s="59">
        <f t="shared" si="19"/>
        <v>0</v>
      </c>
      <c r="AF41" s="8"/>
    </row>
    <row r="42" spans="2:32" s="1" customFormat="1" ht="13" hidden="1" x14ac:dyDescent="0.3">
      <c r="B42" s="12">
        <v>2026</v>
      </c>
      <c r="C42" s="12" t="s">
        <v>154</v>
      </c>
      <c r="D42" s="12" t="s">
        <v>80</v>
      </c>
      <c r="E42" s="12" t="s">
        <v>88</v>
      </c>
      <c r="F42" s="12" t="s">
        <v>172</v>
      </c>
      <c r="G42" s="83"/>
      <c r="H42" s="93"/>
      <c r="I42" s="12" t="s">
        <v>148</v>
      </c>
      <c r="J42" s="8" t="str">
        <f>IFERROR(VLOOKUP(I42,Map!$F$18:$G$56,2,0),"Add in Map")</f>
        <v>3P</v>
      </c>
      <c r="K42" s="8" t="str">
        <f>VLOOKUP(L42,Map!$C$18:$D$29,2,0)</f>
        <v>CVT</v>
      </c>
      <c r="L42" s="12" t="s">
        <v>36</v>
      </c>
      <c r="M42" s="50">
        <v>0</v>
      </c>
      <c r="N42" s="54">
        <f t="shared" si="10"/>
        <v>0</v>
      </c>
      <c r="O42" s="54">
        <f t="shared" si="11"/>
        <v>0</v>
      </c>
      <c r="P42" s="30">
        <f t="shared" si="12"/>
        <v>0</v>
      </c>
      <c r="Q42" s="30">
        <f t="shared" si="13"/>
        <v>0</v>
      </c>
      <c r="R42" s="59">
        <f t="shared" si="14"/>
        <v>0</v>
      </c>
      <c r="S42" s="45">
        <f>INDEX(FX!$D$3:$O$19,MATCH(B42,FX!$B$3:$B$32,0),MATCH(D42,FX!$D$2:$O$2,0))</f>
        <v>924</v>
      </c>
      <c r="T42" s="12" t="s">
        <v>143</v>
      </c>
      <c r="U42" s="12" t="s">
        <v>155</v>
      </c>
      <c r="V42" s="12" t="s">
        <v>83</v>
      </c>
      <c r="W42" s="8" t="str">
        <f>VLOOKUP(I42,Map!$F$18:$H$51,3,0)</f>
        <v>Variable</v>
      </c>
      <c r="X42" s="88" t="s">
        <v>172</v>
      </c>
      <c r="Y42" s="107" t="str">
        <f>VLOOKUP(L42,Map!$C$18:$D$29,2,0)</f>
        <v>CVT</v>
      </c>
      <c r="Z42" s="50"/>
      <c r="AA42" s="54">
        <f t="shared" si="15"/>
        <v>0</v>
      </c>
      <c r="AB42" s="54">
        <f t="shared" si="16"/>
        <v>0</v>
      </c>
      <c r="AC42" s="30">
        <f t="shared" si="17"/>
        <v>0</v>
      </c>
      <c r="AD42" s="30">
        <f t="shared" si="18"/>
        <v>0</v>
      </c>
      <c r="AE42" s="59">
        <f t="shared" si="19"/>
        <v>0</v>
      </c>
      <c r="AF42" s="8"/>
    </row>
    <row r="43" spans="2:32" s="1" customFormat="1" ht="13" hidden="1" x14ac:dyDescent="0.3">
      <c r="B43" s="12">
        <v>2026</v>
      </c>
      <c r="C43" s="12" t="s">
        <v>154</v>
      </c>
      <c r="D43" s="12" t="s">
        <v>80</v>
      </c>
      <c r="E43" s="12" t="s">
        <v>88</v>
      </c>
      <c r="F43" s="12" t="s">
        <v>172</v>
      </c>
      <c r="G43" s="83"/>
      <c r="H43" s="93"/>
      <c r="I43" s="12" t="s">
        <v>148</v>
      </c>
      <c r="J43" s="8" t="str">
        <f>IFERROR(VLOOKUP(I43,Map!$F$18:$G$56,2,0),"Add in Map")</f>
        <v>3P</v>
      </c>
      <c r="K43" s="8" t="str">
        <f>VLOOKUP(L43,Map!$C$18:$D$29,2,0)</f>
        <v>CDT</v>
      </c>
      <c r="L43" s="12" t="s">
        <v>38</v>
      </c>
      <c r="M43" s="50">
        <v>51985.926200003989</v>
      </c>
      <c r="N43" s="54">
        <f t="shared" si="10"/>
        <v>0</v>
      </c>
      <c r="O43" s="54">
        <f t="shared" si="11"/>
        <v>61863.252178004746</v>
      </c>
      <c r="P43" s="30">
        <f t="shared" si="12"/>
        <v>56.261824891779206</v>
      </c>
      <c r="Q43" s="30">
        <f t="shared" si="13"/>
        <v>0</v>
      </c>
      <c r="R43" s="59">
        <f t="shared" si="14"/>
        <v>66.951571621217255</v>
      </c>
      <c r="S43" s="45">
        <f>INDEX(FX!$D$3:$O$19,MATCH(B43,FX!$B$3:$B$32,0),MATCH(D43,FX!$D$2:$O$2,0))</f>
        <v>924</v>
      </c>
      <c r="T43" s="12" t="s">
        <v>143</v>
      </c>
      <c r="U43" s="12" t="s">
        <v>155</v>
      </c>
      <c r="V43" s="12" t="s">
        <v>83</v>
      </c>
      <c r="W43" s="8" t="str">
        <f>VLOOKUP(I43,Map!$F$18:$H$51,3,0)</f>
        <v>Variable</v>
      </c>
      <c r="X43" s="88" t="s">
        <v>172</v>
      </c>
      <c r="Y43" s="107" t="str">
        <f>VLOOKUP(L43,Map!$C$18:$D$29,2,0)</f>
        <v>CDT</v>
      </c>
      <c r="Z43" s="50"/>
      <c r="AA43" s="54">
        <f t="shared" si="15"/>
        <v>0</v>
      </c>
      <c r="AB43" s="54">
        <f t="shared" si="16"/>
        <v>0</v>
      </c>
      <c r="AC43" s="30">
        <f t="shared" si="17"/>
        <v>0</v>
      </c>
      <c r="AD43" s="30">
        <f t="shared" si="18"/>
        <v>0</v>
      </c>
      <c r="AE43" s="59">
        <f t="shared" si="19"/>
        <v>0</v>
      </c>
      <c r="AF43" s="8"/>
    </row>
    <row r="44" spans="2:32" s="1" customFormat="1" ht="13" hidden="1" x14ac:dyDescent="0.3">
      <c r="B44" s="12">
        <v>2026</v>
      </c>
      <c r="C44" s="12" t="s">
        <v>154</v>
      </c>
      <c r="D44" s="12" t="s">
        <v>80</v>
      </c>
      <c r="E44" s="12" t="s">
        <v>88</v>
      </c>
      <c r="F44" s="12" t="s">
        <v>172</v>
      </c>
      <c r="G44" s="83"/>
      <c r="H44" s="93"/>
      <c r="I44" s="12" t="s">
        <v>148</v>
      </c>
      <c r="J44" s="8" t="str">
        <f>IFERROR(VLOOKUP(I44,Map!$F$18:$G$56,2,0),"Add in Map")</f>
        <v>3P</v>
      </c>
      <c r="K44" s="8" t="str">
        <f>VLOOKUP(L44,Map!$C$18:$D$29,2,0)</f>
        <v>DFT</v>
      </c>
      <c r="L44" s="12" t="s">
        <v>40</v>
      </c>
      <c r="M44" s="50">
        <v>9773354.1256007496</v>
      </c>
      <c r="N44" s="54">
        <f t="shared" si="10"/>
        <v>0</v>
      </c>
      <c r="O44" s="54">
        <f t="shared" si="11"/>
        <v>11630291.409464892</v>
      </c>
      <c r="P44" s="30">
        <f t="shared" si="12"/>
        <v>10577.223079654492</v>
      </c>
      <c r="Q44" s="30">
        <f t="shared" si="13"/>
        <v>0</v>
      </c>
      <c r="R44" s="59">
        <f t="shared" si="14"/>
        <v>12586.895464788844</v>
      </c>
      <c r="S44" s="45">
        <f>INDEX(FX!$D$3:$O$19,MATCH(B44,FX!$B$3:$B$32,0),MATCH(D44,FX!$D$2:$O$2,0))</f>
        <v>924</v>
      </c>
      <c r="T44" s="12" t="s">
        <v>143</v>
      </c>
      <c r="U44" s="12" t="s">
        <v>155</v>
      </c>
      <c r="V44" s="12" t="s">
        <v>83</v>
      </c>
      <c r="W44" s="8" t="str">
        <f>VLOOKUP(I44,Map!$F$18:$H$51,3,0)</f>
        <v>Variable</v>
      </c>
      <c r="X44" s="88" t="s">
        <v>172</v>
      </c>
      <c r="Y44" s="107" t="str">
        <f>VLOOKUP(L44,Map!$C$18:$D$29,2,0)</f>
        <v>DFT</v>
      </c>
      <c r="Z44" s="50"/>
      <c r="AA44" s="54">
        <f t="shared" si="15"/>
        <v>0</v>
      </c>
      <c r="AB44" s="54">
        <f t="shared" si="16"/>
        <v>0</v>
      </c>
      <c r="AC44" s="30">
        <f t="shared" si="17"/>
        <v>0</v>
      </c>
      <c r="AD44" s="30">
        <f t="shared" si="18"/>
        <v>0</v>
      </c>
      <c r="AE44" s="59">
        <f t="shared" si="19"/>
        <v>0</v>
      </c>
      <c r="AF44" s="8"/>
    </row>
    <row r="45" spans="2:32" s="1" customFormat="1" ht="13" hidden="1" x14ac:dyDescent="0.3">
      <c r="B45" s="12">
        <v>2026</v>
      </c>
      <c r="C45" s="12" t="s">
        <v>154</v>
      </c>
      <c r="D45" s="12" t="s">
        <v>80</v>
      </c>
      <c r="E45" s="12" t="s">
        <v>88</v>
      </c>
      <c r="F45" s="12" t="s">
        <v>172</v>
      </c>
      <c r="G45" s="83"/>
      <c r="H45" s="93"/>
      <c r="I45" s="12" t="s">
        <v>148</v>
      </c>
      <c r="J45" s="8" t="str">
        <f>IFERROR(VLOOKUP(I45,Map!$F$18:$G$56,2,0),"Add in Map")</f>
        <v>3P</v>
      </c>
      <c r="K45" s="8" t="str">
        <f>VLOOKUP(L45,Map!$C$18:$D$29,2,0)</f>
        <v>DVT</v>
      </c>
      <c r="L45" s="12" t="s">
        <v>42</v>
      </c>
      <c r="M45" s="50">
        <v>0</v>
      </c>
      <c r="N45" s="54">
        <f t="shared" si="10"/>
        <v>0</v>
      </c>
      <c r="O45" s="54">
        <f t="shared" si="11"/>
        <v>0</v>
      </c>
      <c r="P45" s="30">
        <f t="shared" si="12"/>
        <v>0</v>
      </c>
      <c r="Q45" s="30">
        <f t="shared" si="13"/>
        <v>0</v>
      </c>
      <c r="R45" s="59">
        <f t="shared" si="14"/>
        <v>0</v>
      </c>
      <c r="S45" s="45">
        <f>INDEX(FX!$D$3:$O$19,MATCH(B45,FX!$B$3:$B$32,0),MATCH(D45,FX!$D$2:$O$2,0))</f>
        <v>924</v>
      </c>
      <c r="T45" s="12" t="s">
        <v>143</v>
      </c>
      <c r="U45" s="12" t="s">
        <v>155</v>
      </c>
      <c r="V45" s="12" t="s">
        <v>83</v>
      </c>
      <c r="W45" s="8" t="str">
        <f>VLOOKUP(I45,Map!$F$18:$H$51,3,0)</f>
        <v>Variable</v>
      </c>
      <c r="X45" s="88" t="s">
        <v>172</v>
      </c>
      <c r="Y45" s="107" t="str">
        <f>VLOOKUP(L45,Map!$C$18:$D$29,2,0)</f>
        <v>DVT</v>
      </c>
      <c r="Z45" s="50"/>
      <c r="AA45" s="54">
        <f t="shared" si="15"/>
        <v>0</v>
      </c>
      <c r="AB45" s="54">
        <f t="shared" si="16"/>
        <v>0</v>
      </c>
      <c r="AC45" s="30">
        <f t="shared" si="17"/>
        <v>0</v>
      </c>
      <c r="AD45" s="30">
        <f t="shared" si="18"/>
        <v>0</v>
      </c>
      <c r="AE45" s="59">
        <f t="shared" si="19"/>
        <v>0</v>
      </c>
      <c r="AF45" s="8"/>
    </row>
    <row r="46" spans="2:32" s="1" customFormat="1" ht="13" hidden="1" x14ac:dyDescent="0.3">
      <c r="B46" s="12">
        <v>2026</v>
      </c>
      <c r="C46" s="12" t="s">
        <v>154</v>
      </c>
      <c r="D46" s="12" t="s">
        <v>80</v>
      </c>
      <c r="E46" s="12" t="s">
        <v>88</v>
      </c>
      <c r="F46" s="12" t="s">
        <v>172</v>
      </c>
      <c r="G46" s="83"/>
      <c r="H46" s="93"/>
      <c r="I46" s="12" t="s">
        <v>148</v>
      </c>
      <c r="J46" s="8" t="str">
        <f>IFERROR(VLOOKUP(I46,Map!$F$18:$G$56,2,0),"Add in Map")</f>
        <v>3P</v>
      </c>
      <c r="K46" s="8" t="str">
        <f>VLOOKUP(L46,Map!$C$18:$D$29,2,0)</f>
        <v>GLT</v>
      </c>
      <c r="L46" s="12" t="s">
        <v>44</v>
      </c>
      <c r="M46" s="50">
        <v>2131422.9742001635</v>
      </c>
      <c r="N46" s="54">
        <f t="shared" si="10"/>
        <v>0</v>
      </c>
      <c r="O46" s="54">
        <f t="shared" si="11"/>
        <v>2536393.3392981943</v>
      </c>
      <c r="P46" s="30">
        <f t="shared" si="12"/>
        <v>2306.7348205629473</v>
      </c>
      <c r="Q46" s="30">
        <f t="shared" si="13"/>
        <v>0</v>
      </c>
      <c r="R46" s="59">
        <f t="shared" si="14"/>
        <v>2745.0144364699072</v>
      </c>
      <c r="S46" s="45">
        <f>INDEX(FX!$D$3:$O$19,MATCH(B46,FX!$B$3:$B$32,0),MATCH(D46,FX!$D$2:$O$2,0))</f>
        <v>924</v>
      </c>
      <c r="T46" s="12" t="s">
        <v>143</v>
      </c>
      <c r="U46" s="12" t="s">
        <v>155</v>
      </c>
      <c r="V46" s="12" t="s">
        <v>83</v>
      </c>
      <c r="W46" s="8" t="str">
        <f>VLOOKUP(I46,Map!$F$18:$H$51,3,0)</f>
        <v>Variable</v>
      </c>
      <c r="X46" s="88" t="s">
        <v>172</v>
      </c>
      <c r="Y46" s="107" t="str">
        <f>VLOOKUP(L46,Map!$C$18:$D$29,2,0)</f>
        <v>GLT</v>
      </c>
      <c r="Z46" s="50"/>
      <c r="AA46" s="54">
        <f t="shared" si="15"/>
        <v>0</v>
      </c>
      <c r="AB46" s="54">
        <f t="shared" si="16"/>
        <v>0</v>
      </c>
      <c r="AC46" s="30">
        <f t="shared" si="17"/>
        <v>0</v>
      </c>
      <c r="AD46" s="30">
        <f t="shared" si="18"/>
        <v>0</v>
      </c>
      <c r="AE46" s="59">
        <f t="shared" si="19"/>
        <v>0</v>
      </c>
      <c r="AF46" s="8"/>
    </row>
    <row r="47" spans="2:32" s="1" customFormat="1" ht="13" hidden="1" x14ac:dyDescent="0.3">
      <c r="B47" s="12">
        <v>2026</v>
      </c>
      <c r="C47" s="12" t="s">
        <v>154</v>
      </c>
      <c r="D47" s="12" t="s">
        <v>80</v>
      </c>
      <c r="E47" s="12" t="s">
        <v>88</v>
      </c>
      <c r="F47" s="12" t="s">
        <v>172</v>
      </c>
      <c r="G47" s="83"/>
      <c r="H47" s="93"/>
      <c r="I47" s="12" t="s">
        <v>148</v>
      </c>
      <c r="J47" s="8" t="str">
        <f>IFERROR(VLOOKUP(I47,Map!$F$18:$G$56,2,0),"Add in Map")</f>
        <v>3P</v>
      </c>
      <c r="K47" s="8" t="str">
        <f>VLOOKUP(L47,Map!$C$18:$D$29,2,0)</f>
        <v>PNT</v>
      </c>
      <c r="L47" s="12" t="s">
        <v>46</v>
      </c>
      <c r="M47" s="50">
        <v>363901.48340002791</v>
      </c>
      <c r="N47" s="54">
        <f t="shared" si="10"/>
        <v>0</v>
      </c>
      <c r="O47" s="54">
        <f t="shared" si="11"/>
        <v>433042.7652460332</v>
      </c>
      <c r="P47" s="30">
        <f t="shared" si="12"/>
        <v>393.83277424245443</v>
      </c>
      <c r="Q47" s="30">
        <f t="shared" si="13"/>
        <v>0</v>
      </c>
      <c r="R47" s="59">
        <f t="shared" si="14"/>
        <v>468.66100134852076</v>
      </c>
      <c r="S47" s="45">
        <f>INDEX(FX!$D$3:$O$19,MATCH(B47,FX!$B$3:$B$32,0),MATCH(D47,FX!$D$2:$O$2,0))</f>
        <v>924</v>
      </c>
      <c r="T47" s="12" t="s">
        <v>143</v>
      </c>
      <c r="U47" s="12" t="s">
        <v>155</v>
      </c>
      <c r="V47" s="12" t="s">
        <v>83</v>
      </c>
      <c r="W47" s="8" t="str">
        <f>VLOOKUP(I47,Map!$F$18:$H$51,3,0)</f>
        <v>Variable</v>
      </c>
      <c r="X47" s="88" t="s">
        <v>172</v>
      </c>
      <c r="Y47" s="107" t="str">
        <f>VLOOKUP(L47,Map!$C$18:$D$29,2,0)</f>
        <v>PNT</v>
      </c>
      <c r="Z47" s="50"/>
      <c r="AA47" s="54">
        <f t="shared" si="15"/>
        <v>0</v>
      </c>
      <c r="AB47" s="54">
        <f t="shared" si="16"/>
        <v>0</v>
      </c>
      <c r="AC47" s="30">
        <f t="shared" si="17"/>
        <v>0</v>
      </c>
      <c r="AD47" s="30">
        <f t="shared" si="18"/>
        <v>0</v>
      </c>
      <c r="AE47" s="59">
        <f t="shared" si="19"/>
        <v>0</v>
      </c>
      <c r="AF47" s="8"/>
    </row>
    <row r="48" spans="2:32" s="1" customFormat="1" ht="13" hidden="1" x14ac:dyDescent="0.3">
      <c r="B48" s="12">
        <v>2026</v>
      </c>
      <c r="C48" s="12" t="s">
        <v>154</v>
      </c>
      <c r="D48" s="12" t="s">
        <v>80</v>
      </c>
      <c r="E48" s="12" t="s">
        <v>88</v>
      </c>
      <c r="F48" s="12" t="s">
        <v>172</v>
      </c>
      <c r="G48" s="83"/>
      <c r="H48" s="93"/>
      <c r="I48" s="12" t="s">
        <v>148</v>
      </c>
      <c r="J48" s="8" t="str">
        <f>IFERROR(VLOOKUP(I48,Map!$F$18:$G$56,2,0),"Add in Map")</f>
        <v>3P</v>
      </c>
      <c r="K48" s="8" t="str">
        <f>VLOOKUP(L48,Map!$C$18:$D$29,2,0)</f>
        <v>GTT</v>
      </c>
      <c r="L48" s="12" t="s">
        <v>48</v>
      </c>
      <c r="M48" s="50">
        <v>207943.70480001596</v>
      </c>
      <c r="N48" s="54">
        <f t="shared" ref="N48:N79" si="20">IF(L48="TOTAL",(M48*0.19),0)</f>
        <v>0</v>
      </c>
      <c r="O48" s="54">
        <f t="shared" ref="O48:O79" si="21">M48*1.19</f>
        <v>247453.00871201899</v>
      </c>
      <c r="P48" s="30">
        <f t="shared" ref="P48:P79" si="22">M48/S48</f>
        <v>225.04729956711682</v>
      </c>
      <c r="Q48" s="30">
        <f t="shared" ref="Q48:Q79" si="23">IF(L48="TOTAL",(P48*0.19),0)</f>
        <v>0</v>
      </c>
      <c r="R48" s="59">
        <f t="shared" si="14"/>
        <v>267.80628648486902</v>
      </c>
      <c r="S48" s="45">
        <f>INDEX(FX!$D$3:$O$19,MATCH(B48,FX!$B$3:$B$32,0),MATCH(D48,FX!$D$2:$O$2,0))</f>
        <v>924</v>
      </c>
      <c r="T48" s="12" t="s">
        <v>143</v>
      </c>
      <c r="U48" s="12" t="s">
        <v>155</v>
      </c>
      <c r="V48" s="12" t="s">
        <v>83</v>
      </c>
      <c r="W48" s="8" t="str">
        <f>VLOOKUP(I48,Map!$F$18:$H$51,3,0)</f>
        <v>Variable</v>
      </c>
      <c r="X48" s="88" t="s">
        <v>172</v>
      </c>
      <c r="Y48" s="107" t="str">
        <f>VLOOKUP(L48,Map!$C$18:$D$29,2,0)</f>
        <v>GTT</v>
      </c>
      <c r="Z48" s="50"/>
      <c r="AA48" s="54">
        <f t="shared" si="15"/>
        <v>0</v>
      </c>
      <c r="AB48" s="54">
        <f t="shared" si="16"/>
        <v>0</v>
      </c>
      <c r="AC48" s="30">
        <f t="shared" si="17"/>
        <v>0</v>
      </c>
      <c r="AD48" s="30">
        <f t="shared" si="18"/>
        <v>0</v>
      </c>
      <c r="AE48" s="59">
        <f t="shared" si="19"/>
        <v>0</v>
      </c>
      <c r="AF48" s="8"/>
    </row>
    <row r="49" spans="2:32" s="1" customFormat="1" ht="13" hidden="1" x14ac:dyDescent="0.3">
      <c r="B49" s="12">
        <v>2026</v>
      </c>
      <c r="C49" s="12" t="s">
        <v>154</v>
      </c>
      <c r="D49" s="12" t="s">
        <v>80</v>
      </c>
      <c r="E49" s="12" t="s">
        <v>88</v>
      </c>
      <c r="F49" s="12" t="s">
        <v>172</v>
      </c>
      <c r="G49" s="83"/>
      <c r="H49" s="93"/>
      <c r="I49" s="12" t="s">
        <v>148</v>
      </c>
      <c r="J49" s="8" t="str">
        <f>IFERROR(VLOOKUP(I49,Map!$F$18:$G$56,2,0),"Add in Map")</f>
        <v>3P</v>
      </c>
      <c r="K49" s="8" t="str">
        <f>VLOOKUP(L49,Map!$C$18:$D$29,2,0)</f>
        <v>DGT</v>
      </c>
      <c r="L49" s="12" t="s">
        <v>50</v>
      </c>
      <c r="M49" s="50">
        <v>155957.77860001195</v>
      </c>
      <c r="N49" s="54">
        <f t="shared" si="20"/>
        <v>0</v>
      </c>
      <c r="O49" s="54">
        <f t="shared" si="21"/>
        <v>185589.75653401422</v>
      </c>
      <c r="P49" s="30">
        <f t="shared" si="22"/>
        <v>168.78547467533761</v>
      </c>
      <c r="Q49" s="30">
        <f t="shared" si="23"/>
        <v>0</v>
      </c>
      <c r="R49" s="59">
        <f t="shared" si="14"/>
        <v>200.85471486365174</v>
      </c>
      <c r="S49" s="45">
        <f>INDEX(FX!$D$3:$O$19,MATCH(B49,FX!$B$3:$B$32,0),MATCH(D49,FX!$D$2:$O$2,0))</f>
        <v>924</v>
      </c>
      <c r="T49" s="12" t="s">
        <v>143</v>
      </c>
      <c r="U49" s="12" t="s">
        <v>155</v>
      </c>
      <c r="V49" s="12" t="s">
        <v>83</v>
      </c>
      <c r="W49" s="8" t="str">
        <f>VLOOKUP(I49,Map!$F$18:$H$51,3,0)</f>
        <v>Variable</v>
      </c>
      <c r="X49" s="88" t="s">
        <v>172</v>
      </c>
      <c r="Y49" s="107" t="str">
        <f>VLOOKUP(L49,Map!$C$18:$D$29,2,0)</f>
        <v>DGT</v>
      </c>
      <c r="Z49" s="50"/>
      <c r="AA49" s="54">
        <f t="shared" si="15"/>
        <v>0</v>
      </c>
      <c r="AB49" s="54">
        <f t="shared" si="16"/>
        <v>0</v>
      </c>
      <c r="AC49" s="30">
        <f t="shared" si="17"/>
        <v>0</v>
      </c>
      <c r="AD49" s="30">
        <f t="shared" si="18"/>
        <v>0</v>
      </c>
      <c r="AE49" s="59">
        <f t="shared" si="19"/>
        <v>0</v>
      </c>
      <c r="AF49" s="8"/>
    </row>
    <row r="50" spans="2:32" s="1" customFormat="1" ht="13" hidden="1" x14ac:dyDescent="0.3">
      <c r="B50" s="12">
        <v>2026</v>
      </c>
      <c r="C50" s="12" t="s">
        <v>154</v>
      </c>
      <c r="D50" s="12" t="s">
        <v>80</v>
      </c>
      <c r="E50" s="12" t="s">
        <v>88</v>
      </c>
      <c r="F50" s="12" t="s">
        <v>172</v>
      </c>
      <c r="G50" s="83"/>
      <c r="H50" s="93"/>
      <c r="I50" s="12" t="s">
        <v>148</v>
      </c>
      <c r="J50" s="8" t="str">
        <f>IFERROR(VLOOKUP(I50,Map!$F$18:$G$56,2,0),"Add in Map")</f>
        <v>3P</v>
      </c>
      <c r="K50" s="8" t="str">
        <f>VLOOKUP(L50,Map!$C$18:$D$29,2,0)</f>
        <v>DLT</v>
      </c>
      <c r="L50" s="12" t="s">
        <v>52</v>
      </c>
      <c r="M50" s="50">
        <v>51985.926200003989</v>
      </c>
      <c r="N50" s="54">
        <f t="shared" si="20"/>
        <v>0</v>
      </c>
      <c r="O50" s="54">
        <f t="shared" si="21"/>
        <v>61863.252178004746</v>
      </c>
      <c r="P50" s="30">
        <f t="shared" si="22"/>
        <v>56.261824891779206</v>
      </c>
      <c r="Q50" s="30">
        <f t="shared" si="23"/>
        <v>0</v>
      </c>
      <c r="R50" s="59">
        <f t="shared" si="14"/>
        <v>66.951571621217255</v>
      </c>
      <c r="S50" s="45">
        <f>INDEX(FX!$D$3:$O$19,MATCH(B50,FX!$B$3:$B$32,0),MATCH(D50,FX!$D$2:$O$2,0))</f>
        <v>924</v>
      </c>
      <c r="T50" s="12" t="s">
        <v>143</v>
      </c>
      <c r="U50" s="12" t="s">
        <v>155</v>
      </c>
      <c r="V50" s="12" t="s">
        <v>83</v>
      </c>
      <c r="W50" s="8" t="str">
        <f>VLOOKUP(I50,Map!$F$18:$H$51,3,0)</f>
        <v>Variable</v>
      </c>
      <c r="X50" s="88" t="s">
        <v>172</v>
      </c>
      <c r="Y50" s="107" t="str">
        <f>VLOOKUP(L50,Map!$C$18:$D$29,2,0)</f>
        <v>DLT</v>
      </c>
      <c r="Z50" s="50"/>
      <c r="AA50" s="54">
        <f t="shared" si="15"/>
        <v>0</v>
      </c>
      <c r="AB50" s="54">
        <f t="shared" si="16"/>
        <v>0</v>
      </c>
      <c r="AC50" s="30">
        <f t="shared" si="17"/>
        <v>0</v>
      </c>
      <c r="AD50" s="30">
        <f t="shared" si="18"/>
        <v>0</v>
      </c>
      <c r="AE50" s="59">
        <f t="shared" si="19"/>
        <v>0</v>
      </c>
      <c r="AF50" s="8"/>
    </row>
    <row r="51" spans="2:32" s="1" customFormat="1" ht="13" hidden="1" x14ac:dyDescent="0.3">
      <c r="B51" s="12">
        <v>2026</v>
      </c>
      <c r="C51" s="12" t="s">
        <v>154</v>
      </c>
      <c r="D51" s="12" t="s">
        <v>80</v>
      </c>
      <c r="E51" s="12" t="s">
        <v>88</v>
      </c>
      <c r="F51" s="12" t="s">
        <v>172</v>
      </c>
      <c r="G51" s="83"/>
      <c r="H51" s="93"/>
      <c r="I51" s="12" t="s">
        <v>148</v>
      </c>
      <c r="J51" s="8" t="str">
        <f>IFERROR(VLOOKUP(I51,Map!$F$18:$G$56,2,0),"Add in Map")</f>
        <v>3P</v>
      </c>
      <c r="K51" s="8" t="str">
        <f>VLOOKUP(L51,Map!$C$18:$D$29,2,0)</f>
        <v>DMT</v>
      </c>
      <c r="L51" s="12" t="s">
        <v>54</v>
      </c>
      <c r="M51" s="50">
        <v>0</v>
      </c>
      <c r="N51" s="54">
        <f t="shared" si="20"/>
        <v>0</v>
      </c>
      <c r="O51" s="54">
        <f t="shared" si="21"/>
        <v>0</v>
      </c>
      <c r="P51" s="30">
        <f t="shared" si="22"/>
        <v>0</v>
      </c>
      <c r="Q51" s="30">
        <f t="shared" si="23"/>
        <v>0</v>
      </c>
      <c r="R51" s="59">
        <f t="shared" si="14"/>
        <v>0</v>
      </c>
      <c r="S51" s="45">
        <f>INDEX(FX!$D$3:$O$19,MATCH(B51,FX!$B$3:$B$32,0),MATCH(D51,FX!$D$2:$O$2,0))</f>
        <v>924</v>
      </c>
      <c r="T51" s="12" t="s">
        <v>143</v>
      </c>
      <c r="U51" s="12" t="s">
        <v>155</v>
      </c>
      <c r="V51" s="12" t="s">
        <v>83</v>
      </c>
      <c r="W51" s="8" t="str">
        <f>VLOOKUP(I51,Map!$F$18:$H$51,3,0)</f>
        <v>Variable</v>
      </c>
      <c r="X51" s="88" t="s">
        <v>172</v>
      </c>
      <c r="Y51" s="107" t="str">
        <f>VLOOKUP(L51,Map!$C$18:$D$29,2,0)</f>
        <v>DMT</v>
      </c>
      <c r="Z51" s="50"/>
      <c r="AA51" s="54">
        <f t="shared" si="15"/>
        <v>0</v>
      </c>
      <c r="AB51" s="54">
        <f t="shared" si="16"/>
        <v>0</v>
      </c>
      <c r="AC51" s="30">
        <f t="shared" si="17"/>
        <v>0</v>
      </c>
      <c r="AD51" s="30">
        <f t="shared" si="18"/>
        <v>0</v>
      </c>
      <c r="AE51" s="59">
        <f t="shared" si="19"/>
        <v>0</v>
      </c>
      <c r="AF51" s="8"/>
    </row>
    <row r="52" spans="2:32" s="37" customFormat="1" hidden="1" x14ac:dyDescent="0.35">
      <c r="B52" s="13">
        <v>2026</v>
      </c>
      <c r="C52" s="13" t="s">
        <v>154</v>
      </c>
      <c r="D52" s="13" t="s">
        <v>80</v>
      </c>
      <c r="E52" s="13" t="s">
        <v>88</v>
      </c>
      <c r="F52" s="13" t="s">
        <v>172</v>
      </c>
      <c r="G52" s="85"/>
      <c r="H52" s="94"/>
      <c r="I52" s="13" t="s">
        <v>148</v>
      </c>
      <c r="J52" s="29" t="str">
        <f>IFERROR(VLOOKUP(I52,Map!$F$18:$G$56,2,0),"Add in Map")</f>
        <v>3P</v>
      </c>
      <c r="K52" s="29" t="str">
        <f>VLOOKUP(L52,Map!$C$18:$D$29,2,0)</f>
        <v>TOTAL</v>
      </c>
      <c r="L52" s="13" t="s">
        <v>56</v>
      </c>
      <c r="M52" s="57">
        <f>SUM(M41:M51)</f>
        <v>16791454.162601285</v>
      </c>
      <c r="N52" s="57">
        <f t="shared" si="20"/>
        <v>3190376.2908942443</v>
      </c>
      <c r="O52" s="57">
        <f t="shared" si="21"/>
        <v>19981830.453495529</v>
      </c>
      <c r="P52" s="11">
        <f t="shared" si="22"/>
        <v>18172.569440044681</v>
      </c>
      <c r="Q52" s="11">
        <f t="shared" si="23"/>
        <v>3452.7881936084896</v>
      </c>
      <c r="R52" s="61">
        <f t="shared" si="14"/>
        <v>21625.35763365317</v>
      </c>
      <c r="S52" s="46">
        <f>INDEX(FX!$D$3:$O$19,MATCH(B52,FX!$B$3:$B$32,0),MATCH(D52,FX!$D$2:$O$2,0))</f>
        <v>924</v>
      </c>
      <c r="T52" s="13" t="s">
        <v>143</v>
      </c>
      <c r="U52" s="13" t="s">
        <v>155</v>
      </c>
      <c r="V52" s="13" t="s">
        <v>83</v>
      </c>
      <c r="W52" s="29" t="str">
        <f>VLOOKUP(I52,Map!$F$18:$H$51,3,0)</f>
        <v>Variable</v>
      </c>
      <c r="X52" s="90" t="s">
        <v>172</v>
      </c>
      <c r="Y52" s="109" t="str">
        <f>VLOOKUP(L52,Map!$C$18:$D$29,2,0)</f>
        <v>TOTAL</v>
      </c>
      <c r="Z52" s="53"/>
      <c r="AA52" s="57">
        <f t="shared" si="15"/>
        <v>0</v>
      </c>
      <c r="AB52" s="57">
        <f t="shared" si="16"/>
        <v>0</v>
      </c>
      <c r="AC52" s="11">
        <f t="shared" si="17"/>
        <v>0</v>
      </c>
      <c r="AD52" s="11">
        <f t="shared" si="18"/>
        <v>0</v>
      </c>
      <c r="AE52" s="61">
        <f t="shared" si="19"/>
        <v>0</v>
      </c>
      <c r="AF52" s="87"/>
    </row>
    <row r="53" spans="2:32" s="1" customFormat="1" ht="13" hidden="1" x14ac:dyDescent="0.3">
      <c r="B53" s="12">
        <v>2026</v>
      </c>
      <c r="C53" s="12" t="s">
        <v>156</v>
      </c>
      <c r="D53" s="12" t="s">
        <v>80</v>
      </c>
      <c r="E53" s="12" t="s">
        <v>88</v>
      </c>
      <c r="F53" s="12" t="s">
        <v>172</v>
      </c>
      <c r="G53" s="83"/>
      <c r="H53" s="93"/>
      <c r="I53" s="12" t="s">
        <v>148</v>
      </c>
      <c r="J53" s="8" t="str">
        <f>IFERROR(VLOOKUP(I53,Map!$F$18:$G$56,2,0),"Add in Map")</f>
        <v>3P</v>
      </c>
      <c r="K53" s="8" t="str">
        <f>VLOOKUP(L53,Map!$C$18:$D$29,2,0)</f>
        <v>CNT</v>
      </c>
      <c r="L53" s="12" t="s">
        <v>31</v>
      </c>
      <c r="M53" s="52">
        <v>5510370.3004917251</v>
      </c>
      <c r="N53" s="56">
        <f t="shared" si="20"/>
        <v>0</v>
      </c>
      <c r="O53" s="56">
        <f t="shared" si="21"/>
        <v>6557340.6575851524</v>
      </c>
      <c r="P53" s="31">
        <f t="shared" si="22"/>
        <v>5963.6042213113906</v>
      </c>
      <c r="Q53" s="31">
        <f t="shared" si="23"/>
        <v>0</v>
      </c>
      <c r="R53" s="60">
        <f t="shared" ref="R53:R64" si="24">P53*1.19</f>
        <v>7096.6890233605545</v>
      </c>
      <c r="S53" s="45">
        <f>INDEX(FX!$D$3:$O$19,MATCH(B53,FX!$B$3:$B$32,0),MATCH(D53,FX!$D$2:$O$2,0))</f>
        <v>924</v>
      </c>
      <c r="T53" s="12" t="s">
        <v>141</v>
      </c>
      <c r="U53" s="12" t="s">
        <v>32</v>
      </c>
      <c r="V53" s="12" t="s">
        <v>83</v>
      </c>
      <c r="W53" s="8" t="str">
        <f>VLOOKUP(I53,Map!$F$18:$H$51,3,0)</f>
        <v>Variable</v>
      </c>
      <c r="X53" s="88" t="s">
        <v>172</v>
      </c>
      <c r="Y53" s="107" t="str">
        <f>VLOOKUP(L53,Map!$C$18:$D$29,2,0)</f>
        <v>CNT</v>
      </c>
      <c r="Z53" s="52"/>
      <c r="AA53" s="56">
        <f t="shared" si="15"/>
        <v>0</v>
      </c>
      <c r="AB53" s="56">
        <f t="shared" si="16"/>
        <v>0</v>
      </c>
      <c r="AC53" s="31">
        <f t="shared" si="17"/>
        <v>0</v>
      </c>
      <c r="AD53" s="31">
        <f t="shared" si="18"/>
        <v>0</v>
      </c>
      <c r="AE53" s="60">
        <f t="shared" si="19"/>
        <v>0</v>
      </c>
      <c r="AF53" s="8"/>
    </row>
    <row r="54" spans="2:32" s="1" customFormat="1" ht="13" hidden="1" x14ac:dyDescent="0.3">
      <c r="B54" s="12">
        <v>2026</v>
      </c>
      <c r="C54" s="12" t="s">
        <v>156</v>
      </c>
      <c r="D54" s="12" t="s">
        <v>80</v>
      </c>
      <c r="E54" s="12" t="s">
        <v>88</v>
      </c>
      <c r="F54" s="12" t="s">
        <v>172</v>
      </c>
      <c r="G54" s="83"/>
      <c r="H54" s="93"/>
      <c r="I54" s="12" t="s">
        <v>148</v>
      </c>
      <c r="J54" s="8" t="str">
        <f>IFERROR(VLOOKUP(I54,Map!$F$18:$G$56,2,0),"Add in Map")</f>
        <v>3P</v>
      </c>
      <c r="K54" s="8" t="str">
        <f>VLOOKUP(L54,Map!$C$18:$D$29,2,0)</f>
        <v>CVT</v>
      </c>
      <c r="L54" s="12" t="s">
        <v>36</v>
      </c>
      <c r="M54" s="52">
        <v>0</v>
      </c>
      <c r="N54" s="56">
        <f t="shared" si="20"/>
        <v>0</v>
      </c>
      <c r="O54" s="56">
        <f t="shared" si="21"/>
        <v>0</v>
      </c>
      <c r="P54" s="31">
        <f t="shared" si="22"/>
        <v>0</v>
      </c>
      <c r="Q54" s="31">
        <f t="shared" si="23"/>
        <v>0</v>
      </c>
      <c r="R54" s="60">
        <f t="shared" si="24"/>
        <v>0</v>
      </c>
      <c r="S54" s="45">
        <f>INDEX(FX!$D$3:$O$19,MATCH(B54,FX!$B$3:$B$32,0),MATCH(D54,FX!$D$2:$O$2,0))</f>
        <v>924</v>
      </c>
      <c r="T54" s="12" t="s">
        <v>141</v>
      </c>
      <c r="U54" s="12" t="s">
        <v>32</v>
      </c>
      <c r="V54" s="12" t="s">
        <v>83</v>
      </c>
      <c r="W54" s="8" t="str">
        <f>VLOOKUP(I54,Map!$F$18:$H$51,3,0)</f>
        <v>Variable</v>
      </c>
      <c r="X54" s="88" t="s">
        <v>172</v>
      </c>
      <c r="Y54" s="107" t="str">
        <f>VLOOKUP(L54,Map!$C$18:$D$29,2,0)</f>
        <v>CVT</v>
      </c>
      <c r="Z54" s="52"/>
      <c r="AA54" s="56">
        <f t="shared" si="15"/>
        <v>0</v>
      </c>
      <c r="AB54" s="56">
        <f t="shared" si="16"/>
        <v>0</v>
      </c>
      <c r="AC54" s="31">
        <f t="shared" si="17"/>
        <v>0</v>
      </c>
      <c r="AD54" s="31">
        <f t="shared" si="18"/>
        <v>0</v>
      </c>
      <c r="AE54" s="60">
        <f t="shared" si="19"/>
        <v>0</v>
      </c>
      <c r="AF54" s="8"/>
    </row>
    <row r="55" spans="2:32" s="1" customFormat="1" ht="13" hidden="1" x14ac:dyDescent="0.3">
      <c r="B55" s="12">
        <v>2026</v>
      </c>
      <c r="C55" s="12" t="s">
        <v>156</v>
      </c>
      <c r="D55" s="12" t="s">
        <v>80</v>
      </c>
      <c r="E55" s="12" t="s">
        <v>88</v>
      </c>
      <c r="F55" s="12" t="s">
        <v>172</v>
      </c>
      <c r="G55" s="83"/>
      <c r="H55" s="93"/>
      <c r="I55" s="12" t="s">
        <v>148</v>
      </c>
      <c r="J55" s="8" t="str">
        <f>IFERROR(VLOOKUP(I55,Map!$F$18:$G$56,2,0),"Add in Map")</f>
        <v>3P</v>
      </c>
      <c r="K55" s="8" t="str">
        <f>VLOOKUP(L55,Map!$C$18:$D$29,2,0)</f>
        <v>CDT</v>
      </c>
      <c r="L55" s="12" t="s">
        <v>38</v>
      </c>
      <c r="M55" s="52">
        <v>70645.77308322725</v>
      </c>
      <c r="N55" s="56">
        <f t="shared" si="20"/>
        <v>0</v>
      </c>
      <c r="O55" s="56">
        <f t="shared" si="21"/>
        <v>84068.469969040423</v>
      </c>
      <c r="P55" s="31">
        <f t="shared" si="22"/>
        <v>76.456464375787064</v>
      </c>
      <c r="Q55" s="31">
        <f t="shared" si="23"/>
        <v>0</v>
      </c>
      <c r="R55" s="60">
        <f t="shared" si="24"/>
        <v>90.983192607186609</v>
      </c>
      <c r="S55" s="45">
        <f>INDEX(FX!$D$3:$O$19,MATCH(B55,FX!$B$3:$B$32,0),MATCH(D55,FX!$D$2:$O$2,0))</f>
        <v>924</v>
      </c>
      <c r="T55" s="12" t="s">
        <v>141</v>
      </c>
      <c r="U55" s="12" t="s">
        <v>32</v>
      </c>
      <c r="V55" s="12" t="s">
        <v>83</v>
      </c>
      <c r="W55" s="8" t="str">
        <f>VLOOKUP(I55,Map!$F$18:$H$51,3,0)</f>
        <v>Variable</v>
      </c>
      <c r="X55" s="88" t="s">
        <v>172</v>
      </c>
      <c r="Y55" s="107" t="str">
        <f>VLOOKUP(L55,Map!$C$18:$D$29,2,0)</f>
        <v>CDT</v>
      </c>
      <c r="Z55" s="52"/>
      <c r="AA55" s="56">
        <f t="shared" si="15"/>
        <v>0</v>
      </c>
      <c r="AB55" s="56">
        <f t="shared" si="16"/>
        <v>0</v>
      </c>
      <c r="AC55" s="31">
        <f t="shared" si="17"/>
        <v>0</v>
      </c>
      <c r="AD55" s="31">
        <f t="shared" si="18"/>
        <v>0</v>
      </c>
      <c r="AE55" s="60">
        <f t="shared" si="19"/>
        <v>0</v>
      </c>
      <c r="AF55" s="8"/>
    </row>
    <row r="56" spans="2:32" s="1" customFormat="1" ht="13" hidden="1" x14ac:dyDescent="0.3">
      <c r="B56" s="12">
        <v>2026</v>
      </c>
      <c r="C56" s="12" t="s">
        <v>156</v>
      </c>
      <c r="D56" s="12" t="s">
        <v>80</v>
      </c>
      <c r="E56" s="12" t="s">
        <v>88</v>
      </c>
      <c r="F56" s="12" t="s">
        <v>172</v>
      </c>
      <c r="G56" s="83"/>
      <c r="H56" s="93"/>
      <c r="I56" s="12" t="s">
        <v>148</v>
      </c>
      <c r="J56" s="8" t="str">
        <f>IFERROR(VLOOKUP(I56,Map!$F$18:$G$56,2,0),"Add in Map")</f>
        <v>3P</v>
      </c>
      <c r="K56" s="8" t="str">
        <f>VLOOKUP(L56,Map!$C$18:$D$29,2,0)</f>
        <v>DFT</v>
      </c>
      <c r="L56" s="12" t="s">
        <v>40</v>
      </c>
      <c r="M56" s="52">
        <v>13281405.339646721</v>
      </c>
      <c r="N56" s="56">
        <f t="shared" si="20"/>
        <v>0</v>
      </c>
      <c r="O56" s="56">
        <f t="shared" si="21"/>
        <v>15804872.354179598</v>
      </c>
      <c r="P56" s="31">
        <f t="shared" si="22"/>
        <v>14373.815302647967</v>
      </c>
      <c r="Q56" s="31">
        <f t="shared" si="23"/>
        <v>0</v>
      </c>
      <c r="R56" s="60">
        <f t="shared" si="24"/>
        <v>17104.84021015108</v>
      </c>
      <c r="S56" s="45">
        <f>INDEX(FX!$D$3:$O$19,MATCH(B56,FX!$B$3:$B$32,0),MATCH(D56,FX!$D$2:$O$2,0))</f>
        <v>924</v>
      </c>
      <c r="T56" s="12" t="s">
        <v>141</v>
      </c>
      <c r="U56" s="12" t="s">
        <v>32</v>
      </c>
      <c r="V56" s="12" t="s">
        <v>83</v>
      </c>
      <c r="W56" s="8" t="str">
        <f>VLOOKUP(I56,Map!$F$18:$H$51,3,0)</f>
        <v>Variable</v>
      </c>
      <c r="X56" s="88" t="s">
        <v>172</v>
      </c>
      <c r="Y56" s="107" t="str">
        <f>VLOOKUP(L56,Map!$C$18:$D$29,2,0)</f>
        <v>DFT</v>
      </c>
      <c r="Z56" s="52"/>
      <c r="AA56" s="56">
        <f t="shared" si="15"/>
        <v>0</v>
      </c>
      <c r="AB56" s="56">
        <f t="shared" si="16"/>
        <v>0</v>
      </c>
      <c r="AC56" s="31">
        <f t="shared" si="17"/>
        <v>0</v>
      </c>
      <c r="AD56" s="31">
        <f t="shared" si="18"/>
        <v>0</v>
      </c>
      <c r="AE56" s="60">
        <f t="shared" si="19"/>
        <v>0</v>
      </c>
      <c r="AF56" s="8"/>
    </row>
    <row r="57" spans="2:32" s="1" customFormat="1" ht="13" hidden="1" x14ac:dyDescent="0.3">
      <c r="B57" s="12">
        <v>2026</v>
      </c>
      <c r="C57" s="12" t="s">
        <v>156</v>
      </c>
      <c r="D57" s="12" t="s">
        <v>80</v>
      </c>
      <c r="E57" s="12" t="s">
        <v>88</v>
      </c>
      <c r="F57" s="12" t="s">
        <v>172</v>
      </c>
      <c r="G57" s="83"/>
      <c r="H57" s="93"/>
      <c r="I57" s="12" t="s">
        <v>148</v>
      </c>
      <c r="J57" s="8" t="str">
        <f>IFERROR(VLOOKUP(I57,Map!$F$18:$G$56,2,0),"Add in Map")</f>
        <v>3P</v>
      </c>
      <c r="K57" s="8" t="str">
        <f>VLOOKUP(L57,Map!$C$18:$D$29,2,0)</f>
        <v>DVT</v>
      </c>
      <c r="L57" s="12" t="s">
        <v>42</v>
      </c>
      <c r="M57" s="52">
        <v>0</v>
      </c>
      <c r="N57" s="56">
        <f t="shared" si="20"/>
        <v>0</v>
      </c>
      <c r="O57" s="56">
        <f t="shared" si="21"/>
        <v>0</v>
      </c>
      <c r="P57" s="31">
        <f t="shared" si="22"/>
        <v>0</v>
      </c>
      <c r="Q57" s="31">
        <f t="shared" si="23"/>
        <v>0</v>
      </c>
      <c r="R57" s="60">
        <f t="shared" si="24"/>
        <v>0</v>
      </c>
      <c r="S57" s="45">
        <f>INDEX(FX!$D$3:$O$19,MATCH(B57,FX!$B$3:$B$32,0),MATCH(D57,FX!$D$2:$O$2,0))</f>
        <v>924</v>
      </c>
      <c r="T57" s="12" t="s">
        <v>141</v>
      </c>
      <c r="U57" s="12" t="s">
        <v>32</v>
      </c>
      <c r="V57" s="12" t="s">
        <v>83</v>
      </c>
      <c r="W57" s="8" t="str">
        <f>VLOOKUP(I57,Map!$F$18:$H$51,3,0)</f>
        <v>Variable</v>
      </c>
      <c r="X57" s="88" t="s">
        <v>172</v>
      </c>
      <c r="Y57" s="107" t="str">
        <f>VLOOKUP(L57,Map!$C$18:$D$29,2,0)</f>
        <v>DVT</v>
      </c>
      <c r="Z57" s="52"/>
      <c r="AA57" s="56">
        <f t="shared" si="15"/>
        <v>0</v>
      </c>
      <c r="AB57" s="56">
        <f t="shared" si="16"/>
        <v>0</v>
      </c>
      <c r="AC57" s="31">
        <f t="shared" si="17"/>
        <v>0</v>
      </c>
      <c r="AD57" s="31">
        <f t="shared" si="18"/>
        <v>0</v>
      </c>
      <c r="AE57" s="60">
        <f t="shared" si="19"/>
        <v>0</v>
      </c>
      <c r="AF57" s="8"/>
    </row>
    <row r="58" spans="2:32" s="1" customFormat="1" ht="13" hidden="1" x14ac:dyDescent="0.3">
      <c r="B58" s="12">
        <v>2026</v>
      </c>
      <c r="C58" s="12" t="s">
        <v>156</v>
      </c>
      <c r="D58" s="12" t="s">
        <v>80</v>
      </c>
      <c r="E58" s="12" t="s">
        <v>88</v>
      </c>
      <c r="F58" s="12" t="s">
        <v>172</v>
      </c>
      <c r="G58" s="83"/>
      <c r="H58" s="93"/>
      <c r="I58" s="12" t="s">
        <v>148</v>
      </c>
      <c r="J58" s="8" t="str">
        <f>IFERROR(VLOOKUP(I58,Map!$F$18:$G$56,2,0),"Add in Map")</f>
        <v>3P</v>
      </c>
      <c r="K58" s="8" t="str">
        <f>VLOOKUP(L58,Map!$C$18:$D$29,2,0)</f>
        <v>GLT</v>
      </c>
      <c r="L58" s="12" t="s">
        <v>44</v>
      </c>
      <c r="M58" s="52">
        <v>2896476.696412317</v>
      </c>
      <c r="N58" s="56">
        <f t="shared" si="20"/>
        <v>0</v>
      </c>
      <c r="O58" s="56">
        <f t="shared" si="21"/>
        <v>3446807.2687306572</v>
      </c>
      <c r="P58" s="31">
        <f t="shared" si="22"/>
        <v>3134.7150394072696</v>
      </c>
      <c r="Q58" s="31">
        <f t="shared" si="23"/>
        <v>0</v>
      </c>
      <c r="R58" s="60">
        <f t="shared" si="24"/>
        <v>3730.3108968946508</v>
      </c>
      <c r="S58" s="45">
        <f>INDEX(FX!$D$3:$O$19,MATCH(B58,FX!$B$3:$B$32,0),MATCH(D58,FX!$D$2:$O$2,0))</f>
        <v>924</v>
      </c>
      <c r="T58" s="12" t="s">
        <v>141</v>
      </c>
      <c r="U58" s="12" t="s">
        <v>32</v>
      </c>
      <c r="V58" s="12" t="s">
        <v>83</v>
      </c>
      <c r="W58" s="8" t="str">
        <f>VLOOKUP(I58,Map!$F$18:$H$51,3,0)</f>
        <v>Variable</v>
      </c>
      <c r="X58" s="88" t="s">
        <v>172</v>
      </c>
      <c r="Y58" s="107" t="str">
        <f>VLOOKUP(L58,Map!$C$18:$D$29,2,0)</f>
        <v>GLT</v>
      </c>
      <c r="Z58" s="52"/>
      <c r="AA58" s="56">
        <f t="shared" si="15"/>
        <v>0</v>
      </c>
      <c r="AB58" s="56">
        <f t="shared" si="16"/>
        <v>0</v>
      </c>
      <c r="AC58" s="31">
        <f t="shared" si="17"/>
        <v>0</v>
      </c>
      <c r="AD58" s="31">
        <f t="shared" si="18"/>
        <v>0</v>
      </c>
      <c r="AE58" s="60">
        <f t="shared" si="19"/>
        <v>0</v>
      </c>
      <c r="AF58" s="8"/>
    </row>
    <row r="59" spans="2:32" s="1" customFormat="1" ht="13" hidden="1" x14ac:dyDescent="0.3">
      <c r="B59" s="12">
        <v>2026</v>
      </c>
      <c r="C59" s="12" t="s">
        <v>156</v>
      </c>
      <c r="D59" s="12" t="s">
        <v>80</v>
      </c>
      <c r="E59" s="12" t="s">
        <v>88</v>
      </c>
      <c r="F59" s="12" t="s">
        <v>172</v>
      </c>
      <c r="G59" s="83"/>
      <c r="H59" s="93"/>
      <c r="I59" s="12" t="s">
        <v>148</v>
      </c>
      <c r="J59" s="8" t="str">
        <f>IFERROR(VLOOKUP(I59,Map!$F$18:$G$56,2,0),"Add in Map")</f>
        <v>3P</v>
      </c>
      <c r="K59" s="8" t="str">
        <f>VLOOKUP(L59,Map!$C$18:$D$29,2,0)</f>
        <v>PNT</v>
      </c>
      <c r="L59" s="12" t="s">
        <v>46</v>
      </c>
      <c r="M59" s="52">
        <v>494520.41158259072</v>
      </c>
      <c r="N59" s="56">
        <f t="shared" si="20"/>
        <v>0</v>
      </c>
      <c r="O59" s="56">
        <f t="shared" si="21"/>
        <v>588479.2897832829</v>
      </c>
      <c r="P59" s="31">
        <f t="shared" si="22"/>
        <v>535.19525063050946</v>
      </c>
      <c r="Q59" s="31">
        <f t="shared" si="23"/>
        <v>0</v>
      </c>
      <c r="R59" s="60">
        <f t="shared" si="24"/>
        <v>636.88234825030622</v>
      </c>
      <c r="S59" s="45">
        <f>INDEX(FX!$D$3:$O$19,MATCH(B59,FX!$B$3:$B$32,0),MATCH(D59,FX!$D$2:$O$2,0))</f>
        <v>924</v>
      </c>
      <c r="T59" s="12" t="s">
        <v>141</v>
      </c>
      <c r="U59" s="12" t="s">
        <v>32</v>
      </c>
      <c r="V59" s="12" t="s">
        <v>83</v>
      </c>
      <c r="W59" s="8" t="str">
        <f>VLOOKUP(I59,Map!$F$18:$H$51,3,0)</f>
        <v>Variable</v>
      </c>
      <c r="X59" s="88" t="s">
        <v>172</v>
      </c>
      <c r="Y59" s="107" t="str">
        <f>VLOOKUP(L59,Map!$C$18:$D$29,2,0)</f>
        <v>PNT</v>
      </c>
      <c r="Z59" s="52"/>
      <c r="AA59" s="56">
        <f t="shared" si="15"/>
        <v>0</v>
      </c>
      <c r="AB59" s="56">
        <f t="shared" si="16"/>
        <v>0</v>
      </c>
      <c r="AC59" s="31">
        <f t="shared" si="17"/>
        <v>0</v>
      </c>
      <c r="AD59" s="31">
        <f t="shared" si="18"/>
        <v>0</v>
      </c>
      <c r="AE59" s="60">
        <f t="shared" si="19"/>
        <v>0</v>
      </c>
      <c r="AF59" s="8"/>
    </row>
    <row r="60" spans="2:32" s="1" customFormat="1" ht="13" hidden="1" x14ac:dyDescent="0.3">
      <c r="B60" s="12">
        <v>2026</v>
      </c>
      <c r="C60" s="12" t="s">
        <v>156</v>
      </c>
      <c r="D60" s="12" t="s">
        <v>80</v>
      </c>
      <c r="E60" s="12" t="s">
        <v>88</v>
      </c>
      <c r="F60" s="12" t="s">
        <v>172</v>
      </c>
      <c r="G60" s="83"/>
      <c r="H60" s="93"/>
      <c r="I60" s="12" t="s">
        <v>148</v>
      </c>
      <c r="J60" s="8" t="str">
        <f>IFERROR(VLOOKUP(I60,Map!$F$18:$G$56,2,0),"Add in Map")</f>
        <v>3P</v>
      </c>
      <c r="K60" s="8" t="str">
        <f>VLOOKUP(L60,Map!$C$18:$D$29,2,0)</f>
        <v>GTT</v>
      </c>
      <c r="L60" s="12" t="s">
        <v>48</v>
      </c>
      <c r="M60" s="52">
        <v>282583.092332909</v>
      </c>
      <c r="N60" s="56">
        <f t="shared" si="20"/>
        <v>0</v>
      </c>
      <c r="O60" s="56">
        <f t="shared" si="21"/>
        <v>336273.87987616169</v>
      </c>
      <c r="P60" s="31">
        <f t="shared" si="22"/>
        <v>305.82585750314826</v>
      </c>
      <c r="Q60" s="31">
        <f t="shared" si="23"/>
        <v>0</v>
      </c>
      <c r="R60" s="60">
        <f t="shared" si="24"/>
        <v>363.93277042874644</v>
      </c>
      <c r="S60" s="45">
        <f>INDEX(FX!$D$3:$O$19,MATCH(B60,FX!$B$3:$B$32,0),MATCH(D60,FX!$D$2:$O$2,0))</f>
        <v>924</v>
      </c>
      <c r="T60" s="12" t="s">
        <v>141</v>
      </c>
      <c r="U60" s="12" t="s">
        <v>32</v>
      </c>
      <c r="V60" s="12" t="s">
        <v>83</v>
      </c>
      <c r="W60" s="8" t="str">
        <f>VLOOKUP(I60,Map!$F$18:$H$51,3,0)</f>
        <v>Variable</v>
      </c>
      <c r="X60" s="88" t="s">
        <v>172</v>
      </c>
      <c r="Y60" s="107" t="str">
        <f>VLOOKUP(L60,Map!$C$18:$D$29,2,0)</f>
        <v>GTT</v>
      </c>
      <c r="Z60" s="52"/>
      <c r="AA60" s="56">
        <f t="shared" si="15"/>
        <v>0</v>
      </c>
      <c r="AB60" s="56">
        <f t="shared" si="16"/>
        <v>0</v>
      </c>
      <c r="AC60" s="31">
        <f t="shared" si="17"/>
        <v>0</v>
      </c>
      <c r="AD60" s="31">
        <f t="shared" si="18"/>
        <v>0</v>
      </c>
      <c r="AE60" s="60">
        <f t="shared" si="19"/>
        <v>0</v>
      </c>
      <c r="AF60" s="8"/>
    </row>
    <row r="61" spans="2:32" s="1" customFormat="1" ht="13" hidden="1" x14ac:dyDescent="0.3">
      <c r="B61" s="12">
        <v>2026</v>
      </c>
      <c r="C61" s="12" t="s">
        <v>156</v>
      </c>
      <c r="D61" s="12" t="s">
        <v>80</v>
      </c>
      <c r="E61" s="12" t="s">
        <v>88</v>
      </c>
      <c r="F61" s="12" t="s">
        <v>172</v>
      </c>
      <c r="G61" s="83"/>
      <c r="H61" s="93"/>
      <c r="I61" s="12" t="s">
        <v>148</v>
      </c>
      <c r="J61" s="8" t="str">
        <f>IFERROR(VLOOKUP(I61,Map!$F$18:$G$56,2,0),"Add in Map")</f>
        <v>3P</v>
      </c>
      <c r="K61" s="8" t="str">
        <f>VLOOKUP(L61,Map!$C$18:$D$29,2,0)</f>
        <v>DGT</v>
      </c>
      <c r="L61" s="12" t="s">
        <v>50</v>
      </c>
      <c r="M61" s="52">
        <v>211937.31924968172</v>
      </c>
      <c r="N61" s="56">
        <f t="shared" si="20"/>
        <v>0</v>
      </c>
      <c r="O61" s="56">
        <f t="shared" si="21"/>
        <v>252205.40990712124</v>
      </c>
      <c r="P61" s="31">
        <f t="shared" si="22"/>
        <v>229.36939312736118</v>
      </c>
      <c r="Q61" s="31">
        <f t="shared" si="23"/>
        <v>0</v>
      </c>
      <c r="R61" s="60">
        <f t="shared" si="24"/>
        <v>272.94957782155979</v>
      </c>
      <c r="S61" s="45">
        <f>INDEX(FX!$D$3:$O$19,MATCH(B61,FX!$B$3:$B$32,0),MATCH(D61,FX!$D$2:$O$2,0))</f>
        <v>924</v>
      </c>
      <c r="T61" s="12" t="s">
        <v>141</v>
      </c>
      <c r="U61" s="12" t="s">
        <v>32</v>
      </c>
      <c r="V61" s="12" t="s">
        <v>83</v>
      </c>
      <c r="W61" s="8" t="str">
        <f>VLOOKUP(I61,Map!$F$18:$H$51,3,0)</f>
        <v>Variable</v>
      </c>
      <c r="X61" s="88" t="s">
        <v>172</v>
      </c>
      <c r="Y61" s="107" t="str">
        <f>VLOOKUP(L61,Map!$C$18:$D$29,2,0)</f>
        <v>DGT</v>
      </c>
      <c r="Z61" s="52"/>
      <c r="AA61" s="56">
        <f t="shared" si="15"/>
        <v>0</v>
      </c>
      <c r="AB61" s="56">
        <f t="shared" si="16"/>
        <v>0</v>
      </c>
      <c r="AC61" s="31">
        <f t="shared" si="17"/>
        <v>0</v>
      </c>
      <c r="AD61" s="31">
        <f t="shared" si="18"/>
        <v>0</v>
      </c>
      <c r="AE61" s="60">
        <f t="shared" si="19"/>
        <v>0</v>
      </c>
      <c r="AF61" s="8"/>
    </row>
    <row r="62" spans="2:32" s="1" customFormat="1" ht="13" hidden="1" x14ac:dyDescent="0.3">
      <c r="B62" s="12">
        <v>2026</v>
      </c>
      <c r="C62" s="12" t="s">
        <v>156</v>
      </c>
      <c r="D62" s="12" t="s">
        <v>80</v>
      </c>
      <c r="E62" s="12" t="s">
        <v>88</v>
      </c>
      <c r="F62" s="12" t="s">
        <v>172</v>
      </c>
      <c r="G62" s="83"/>
      <c r="H62" s="93"/>
      <c r="I62" s="12" t="s">
        <v>148</v>
      </c>
      <c r="J62" s="8" t="str">
        <f>IFERROR(VLOOKUP(I62,Map!$F$18:$G$56,2,0),"Add in Map")</f>
        <v>3P</v>
      </c>
      <c r="K62" s="8" t="str">
        <f>VLOOKUP(L62,Map!$C$18:$D$29,2,0)</f>
        <v>DLT</v>
      </c>
      <c r="L62" s="12" t="s">
        <v>52</v>
      </c>
      <c r="M62" s="52">
        <v>70645.77308322725</v>
      </c>
      <c r="N62" s="56">
        <f t="shared" si="20"/>
        <v>0</v>
      </c>
      <c r="O62" s="56">
        <f t="shared" si="21"/>
        <v>84068.469969040423</v>
      </c>
      <c r="P62" s="31">
        <f t="shared" si="22"/>
        <v>76.456464375787064</v>
      </c>
      <c r="Q62" s="31">
        <f t="shared" si="23"/>
        <v>0</v>
      </c>
      <c r="R62" s="60">
        <f t="shared" si="24"/>
        <v>90.983192607186609</v>
      </c>
      <c r="S62" s="45">
        <f>INDEX(FX!$D$3:$O$19,MATCH(B62,FX!$B$3:$B$32,0),MATCH(D62,FX!$D$2:$O$2,0))</f>
        <v>924</v>
      </c>
      <c r="T62" s="12" t="s">
        <v>141</v>
      </c>
      <c r="U62" s="12" t="s">
        <v>32</v>
      </c>
      <c r="V62" s="12" t="s">
        <v>83</v>
      </c>
      <c r="W62" s="8" t="str">
        <f>VLOOKUP(I62,Map!$F$18:$H$51,3,0)</f>
        <v>Variable</v>
      </c>
      <c r="X62" s="88" t="s">
        <v>172</v>
      </c>
      <c r="Y62" s="107" t="str">
        <f>VLOOKUP(L62,Map!$C$18:$D$29,2,0)</f>
        <v>DLT</v>
      </c>
      <c r="Z62" s="52"/>
      <c r="AA62" s="56">
        <f t="shared" si="15"/>
        <v>0</v>
      </c>
      <c r="AB62" s="56">
        <f t="shared" si="16"/>
        <v>0</v>
      </c>
      <c r="AC62" s="31">
        <f t="shared" si="17"/>
        <v>0</v>
      </c>
      <c r="AD62" s="31">
        <f t="shared" si="18"/>
        <v>0</v>
      </c>
      <c r="AE62" s="60">
        <f t="shared" si="19"/>
        <v>0</v>
      </c>
      <c r="AF62" s="8"/>
    </row>
    <row r="63" spans="2:32" s="1" customFormat="1" ht="13" hidden="1" x14ac:dyDescent="0.3">
      <c r="B63" s="12">
        <v>2026</v>
      </c>
      <c r="C63" s="12" t="s">
        <v>156</v>
      </c>
      <c r="D63" s="12" t="s">
        <v>80</v>
      </c>
      <c r="E63" s="12" t="s">
        <v>88</v>
      </c>
      <c r="F63" s="12" t="s">
        <v>172</v>
      </c>
      <c r="G63" s="83"/>
      <c r="H63" s="93"/>
      <c r="I63" s="12" t="s">
        <v>148</v>
      </c>
      <c r="J63" s="8" t="str">
        <f>IFERROR(VLOOKUP(I63,Map!$F$18:$G$56,2,0),"Add in Map")</f>
        <v>3P</v>
      </c>
      <c r="K63" s="8" t="str">
        <f>VLOOKUP(L63,Map!$C$18:$D$29,2,0)</f>
        <v>DMT</v>
      </c>
      <c r="L63" s="12" t="s">
        <v>54</v>
      </c>
      <c r="M63" s="52">
        <v>0</v>
      </c>
      <c r="N63" s="56">
        <f t="shared" si="20"/>
        <v>0</v>
      </c>
      <c r="O63" s="56">
        <f t="shared" si="21"/>
        <v>0</v>
      </c>
      <c r="P63" s="48">
        <f t="shared" si="22"/>
        <v>0</v>
      </c>
      <c r="Q63" s="31">
        <f t="shared" si="23"/>
        <v>0</v>
      </c>
      <c r="R63" s="60">
        <f t="shared" si="24"/>
        <v>0</v>
      </c>
      <c r="S63" s="45">
        <f>INDEX(FX!$D$3:$O$19,MATCH(B63,FX!$B$3:$B$32,0),MATCH(D63,FX!$D$2:$O$2,0))</f>
        <v>924</v>
      </c>
      <c r="T63" s="12" t="s">
        <v>141</v>
      </c>
      <c r="U63" s="12" t="s">
        <v>32</v>
      </c>
      <c r="V63" s="12" t="s">
        <v>83</v>
      </c>
      <c r="W63" s="8" t="str">
        <f>VLOOKUP(I63,Map!$F$18:$H$51,3,0)</f>
        <v>Variable</v>
      </c>
      <c r="X63" s="88" t="s">
        <v>172</v>
      </c>
      <c r="Y63" s="107" t="str">
        <f>VLOOKUP(L63,Map!$C$18:$D$29,2,0)</f>
        <v>DMT</v>
      </c>
      <c r="Z63" s="52"/>
      <c r="AA63" s="56">
        <f t="shared" si="15"/>
        <v>0</v>
      </c>
      <c r="AB63" s="56">
        <f t="shared" si="16"/>
        <v>0</v>
      </c>
      <c r="AC63" s="48">
        <f t="shared" si="17"/>
        <v>0</v>
      </c>
      <c r="AD63" s="31">
        <f t="shared" si="18"/>
        <v>0</v>
      </c>
      <c r="AE63" s="60">
        <f t="shared" si="19"/>
        <v>0</v>
      </c>
      <c r="AF63" s="8"/>
    </row>
    <row r="64" spans="2:32" s="37" customFormat="1" hidden="1" x14ac:dyDescent="0.35">
      <c r="B64" s="13">
        <v>2026</v>
      </c>
      <c r="C64" s="13" t="s">
        <v>156</v>
      </c>
      <c r="D64" s="13" t="s">
        <v>80</v>
      </c>
      <c r="E64" s="13" t="s">
        <v>88</v>
      </c>
      <c r="F64" s="13" t="s">
        <v>172</v>
      </c>
      <c r="G64" s="85"/>
      <c r="H64" s="94"/>
      <c r="I64" s="13" t="s">
        <v>148</v>
      </c>
      <c r="J64" s="29" t="str">
        <f>IFERROR(VLOOKUP(I64,Map!$F$18:$G$56,2,0),"Add in Map")</f>
        <v>3P</v>
      </c>
      <c r="K64" s="29" t="str">
        <f>VLOOKUP(L64,Map!$C$18:$D$29,2,0)</f>
        <v>TOTAL</v>
      </c>
      <c r="L64" s="13" t="s">
        <v>56</v>
      </c>
      <c r="M64" s="126">
        <f>SUM(M53:M63)</f>
        <v>22818584.7058824</v>
      </c>
      <c r="N64" s="57">
        <f t="shared" si="20"/>
        <v>4335531.0941176564</v>
      </c>
      <c r="O64" s="57">
        <f t="shared" si="21"/>
        <v>27154115.800000057</v>
      </c>
      <c r="P64" s="11">
        <f t="shared" si="22"/>
        <v>24695.437993379222</v>
      </c>
      <c r="Q64" s="11">
        <f t="shared" si="23"/>
        <v>4692.1332187420521</v>
      </c>
      <c r="R64" s="61">
        <f t="shared" si="24"/>
        <v>29387.571212121275</v>
      </c>
      <c r="S64" s="46">
        <f>INDEX(FX!$D$3:$O$19,MATCH(B64,FX!$B$3:$B$32,0),MATCH(D64,FX!$D$2:$O$2,0))</f>
        <v>924</v>
      </c>
      <c r="T64" s="13" t="s">
        <v>141</v>
      </c>
      <c r="U64" s="13" t="s">
        <v>32</v>
      </c>
      <c r="V64" s="13" t="s">
        <v>83</v>
      </c>
      <c r="W64" s="29" t="str">
        <f>VLOOKUP(I64,Map!$F$18:$H$51,3,0)</f>
        <v>Variable</v>
      </c>
      <c r="X64" s="90" t="s">
        <v>172</v>
      </c>
      <c r="Y64" s="109" t="str">
        <f>VLOOKUP(L64,Map!$C$18:$D$29,2,0)</f>
        <v>TOTAL</v>
      </c>
      <c r="Z64" s="53"/>
      <c r="AA64" s="57">
        <f t="shared" si="15"/>
        <v>0</v>
      </c>
      <c r="AB64" s="57">
        <f t="shared" si="16"/>
        <v>0</v>
      </c>
      <c r="AC64" s="11">
        <f t="shared" si="17"/>
        <v>0</v>
      </c>
      <c r="AD64" s="11">
        <f t="shared" si="18"/>
        <v>0</v>
      </c>
      <c r="AE64" s="61">
        <f t="shared" si="19"/>
        <v>0</v>
      </c>
      <c r="AF64" s="87"/>
    </row>
    <row r="65" spans="2:32" s="1" customFormat="1" ht="13" hidden="1" x14ac:dyDescent="0.3">
      <c r="B65" s="12">
        <v>2026</v>
      </c>
      <c r="C65" s="12" t="s">
        <v>157</v>
      </c>
      <c r="D65" s="12" t="s">
        <v>80</v>
      </c>
      <c r="E65" s="12" t="s">
        <v>88</v>
      </c>
      <c r="F65" s="12" t="s">
        <v>172</v>
      </c>
      <c r="G65" s="83"/>
      <c r="H65" s="93"/>
      <c r="I65" s="12" t="s">
        <v>148</v>
      </c>
      <c r="J65" s="8" t="str">
        <f>IFERROR(VLOOKUP(I65,Map!$F$18:$G$56,2,0),"Add in Map")</f>
        <v>3P</v>
      </c>
      <c r="K65" s="8" t="str">
        <f>VLOOKUP(L65,Map!$C$18:$D$29,2,0)</f>
        <v>CNT</v>
      </c>
      <c r="L65" s="12" t="s">
        <v>31</v>
      </c>
      <c r="M65" s="52">
        <v>2753819.4613003097</v>
      </c>
      <c r="N65" s="56">
        <f t="shared" si="20"/>
        <v>0</v>
      </c>
      <c r="O65" s="56">
        <f t="shared" si="21"/>
        <v>3277045.1589473686</v>
      </c>
      <c r="P65" s="31">
        <f t="shared" si="22"/>
        <v>2980.3240923163526</v>
      </c>
      <c r="Q65" s="31">
        <f t="shared" si="23"/>
        <v>0</v>
      </c>
      <c r="R65" s="60">
        <f t="shared" ref="R65:R88" si="25">P65*1.19</f>
        <v>3546.5856698564594</v>
      </c>
      <c r="S65" s="45">
        <f>INDEX(FX!$D$3:$O$19,MATCH(B65,FX!$B$3:$B$32,0),MATCH(D65,FX!$D$2:$O$2,0))</f>
        <v>924</v>
      </c>
      <c r="T65" s="12" t="s">
        <v>141</v>
      </c>
      <c r="U65" s="12" t="s">
        <v>32</v>
      </c>
      <c r="V65" s="12" t="s">
        <v>83</v>
      </c>
      <c r="W65" s="8" t="str">
        <f>VLOOKUP(I65,Map!$F$18:$H$51,3,0)</f>
        <v>Variable</v>
      </c>
      <c r="X65" s="88" t="s">
        <v>172</v>
      </c>
      <c r="Y65" s="107" t="str">
        <f>VLOOKUP(L65,Map!$C$18:$D$29,2,0)</f>
        <v>CNT</v>
      </c>
      <c r="Z65" s="52"/>
      <c r="AA65" s="56">
        <f t="shared" ref="AA65:AA88" si="26">IF(Y65="TOTAL",(Z65*0.19),0)</f>
        <v>0</v>
      </c>
      <c r="AB65" s="56">
        <f t="shared" ref="AB65:AB88" si="27">Z65*1.19</f>
        <v>0</v>
      </c>
      <c r="AC65" s="31">
        <f t="shared" ref="AC65:AC88" si="28">Z65/S65</f>
        <v>0</v>
      </c>
      <c r="AD65" s="31">
        <f t="shared" ref="AD65:AD88" si="29">IF(Y65="TOTAL",(AC65*0.19),0)</f>
        <v>0</v>
      </c>
      <c r="AE65" s="60">
        <f t="shared" ref="AE65:AE88" si="30">AC65*1.19</f>
        <v>0</v>
      </c>
      <c r="AF65" s="8"/>
    </row>
    <row r="66" spans="2:32" s="1" customFormat="1" ht="13" hidden="1" x14ac:dyDescent="0.3">
      <c r="B66" s="12">
        <v>2026</v>
      </c>
      <c r="C66" s="12" t="s">
        <v>157</v>
      </c>
      <c r="D66" s="12" t="s">
        <v>80</v>
      </c>
      <c r="E66" s="12" t="s">
        <v>88</v>
      </c>
      <c r="F66" s="12" t="s">
        <v>172</v>
      </c>
      <c r="G66" s="83"/>
      <c r="H66" s="93"/>
      <c r="I66" s="12" t="s">
        <v>148</v>
      </c>
      <c r="J66" s="8" t="str">
        <f>IFERROR(VLOOKUP(I66,Map!$F$18:$G$56,2,0),"Add in Map")</f>
        <v>3P</v>
      </c>
      <c r="K66" s="8" t="str">
        <f>VLOOKUP(L66,Map!$C$18:$D$29,2,0)</f>
        <v>CVT</v>
      </c>
      <c r="L66" s="12" t="s">
        <v>36</v>
      </c>
      <c r="M66" s="52">
        <v>0</v>
      </c>
      <c r="N66" s="56">
        <f t="shared" si="20"/>
        <v>0</v>
      </c>
      <c r="O66" s="56">
        <f t="shared" si="21"/>
        <v>0</v>
      </c>
      <c r="P66" s="31">
        <f t="shared" si="22"/>
        <v>0</v>
      </c>
      <c r="Q66" s="31">
        <f t="shared" si="23"/>
        <v>0</v>
      </c>
      <c r="R66" s="60">
        <f t="shared" si="25"/>
        <v>0</v>
      </c>
      <c r="S66" s="45">
        <f>INDEX(FX!$D$3:$O$19,MATCH(B66,FX!$B$3:$B$32,0),MATCH(D66,FX!$D$2:$O$2,0))</f>
        <v>924</v>
      </c>
      <c r="T66" s="12" t="s">
        <v>141</v>
      </c>
      <c r="U66" s="12" t="s">
        <v>32</v>
      </c>
      <c r="V66" s="12" t="s">
        <v>83</v>
      </c>
      <c r="W66" s="8" t="str">
        <f>VLOOKUP(I66,Map!$F$18:$H$51,3,0)</f>
        <v>Variable</v>
      </c>
      <c r="X66" s="88" t="s">
        <v>172</v>
      </c>
      <c r="Y66" s="107" t="str">
        <f>VLOOKUP(L66,Map!$C$18:$D$29,2,0)</f>
        <v>CVT</v>
      </c>
      <c r="Z66" s="52"/>
      <c r="AA66" s="56">
        <f t="shared" si="26"/>
        <v>0</v>
      </c>
      <c r="AB66" s="56">
        <f t="shared" si="27"/>
        <v>0</v>
      </c>
      <c r="AC66" s="31">
        <f t="shared" si="28"/>
        <v>0</v>
      </c>
      <c r="AD66" s="31">
        <f t="shared" si="29"/>
        <v>0</v>
      </c>
      <c r="AE66" s="60">
        <f t="shared" si="30"/>
        <v>0</v>
      </c>
      <c r="AF66" s="8"/>
    </row>
    <row r="67" spans="2:32" s="1" customFormat="1" ht="13" hidden="1" x14ac:dyDescent="0.3">
      <c r="B67" s="12">
        <v>2026</v>
      </c>
      <c r="C67" s="12" t="s">
        <v>157</v>
      </c>
      <c r="D67" s="12" t="s">
        <v>80</v>
      </c>
      <c r="E67" s="12" t="s">
        <v>88</v>
      </c>
      <c r="F67" s="12" t="s">
        <v>172</v>
      </c>
      <c r="G67" s="83"/>
      <c r="H67" s="93"/>
      <c r="I67" s="12" t="s">
        <v>148</v>
      </c>
      <c r="J67" s="8" t="str">
        <f>IFERROR(VLOOKUP(I67,Map!$F$18:$G$56,2,0),"Add in Map")</f>
        <v>3P</v>
      </c>
      <c r="K67" s="8" t="str">
        <f>VLOOKUP(L67,Map!$C$18:$D$29,2,0)</f>
        <v>CDT</v>
      </c>
      <c r="L67" s="12" t="s">
        <v>38</v>
      </c>
      <c r="M67" s="52">
        <v>35305.377708978333</v>
      </c>
      <c r="N67" s="56">
        <f t="shared" si="20"/>
        <v>0</v>
      </c>
      <c r="O67" s="56">
        <f t="shared" si="21"/>
        <v>42013.399473684214</v>
      </c>
      <c r="P67" s="31">
        <f t="shared" si="22"/>
        <v>38.209283234825037</v>
      </c>
      <c r="Q67" s="31">
        <f t="shared" si="23"/>
        <v>0</v>
      </c>
      <c r="R67" s="60">
        <f t="shared" si="25"/>
        <v>45.469047049441791</v>
      </c>
      <c r="S67" s="45">
        <f>INDEX(FX!$D$3:$O$19,MATCH(B67,FX!$B$3:$B$32,0),MATCH(D67,FX!$D$2:$O$2,0))</f>
        <v>924</v>
      </c>
      <c r="T67" s="12" t="s">
        <v>141</v>
      </c>
      <c r="U67" s="12" t="s">
        <v>32</v>
      </c>
      <c r="V67" s="12" t="s">
        <v>83</v>
      </c>
      <c r="W67" s="8" t="str">
        <f>VLOOKUP(I67,Map!$F$18:$H$51,3,0)</f>
        <v>Variable</v>
      </c>
      <c r="X67" s="88" t="s">
        <v>172</v>
      </c>
      <c r="Y67" s="107" t="str">
        <f>VLOOKUP(L67,Map!$C$18:$D$29,2,0)</f>
        <v>CDT</v>
      </c>
      <c r="Z67" s="52"/>
      <c r="AA67" s="56">
        <f t="shared" si="26"/>
        <v>0</v>
      </c>
      <c r="AB67" s="56">
        <f t="shared" si="27"/>
        <v>0</v>
      </c>
      <c r="AC67" s="31">
        <f t="shared" si="28"/>
        <v>0</v>
      </c>
      <c r="AD67" s="31">
        <f t="shared" si="29"/>
        <v>0</v>
      </c>
      <c r="AE67" s="60">
        <f t="shared" si="30"/>
        <v>0</v>
      </c>
      <c r="AF67" s="8"/>
    </row>
    <row r="68" spans="2:32" s="1" customFormat="1" ht="13" hidden="1" x14ac:dyDescent="0.3">
      <c r="B68" s="12">
        <v>2026</v>
      </c>
      <c r="C68" s="12" t="s">
        <v>157</v>
      </c>
      <c r="D68" s="12" t="s">
        <v>80</v>
      </c>
      <c r="E68" s="12" t="s">
        <v>88</v>
      </c>
      <c r="F68" s="12" t="s">
        <v>172</v>
      </c>
      <c r="G68" s="83"/>
      <c r="H68" s="93"/>
      <c r="I68" s="12" t="s">
        <v>148</v>
      </c>
      <c r="J68" s="8" t="str">
        <f>IFERROR(VLOOKUP(I68,Map!$F$18:$G$56,2,0),"Add in Map")</f>
        <v>3P</v>
      </c>
      <c r="K68" s="8" t="str">
        <f>VLOOKUP(L68,Map!$C$18:$D$29,2,0)</f>
        <v>DFT</v>
      </c>
      <c r="L68" s="12" t="s">
        <v>40</v>
      </c>
      <c r="M68" s="52">
        <v>6637411.0092879254</v>
      </c>
      <c r="N68" s="56">
        <f t="shared" si="20"/>
        <v>0</v>
      </c>
      <c r="O68" s="56">
        <f t="shared" si="21"/>
        <v>7898519.1010526307</v>
      </c>
      <c r="P68" s="31">
        <f t="shared" si="22"/>
        <v>7183.3452481471058</v>
      </c>
      <c r="Q68" s="31">
        <f t="shared" si="23"/>
        <v>0</v>
      </c>
      <c r="R68" s="60">
        <f t="shared" si="25"/>
        <v>8548.1808452950554</v>
      </c>
      <c r="S68" s="45">
        <f>INDEX(FX!$D$3:$O$19,MATCH(B68,FX!$B$3:$B$32,0),MATCH(D68,FX!$D$2:$O$2,0))</f>
        <v>924</v>
      </c>
      <c r="T68" s="12" t="s">
        <v>141</v>
      </c>
      <c r="U68" s="12" t="s">
        <v>32</v>
      </c>
      <c r="V68" s="12" t="s">
        <v>83</v>
      </c>
      <c r="W68" s="8" t="str">
        <f>VLOOKUP(I68,Map!$F$18:$H$51,3,0)</f>
        <v>Variable</v>
      </c>
      <c r="X68" s="88" t="s">
        <v>172</v>
      </c>
      <c r="Y68" s="107" t="str">
        <f>VLOOKUP(L68,Map!$C$18:$D$29,2,0)</f>
        <v>DFT</v>
      </c>
      <c r="Z68" s="52"/>
      <c r="AA68" s="56">
        <f t="shared" si="26"/>
        <v>0</v>
      </c>
      <c r="AB68" s="56">
        <f t="shared" si="27"/>
        <v>0</v>
      </c>
      <c r="AC68" s="31">
        <f t="shared" si="28"/>
        <v>0</v>
      </c>
      <c r="AD68" s="31">
        <f t="shared" si="29"/>
        <v>0</v>
      </c>
      <c r="AE68" s="60">
        <f t="shared" si="30"/>
        <v>0</v>
      </c>
      <c r="AF68" s="8"/>
    </row>
    <row r="69" spans="2:32" s="1" customFormat="1" ht="13" hidden="1" x14ac:dyDescent="0.3">
      <c r="B69" s="12">
        <v>2026</v>
      </c>
      <c r="C69" s="12" t="s">
        <v>157</v>
      </c>
      <c r="D69" s="12" t="s">
        <v>80</v>
      </c>
      <c r="E69" s="12" t="s">
        <v>88</v>
      </c>
      <c r="F69" s="12" t="s">
        <v>172</v>
      </c>
      <c r="G69" s="83"/>
      <c r="H69" s="93"/>
      <c r="I69" s="12" t="s">
        <v>148</v>
      </c>
      <c r="J69" s="8" t="str">
        <f>IFERROR(VLOOKUP(I69,Map!$F$18:$G$56,2,0),"Add in Map")</f>
        <v>3P</v>
      </c>
      <c r="K69" s="8" t="str">
        <f>VLOOKUP(L69,Map!$C$18:$D$29,2,0)</f>
        <v>DVT</v>
      </c>
      <c r="L69" s="12" t="s">
        <v>42</v>
      </c>
      <c r="M69" s="52">
        <v>0</v>
      </c>
      <c r="N69" s="56">
        <f t="shared" si="20"/>
        <v>0</v>
      </c>
      <c r="O69" s="56">
        <f t="shared" si="21"/>
        <v>0</v>
      </c>
      <c r="P69" s="31">
        <f t="shared" si="22"/>
        <v>0</v>
      </c>
      <c r="Q69" s="31">
        <f t="shared" si="23"/>
        <v>0</v>
      </c>
      <c r="R69" s="60">
        <f t="shared" si="25"/>
        <v>0</v>
      </c>
      <c r="S69" s="45">
        <f>INDEX(FX!$D$3:$O$19,MATCH(B69,FX!$B$3:$B$32,0),MATCH(D69,FX!$D$2:$O$2,0))</f>
        <v>924</v>
      </c>
      <c r="T69" s="12" t="s">
        <v>141</v>
      </c>
      <c r="U69" s="12" t="s">
        <v>32</v>
      </c>
      <c r="V69" s="12" t="s">
        <v>83</v>
      </c>
      <c r="W69" s="8" t="str">
        <f>VLOOKUP(I69,Map!$F$18:$H$51,3,0)</f>
        <v>Variable</v>
      </c>
      <c r="X69" s="88" t="s">
        <v>172</v>
      </c>
      <c r="Y69" s="107" t="str">
        <f>VLOOKUP(L69,Map!$C$18:$D$29,2,0)</f>
        <v>DVT</v>
      </c>
      <c r="Z69" s="52"/>
      <c r="AA69" s="56">
        <f t="shared" si="26"/>
        <v>0</v>
      </c>
      <c r="AB69" s="56">
        <f t="shared" si="27"/>
        <v>0</v>
      </c>
      <c r="AC69" s="31">
        <f t="shared" si="28"/>
        <v>0</v>
      </c>
      <c r="AD69" s="31">
        <f t="shared" si="29"/>
        <v>0</v>
      </c>
      <c r="AE69" s="60">
        <f t="shared" si="30"/>
        <v>0</v>
      </c>
      <c r="AF69" s="8"/>
    </row>
    <row r="70" spans="2:32" s="1" customFormat="1" ht="13" hidden="1" x14ac:dyDescent="0.3">
      <c r="B70" s="12">
        <v>2026</v>
      </c>
      <c r="C70" s="12" t="s">
        <v>157</v>
      </c>
      <c r="D70" s="12" t="s">
        <v>80</v>
      </c>
      <c r="E70" s="12" t="s">
        <v>88</v>
      </c>
      <c r="F70" s="12" t="s">
        <v>172</v>
      </c>
      <c r="G70" s="83"/>
      <c r="H70" s="93"/>
      <c r="I70" s="12" t="s">
        <v>148</v>
      </c>
      <c r="J70" s="8" t="str">
        <f>IFERROR(VLOOKUP(I70,Map!$F$18:$G$56,2,0),"Add in Map")</f>
        <v>3P</v>
      </c>
      <c r="K70" s="8" t="str">
        <f>VLOOKUP(L70,Map!$C$18:$D$29,2,0)</f>
        <v>GLT</v>
      </c>
      <c r="L70" s="12" t="s">
        <v>44</v>
      </c>
      <c r="M70" s="52">
        <v>1447520.4860681114</v>
      </c>
      <c r="N70" s="56">
        <f t="shared" si="20"/>
        <v>0</v>
      </c>
      <c r="O70" s="56">
        <f t="shared" si="21"/>
        <v>1722549.3784210524</v>
      </c>
      <c r="P70" s="31">
        <f t="shared" si="22"/>
        <v>1566.5806126278262</v>
      </c>
      <c r="Q70" s="31">
        <f t="shared" si="23"/>
        <v>0</v>
      </c>
      <c r="R70" s="60">
        <f t="shared" si="25"/>
        <v>1864.230929027113</v>
      </c>
      <c r="S70" s="45">
        <f>INDEX(FX!$D$3:$O$19,MATCH(B70,FX!$B$3:$B$32,0),MATCH(D70,FX!$D$2:$O$2,0))</f>
        <v>924</v>
      </c>
      <c r="T70" s="12" t="s">
        <v>141</v>
      </c>
      <c r="U70" s="12" t="s">
        <v>32</v>
      </c>
      <c r="V70" s="12" t="s">
        <v>83</v>
      </c>
      <c r="W70" s="8" t="str">
        <f>VLOOKUP(I70,Map!$F$18:$H$51,3,0)</f>
        <v>Variable</v>
      </c>
      <c r="X70" s="88" t="s">
        <v>172</v>
      </c>
      <c r="Y70" s="107" t="str">
        <f>VLOOKUP(L70,Map!$C$18:$D$29,2,0)</f>
        <v>GLT</v>
      </c>
      <c r="Z70" s="52"/>
      <c r="AA70" s="56">
        <f t="shared" si="26"/>
        <v>0</v>
      </c>
      <c r="AB70" s="56">
        <f t="shared" si="27"/>
        <v>0</v>
      </c>
      <c r="AC70" s="31">
        <f t="shared" si="28"/>
        <v>0</v>
      </c>
      <c r="AD70" s="31">
        <f t="shared" si="29"/>
        <v>0</v>
      </c>
      <c r="AE70" s="60">
        <f t="shared" si="30"/>
        <v>0</v>
      </c>
      <c r="AF70" s="8"/>
    </row>
    <row r="71" spans="2:32" s="1" customFormat="1" ht="13" hidden="1" x14ac:dyDescent="0.3">
      <c r="B71" s="12">
        <v>2026</v>
      </c>
      <c r="C71" s="12" t="s">
        <v>157</v>
      </c>
      <c r="D71" s="12" t="s">
        <v>80</v>
      </c>
      <c r="E71" s="12" t="s">
        <v>88</v>
      </c>
      <c r="F71" s="12" t="s">
        <v>172</v>
      </c>
      <c r="G71" s="83"/>
      <c r="H71" s="93"/>
      <c r="I71" s="12" t="s">
        <v>148</v>
      </c>
      <c r="J71" s="8" t="str">
        <f>IFERROR(VLOOKUP(I71,Map!$F$18:$G$56,2,0),"Add in Map")</f>
        <v>3P</v>
      </c>
      <c r="K71" s="8" t="str">
        <f>VLOOKUP(L71,Map!$C$18:$D$29,2,0)</f>
        <v>PNT</v>
      </c>
      <c r="L71" s="12" t="s">
        <v>46</v>
      </c>
      <c r="M71" s="52">
        <v>247137.64396284829</v>
      </c>
      <c r="N71" s="56">
        <f t="shared" si="20"/>
        <v>0</v>
      </c>
      <c r="O71" s="56">
        <f t="shared" si="21"/>
        <v>294093.79631578946</v>
      </c>
      <c r="P71" s="31">
        <f t="shared" si="22"/>
        <v>267.46498264377522</v>
      </c>
      <c r="Q71" s="31">
        <f t="shared" si="23"/>
        <v>0</v>
      </c>
      <c r="R71" s="60">
        <f t="shared" si="25"/>
        <v>318.2833293460925</v>
      </c>
      <c r="S71" s="45">
        <f>INDEX(FX!$D$3:$O$19,MATCH(B71,FX!$B$3:$B$32,0),MATCH(D71,FX!$D$2:$O$2,0))</f>
        <v>924</v>
      </c>
      <c r="T71" s="12" t="s">
        <v>141</v>
      </c>
      <c r="U71" s="12" t="s">
        <v>32</v>
      </c>
      <c r="V71" s="12" t="s">
        <v>83</v>
      </c>
      <c r="W71" s="8" t="str">
        <f>VLOOKUP(I71,Map!$F$18:$H$51,3,0)</f>
        <v>Variable</v>
      </c>
      <c r="X71" s="88" t="s">
        <v>172</v>
      </c>
      <c r="Y71" s="107" t="str">
        <f>VLOOKUP(L71,Map!$C$18:$D$29,2,0)</f>
        <v>PNT</v>
      </c>
      <c r="Z71" s="52"/>
      <c r="AA71" s="56">
        <f t="shared" si="26"/>
        <v>0</v>
      </c>
      <c r="AB71" s="56">
        <f t="shared" si="27"/>
        <v>0</v>
      </c>
      <c r="AC71" s="31">
        <f t="shared" si="28"/>
        <v>0</v>
      </c>
      <c r="AD71" s="31">
        <f t="shared" si="29"/>
        <v>0</v>
      </c>
      <c r="AE71" s="60">
        <f t="shared" si="30"/>
        <v>0</v>
      </c>
      <c r="AF71" s="8"/>
    </row>
    <row r="72" spans="2:32" s="1" customFormat="1" ht="13" hidden="1" x14ac:dyDescent="0.3">
      <c r="B72" s="12">
        <v>2026</v>
      </c>
      <c r="C72" s="12" t="s">
        <v>157</v>
      </c>
      <c r="D72" s="12" t="s">
        <v>80</v>
      </c>
      <c r="E72" s="12" t="s">
        <v>88</v>
      </c>
      <c r="F72" s="12" t="s">
        <v>172</v>
      </c>
      <c r="G72" s="83"/>
      <c r="H72" s="93"/>
      <c r="I72" s="12" t="s">
        <v>148</v>
      </c>
      <c r="J72" s="8" t="str">
        <f>IFERROR(VLOOKUP(I72,Map!$F$18:$G$56,2,0),"Add in Map")</f>
        <v>3P</v>
      </c>
      <c r="K72" s="8" t="str">
        <f>VLOOKUP(L72,Map!$C$18:$D$29,2,0)</f>
        <v>GTT</v>
      </c>
      <c r="L72" s="12" t="s">
        <v>48</v>
      </c>
      <c r="M72" s="52">
        <v>141221.51083591333</v>
      </c>
      <c r="N72" s="56">
        <f t="shared" si="20"/>
        <v>0</v>
      </c>
      <c r="O72" s="56">
        <f t="shared" si="21"/>
        <v>168053.59789473686</v>
      </c>
      <c r="P72" s="31">
        <f t="shared" si="22"/>
        <v>152.83713293930015</v>
      </c>
      <c r="Q72" s="31">
        <f t="shared" si="23"/>
        <v>0</v>
      </c>
      <c r="R72" s="60">
        <f t="shared" si="25"/>
        <v>181.87618819776716</v>
      </c>
      <c r="S72" s="45">
        <f>INDEX(FX!$D$3:$O$19,MATCH(B72,FX!$B$3:$B$32,0),MATCH(D72,FX!$D$2:$O$2,0))</f>
        <v>924</v>
      </c>
      <c r="T72" s="12" t="s">
        <v>141</v>
      </c>
      <c r="U72" s="12" t="s">
        <v>32</v>
      </c>
      <c r="V72" s="12" t="s">
        <v>83</v>
      </c>
      <c r="W72" s="8" t="str">
        <f>VLOOKUP(I72,Map!$F$18:$H$51,3,0)</f>
        <v>Variable</v>
      </c>
      <c r="X72" s="88" t="s">
        <v>172</v>
      </c>
      <c r="Y72" s="107" t="str">
        <f>VLOOKUP(L72,Map!$C$18:$D$29,2,0)</f>
        <v>GTT</v>
      </c>
      <c r="Z72" s="52"/>
      <c r="AA72" s="56">
        <f t="shared" si="26"/>
        <v>0</v>
      </c>
      <c r="AB72" s="56">
        <f t="shared" si="27"/>
        <v>0</v>
      </c>
      <c r="AC72" s="31">
        <f t="shared" si="28"/>
        <v>0</v>
      </c>
      <c r="AD72" s="31">
        <f t="shared" si="29"/>
        <v>0</v>
      </c>
      <c r="AE72" s="60">
        <f t="shared" si="30"/>
        <v>0</v>
      </c>
      <c r="AF72" s="8"/>
    </row>
    <row r="73" spans="2:32" s="1" customFormat="1" ht="13" hidden="1" x14ac:dyDescent="0.3">
      <c r="B73" s="12">
        <v>2026</v>
      </c>
      <c r="C73" s="12" t="s">
        <v>157</v>
      </c>
      <c r="D73" s="12" t="s">
        <v>80</v>
      </c>
      <c r="E73" s="12" t="s">
        <v>88</v>
      </c>
      <c r="F73" s="12" t="s">
        <v>172</v>
      </c>
      <c r="G73" s="83"/>
      <c r="H73" s="93"/>
      <c r="I73" s="12" t="s">
        <v>148</v>
      </c>
      <c r="J73" s="8" t="str">
        <f>IFERROR(VLOOKUP(I73,Map!$F$18:$G$56,2,0),"Add in Map")</f>
        <v>3P</v>
      </c>
      <c r="K73" s="8" t="str">
        <f>VLOOKUP(L73,Map!$C$18:$D$29,2,0)</f>
        <v>DGT</v>
      </c>
      <c r="L73" s="12" t="s">
        <v>50</v>
      </c>
      <c r="M73" s="52">
        <v>105916.13312693498</v>
      </c>
      <c r="N73" s="56">
        <f t="shared" si="20"/>
        <v>0</v>
      </c>
      <c r="O73" s="56">
        <f t="shared" si="21"/>
        <v>126040.19842105261</v>
      </c>
      <c r="P73" s="31">
        <f t="shared" si="22"/>
        <v>114.62784970447508</v>
      </c>
      <c r="Q73" s="31">
        <f t="shared" si="23"/>
        <v>0</v>
      </c>
      <c r="R73" s="60">
        <f t="shared" si="25"/>
        <v>136.40714114832534</v>
      </c>
      <c r="S73" s="45">
        <f>INDEX(FX!$D$3:$O$19,MATCH(B73,FX!$B$3:$B$32,0),MATCH(D73,FX!$D$2:$O$2,0))</f>
        <v>924</v>
      </c>
      <c r="T73" s="12" t="s">
        <v>141</v>
      </c>
      <c r="U73" s="12" t="s">
        <v>32</v>
      </c>
      <c r="V73" s="12" t="s">
        <v>83</v>
      </c>
      <c r="W73" s="8" t="str">
        <f>VLOOKUP(I73,Map!$F$18:$H$51,3,0)</f>
        <v>Variable</v>
      </c>
      <c r="X73" s="88" t="s">
        <v>172</v>
      </c>
      <c r="Y73" s="107" t="str">
        <f>VLOOKUP(L73,Map!$C$18:$D$29,2,0)</f>
        <v>DGT</v>
      </c>
      <c r="Z73" s="52"/>
      <c r="AA73" s="56">
        <f t="shared" si="26"/>
        <v>0</v>
      </c>
      <c r="AB73" s="56">
        <f t="shared" si="27"/>
        <v>0</v>
      </c>
      <c r="AC73" s="31">
        <f t="shared" si="28"/>
        <v>0</v>
      </c>
      <c r="AD73" s="31">
        <f t="shared" si="29"/>
        <v>0</v>
      </c>
      <c r="AE73" s="60">
        <f t="shared" si="30"/>
        <v>0</v>
      </c>
      <c r="AF73" s="8"/>
    </row>
    <row r="74" spans="2:32" s="1" customFormat="1" ht="13" hidden="1" x14ac:dyDescent="0.3">
      <c r="B74" s="12">
        <v>2026</v>
      </c>
      <c r="C74" s="12" t="s">
        <v>157</v>
      </c>
      <c r="D74" s="12" t="s">
        <v>80</v>
      </c>
      <c r="E74" s="12" t="s">
        <v>88</v>
      </c>
      <c r="F74" s="12" t="s">
        <v>172</v>
      </c>
      <c r="G74" s="83"/>
      <c r="H74" s="93"/>
      <c r="I74" s="12" t="s">
        <v>148</v>
      </c>
      <c r="J74" s="8" t="str">
        <f>IFERROR(VLOOKUP(I74,Map!$F$18:$G$56,2,0),"Add in Map")</f>
        <v>3P</v>
      </c>
      <c r="K74" s="8" t="str">
        <f>VLOOKUP(L74,Map!$C$18:$D$29,2,0)</f>
        <v>DLT</v>
      </c>
      <c r="L74" s="12" t="s">
        <v>52</v>
      </c>
      <c r="M74" s="52">
        <v>35305.377708978333</v>
      </c>
      <c r="N74" s="56">
        <f t="shared" si="20"/>
        <v>0</v>
      </c>
      <c r="O74" s="56">
        <f t="shared" si="21"/>
        <v>42013.399473684214</v>
      </c>
      <c r="P74" s="31">
        <f t="shared" si="22"/>
        <v>38.209283234825037</v>
      </c>
      <c r="Q74" s="31">
        <f t="shared" si="23"/>
        <v>0</v>
      </c>
      <c r="R74" s="60">
        <f t="shared" si="25"/>
        <v>45.469047049441791</v>
      </c>
      <c r="S74" s="45">
        <f>INDEX(FX!$D$3:$O$19,MATCH(B74,FX!$B$3:$B$32,0),MATCH(D74,FX!$D$2:$O$2,0))</f>
        <v>924</v>
      </c>
      <c r="T74" s="12" t="s">
        <v>141</v>
      </c>
      <c r="U74" s="12" t="s">
        <v>32</v>
      </c>
      <c r="V74" s="12" t="s">
        <v>83</v>
      </c>
      <c r="W74" s="8" t="str">
        <f>VLOOKUP(I74,Map!$F$18:$H$51,3,0)</f>
        <v>Variable</v>
      </c>
      <c r="X74" s="88" t="s">
        <v>172</v>
      </c>
      <c r="Y74" s="107" t="str">
        <f>VLOOKUP(L74,Map!$C$18:$D$29,2,0)</f>
        <v>DLT</v>
      </c>
      <c r="Z74" s="52"/>
      <c r="AA74" s="56">
        <f t="shared" si="26"/>
        <v>0</v>
      </c>
      <c r="AB74" s="56">
        <f t="shared" si="27"/>
        <v>0</v>
      </c>
      <c r="AC74" s="31">
        <f t="shared" si="28"/>
        <v>0</v>
      </c>
      <c r="AD74" s="31">
        <f t="shared" si="29"/>
        <v>0</v>
      </c>
      <c r="AE74" s="60">
        <f t="shared" si="30"/>
        <v>0</v>
      </c>
      <c r="AF74" s="8"/>
    </row>
    <row r="75" spans="2:32" s="1" customFormat="1" ht="13" hidden="1" x14ac:dyDescent="0.3">
      <c r="B75" s="12">
        <v>2026</v>
      </c>
      <c r="C75" s="12" t="s">
        <v>157</v>
      </c>
      <c r="D75" s="12" t="s">
        <v>80</v>
      </c>
      <c r="E75" s="12" t="s">
        <v>88</v>
      </c>
      <c r="F75" s="12" t="s">
        <v>172</v>
      </c>
      <c r="G75" s="83"/>
      <c r="H75" s="93"/>
      <c r="I75" s="12" t="s">
        <v>148</v>
      </c>
      <c r="J75" s="8" t="str">
        <f>IFERROR(VLOOKUP(I75,Map!$F$18:$G$56,2,0),"Add in Map")</f>
        <v>3P</v>
      </c>
      <c r="K75" s="8" t="str">
        <f>VLOOKUP(L75,Map!$C$18:$D$29,2,0)</f>
        <v>DMT</v>
      </c>
      <c r="L75" s="12" t="s">
        <v>54</v>
      </c>
      <c r="M75" s="52">
        <v>0</v>
      </c>
      <c r="N75" s="56">
        <f t="shared" si="20"/>
        <v>0</v>
      </c>
      <c r="O75" s="56">
        <f t="shared" si="21"/>
        <v>0</v>
      </c>
      <c r="P75" s="48">
        <f t="shared" si="22"/>
        <v>0</v>
      </c>
      <c r="Q75" s="31">
        <f t="shared" si="23"/>
        <v>0</v>
      </c>
      <c r="R75" s="60">
        <f t="shared" si="25"/>
        <v>0</v>
      </c>
      <c r="S75" s="45">
        <f>INDEX(FX!$D$3:$O$19,MATCH(B75,FX!$B$3:$B$32,0),MATCH(D75,FX!$D$2:$O$2,0))</f>
        <v>924</v>
      </c>
      <c r="T75" s="12" t="s">
        <v>141</v>
      </c>
      <c r="U75" s="12" t="s">
        <v>32</v>
      </c>
      <c r="V75" s="12" t="s">
        <v>83</v>
      </c>
      <c r="W75" s="8" t="str">
        <f>VLOOKUP(I75,Map!$F$18:$H$51,3,0)</f>
        <v>Variable</v>
      </c>
      <c r="X75" s="88" t="s">
        <v>172</v>
      </c>
      <c r="Y75" s="107" t="str">
        <f>VLOOKUP(L75,Map!$C$18:$D$29,2,0)</f>
        <v>DMT</v>
      </c>
      <c r="Z75" s="52"/>
      <c r="AA75" s="56">
        <f t="shared" si="26"/>
        <v>0</v>
      </c>
      <c r="AB75" s="56">
        <f t="shared" si="27"/>
        <v>0</v>
      </c>
      <c r="AC75" s="48">
        <f t="shared" si="28"/>
        <v>0</v>
      </c>
      <c r="AD75" s="31">
        <f t="shared" si="29"/>
        <v>0</v>
      </c>
      <c r="AE75" s="60">
        <f t="shared" si="30"/>
        <v>0</v>
      </c>
      <c r="AF75" s="8"/>
    </row>
    <row r="76" spans="2:32" s="37" customFormat="1" hidden="1" x14ac:dyDescent="0.35">
      <c r="B76" s="13">
        <v>2026</v>
      </c>
      <c r="C76" s="13" t="s">
        <v>157</v>
      </c>
      <c r="D76" s="13" t="s">
        <v>80</v>
      </c>
      <c r="E76" s="13" t="s">
        <v>88</v>
      </c>
      <c r="F76" s="13" t="s">
        <v>172</v>
      </c>
      <c r="G76" s="85"/>
      <c r="H76" s="94"/>
      <c r="I76" s="13" t="s">
        <v>148</v>
      </c>
      <c r="J76" s="29" t="str">
        <f>IFERROR(VLOOKUP(I76,Map!$F$18:$G$56,2,0),"Add in Map")</f>
        <v>3P</v>
      </c>
      <c r="K76" s="29" t="str">
        <f>VLOOKUP(L76,Map!$C$18:$D$29,2,0)</f>
        <v>TOTAL</v>
      </c>
      <c r="L76" s="13" t="s">
        <v>56</v>
      </c>
      <c r="M76" s="126">
        <f>SUM(M65:M75)</f>
        <v>11403637.000000002</v>
      </c>
      <c r="N76" s="57">
        <f t="shared" si="20"/>
        <v>2166691.0300000003</v>
      </c>
      <c r="O76" s="57">
        <f t="shared" si="21"/>
        <v>13570328.030000001</v>
      </c>
      <c r="P76" s="11">
        <f t="shared" si="22"/>
        <v>12341.598484848488</v>
      </c>
      <c r="Q76" s="11">
        <f t="shared" si="23"/>
        <v>2344.9037121212127</v>
      </c>
      <c r="R76" s="61">
        <f t="shared" si="25"/>
        <v>14686.502196969699</v>
      </c>
      <c r="S76" s="46">
        <f>INDEX(FX!$D$3:$O$19,MATCH(B76,FX!$B$3:$B$32,0),MATCH(D76,FX!$D$2:$O$2,0))</f>
        <v>924</v>
      </c>
      <c r="T76" s="13" t="s">
        <v>141</v>
      </c>
      <c r="U76" s="13" t="s">
        <v>32</v>
      </c>
      <c r="V76" s="13" t="s">
        <v>83</v>
      </c>
      <c r="W76" s="29" t="str">
        <f>VLOOKUP(I76,Map!$F$18:$H$51,3,0)</f>
        <v>Variable</v>
      </c>
      <c r="X76" s="90" t="s">
        <v>172</v>
      </c>
      <c r="Y76" s="109" t="str">
        <f>VLOOKUP(L76,Map!$C$18:$D$29,2,0)</f>
        <v>TOTAL</v>
      </c>
      <c r="Z76" s="53"/>
      <c r="AA76" s="57">
        <f t="shared" si="26"/>
        <v>0</v>
      </c>
      <c r="AB76" s="57">
        <f t="shared" si="27"/>
        <v>0</v>
      </c>
      <c r="AC76" s="11">
        <f t="shared" si="28"/>
        <v>0</v>
      </c>
      <c r="AD76" s="11">
        <f t="shared" si="29"/>
        <v>0</v>
      </c>
      <c r="AE76" s="61">
        <f t="shared" si="30"/>
        <v>0</v>
      </c>
      <c r="AF76" s="87"/>
    </row>
    <row r="77" spans="2:32" s="1" customFormat="1" ht="13" hidden="1" x14ac:dyDescent="0.3">
      <c r="B77" s="12">
        <v>2026</v>
      </c>
      <c r="C77" s="12" t="s">
        <v>158</v>
      </c>
      <c r="D77" s="12" t="s">
        <v>159</v>
      </c>
      <c r="E77" s="12" t="s">
        <v>88</v>
      </c>
      <c r="F77" s="12" t="s">
        <v>80</v>
      </c>
      <c r="G77" s="83">
        <v>46177</v>
      </c>
      <c r="H77" s="93">
        <v>3719</v>
      </c>
      <c r="I77" s="12" t="s">
        <v>148</v>
      </c>
      <c r="J77" s="8" t="str">
        <f>IFERROR(VLOOKUP(I77,Map!$F$18:$G$56,2,0),"Add in Map")</f>
        <v>3P</v>
      </c>
      <c r="K77" s="8" t="str">
        <f>VLOOKUP(L77,Map!$C$18:$D$29,2,0)</f>
        <v>CNT</v>
      </c>
      <c r="L77" s="12" t="s">
        <v>31</v>
      </c>
      <c r="M77" s="52">
        <v>2055020.8797885906</v>
      </c>
      <c r="N77" s="56">
        <f t="shared" si="20"/>
        <v>0</v>
      </c>
      <c r="O77" s="56">
        <f t="shared" si="21"/>
        <v>2445474.8469484225</v>
      </c>
      <c r="P77" s="31">
        <f t="shared" si="22"/>
        <v>2306.4207405034686</v>
      </c>
      <c r="Q77" s="31">
        <f t="shared" si="23"/>
        <v>0</v>
      </c>
      <c r="R77" s="60">
        <f t="shared" si="25"/>
        <v>2744.6406811991274</v>
      </c>
      <c r="S77" s="45">
        <f>INDEX(FX!$D$3:$O$19,MATCH(B77,FX!$B$3:$B$32,0),MATCH(D77,FX!$D$2:$O$2,0))</f>
        <v>891</v>
      </c>
      <c r="T77" s="12" t="s">
        <v>143</v>
      </c>
      <c r="U77" s="12" t="s">
        <v>32</v>
      </c>
      <c r="V77" s="12" t="s">
        <v>83</v>
      </c>
      <c r="W77" s="8" t="str">
        <f>VLOOKUP(I77,Map!$F$18:$H$51,3,0)</f>
        <v>Variable</v>
      </c>
      <c r="X77" s="88" t="s">
        <v>149</v>
      </c>
      <c r="Y77" s="107" t="str">
        <f>VLOOKUP(L77,Map!$C$18:$D$29,2,0)</f>
        <v>CNT</v>
      </c>
      <c r="Z77" s="52"/>
      <c r="AA77" s="56">
        <f t="shared" si="26"/>
        <v>0</v>
      </c>
      <c r="AB77" s="56">
        <f t="shared" si="27"/>
        <v>0</v>
      </c>
      <c r="AC77" s="31">
        <f t="shared" si="28"/>
        <v>0</v>
      </c>
      <c r="AD77" s="31">
        <f t="shared" si="29"/>
        <v>0</v>
      </c>
      <c r="AE77" s="60">
        <f t="shared" si="30"/>
        <v>0</v>
      </c>
      <c r="AF77" s="8"/>
    </row>
    <row r="78" spans="2:32" s="1" customFormat="1" ht="13" hidden="1" x14ac:dyDescent="0.3">
      <c r="B78" s="12">
        <v>2026</v>
      </c>
      <c r="C78" s="12" t="s">
        <v>158</v>
      </c>
      <c r="D78" s="12" t="s">
        <v>159</v>
      </c>
      <c r="E78" s="12" t="s">
        <v>88</v>
      </c>
      <c r="F78" s="12" t="s">
        <v>80</v>
      </c>
      <c r="G78" s="83">
        <v>46177</v>
      </c>
      <c r="H78" s="93">
        <v>3719</v>
      </c>
      <c r="I78" s="12" t="s">
        <v>148</v>
      </c>
      <c r="J78" s="8" t="str">
        <f>IFERROR(VLOOKUP(I78,Map!$F$18:$G$56,2,0),"Add in Map")</f>
        <v>3P</v>
      </c>
      <c r="K78" s="8" t="str">
        <f>VLOOKUP(L78,Map!$C$18:$D$29,2,0)</f>
        <v>CVT</v>
      </c>
      <c r="L78" s="12" t="s">
        <v>36</v>
      </c>
      <c r="M78" s="52">
        <v>110705.62388511069</v>
      </c>
      <c r="N78" s="56">
        <f t="shared" si="20"/>
        <v>0</v>
      </c>
      <c r="O78" s="56">
        <f t="shared" si="21"/>
        <v>131739.69242328173</v>
      </c>
      <c r="P78" s="31">
        <f t="shared" si="22"/>
        <v>124.24873612245868</v>
      </c>
      <c r="Q78" s="31">
        <f t="shared" si="23"/>
        <v>0</v>
      </c>
      <c r="R78" s="60">
        <f t="shared" si="25"/>
        <v>147.85599598572583</v>
      </c>
      <c r="S78" s="45">
        <f>INDEX(FX!$D$3:$O$19,MATCH(B78,FX!$B$3:$B$32,0),MATCH(D78,FX!$D$2:$O$2,0))</f>
        <v>891</v>
      </c>
      <c r="T78" s="12" t="s">
        <v>143</v>
      </c>
      <c r="U78" s="12" t="s">
        <v>32</v>
      </c>
      <c r="V78" s="12" t="s">
        <v>83</v>
      </c>
      <c r="W78" s="8" t="str">
        <f>VLOOKUP(I78,Map!$F$18:$H$51,3,0)</f>
        <v>Variable</v>
      </c>
      <c r="X78" s="88" t="s">
        <v>149</v>
      </c>
      <c r="Y78" s="107" t="str">
        <f>VLOOKUP(L78,Map!$C$18:$D$29,2,0)</f>
        <v>CVT</v>
      </c>
      <c r="Z78" s="52"/>
      <c r="AA78" s="56">
        <f t="shared" si="26"/>
        <v>0</v>
      </c>
      <c r="AB78" s="56">
        <f t="shared" si="27"/>
        <v>0</v>
      </c>
      <c r="AC78" s="31">
        <f t="shared" si="28"/>
        <v>0</v>
      </c>
      <c r="AD78" s="31">
        <f t="shared" si="29"/>
        <v>0</v>
      </c>
      <c r="AE78" s="60">
        <f t="shared" si="30"/>
        <v>0</v>
      </c>
      <c r="AF78" s="8"/>
    </row>
    <row r="79" spans="2:32" s="1" customFormat="1" ht="13" hidden="1" x14ac:dyDescent="0.3">
      <c r="B79" s="12">
        <v>2026</v>
      </c>
      <c r="C79" s="12" t="s">
        <v>158</v>
      </c>
      <c r="D79" s="12" t="s">
        <v>159</v>
      </c>
      <c r="E79" s="12" t="s">
        <v>88</v>
      </c>
      <c r="F79" s="12" t="s">
        <v>80</v>
      </c>
      <c r="G79" s="83">
        <v>46177</v>
      </c>
      <c r="H79" s="93">
        <v>3719</v>
      </c>
      <c r="I79" s="12" t="s">
        <v>148</v>
      </c>
      <c r="J79" s="8" t="str">
        <f>IFERROR(VLOOKUP(I79,Map!$F$18:$G$56,2,0),"Add in Map")</f>
        <v>3P</v>
      </c>
      <c r="K79" s="8" t="str">
        <f>VLOOKUP(L79,Map!$C$18:$D$29,2,0)</f>
        <v>CDT</v>
      </c>
      <c r="L79" s="12" t="s">
        <v>38</v>
      </c>
      <c r="M79" s="52">
        <v>0</v>
      </c>
      <c r="N79" s="56">
        <f t="shared" si="20"/>
        <v>0</v>
      </c>
      <c r="O79" s="56">
        <f t="shared" si="21"/>
        <v>0</v>
      </c>
      <c r="P79" s="31">
        <f t="shared" si="22"/>
        <v>0</v>
      </c>
      <c r="Q79" s="31">
        <f t="shared" si="23"/>
        <v>0</v>
      </c>
      <c r="R79" s="60">
        <f t="shared" si="25"/>
        <v>0</v>
      </c>
      <c r="S79" s="45">
        <f>INDEX(FX!$D$3:$O$19,MATCH(B79,FX!$B$3:$B$32,0),MATCH(D79,FX!$D$2:$O$2,0))</f>
        <v>891</v>
      </c>
      <c r="T79" s="12" t="s">
        <v>143</v>
      </c>
      <c r="U79" s="12" t="s">
        <v>32</v>
      </c>
      <c r="V79" s="12" t="s">
        <v>83</v>
      </c>
      <c r="W79" s="8" t="str">
        <f>VLOOKUP(I79,Map!$F$18:$H$51,3,0)</f>
        <v>Variable</v>
      </c>
      <c r="X79" s="88" t="s">
        <v>149</v>
      </c>
      <c r="Y79" s="107" t="str">
        <f>VLOOKUP(L79,Map!$C$18:$D$29,2,0)</f>
        <v>CDT</v>
      </c>
      <c r="Z79" s="52"/>
      <c r="AA79" s="56">
        <f t="shared" si="26"/>
        <v>0</v>
      </c>
      <c r="AB79" s="56">
        <f t="shared" si="27"/>
        <v>0</v>
      </c>
      <c r="AC79" s="31">
        <f t="shared" si="28"/>
        <v>0</v>
      </c>
      <c r="AD79" s="31">
        <f t="shared" si="29"/>
        <v>0</v>
      </c>
      <c r="AE79" s="60">
        <f t="shared" si="30"/>
        <v>0</v>
      </c>
      <c r="AF79" s="8"/>
    </row>
    <row r="80" spans="2:32" s="1" customFormat="1" ht="13" hidden="1" x14ac:dyDescent="0.3">
      <c r="B80" s="12">
        <v>2026</v>
      </c>
      <c r="C80" s="12" t="s">
        <v>158</v>
      </c>
      <c r="D80" s="12" t="s">
        <v>159</v>
      </c>
      <c r="E80" s="12" t="s">
        <v>88</v>
      </c>
      <c r="F80" s="12" t="s">
        <v>80</v>
      </c>
      <c r="G80" s="83">
        <v>46177</v>
      </c>
      <c r="H80" s="93">
        <v>3719</v>
      </c>
      <c r="I80" s="12" t="s">
        <v>148</v>
      </c>
      <c r="J80" s="8" t="str">
        <f>IFERROR(VLOOKUP(I80,Map!$F$18:$G$56,2,0),"Add in Map")</f>
        <v>3P</v>
      </c>
      <c r="K80" s="8" t="str">
        <f>VLOOKUP(L80,Map!$C$18:$D$29,2,0)</f>
        <v>DFT</v>
      </c>
      <c r="L80" s="12" t="s">
        <v>40</v>
      </c>
      <c r="M80" s="52">
        <v>6018437.3580757603</v>
      </c>
      <c r="N80" s="56">
        <f t="shared" ref="N80:N111" si="31">IF(L80="TOTAL",(M80*0.19),0)</f>
        <v>0</v>
      </c>
      <c r="O80" s="56">
        <f t="shared" ref="O80:O111" si="32">M80*1.19</f>
        <v>7161940.4561101543</v>
      </c>
      <c r="P80" s="31">
        <f t="shared" ref="P80:P111" si="33">M80/S80</f>
        <v>6754.6996162466448</v>
      </c>
      <c r="Q80" s="31">
        <f t="shared" ref="Q80:Q111" si="34">IF(L80="TOTAL",(P80*0.19),0)</f>
        <v>0</v>
      </c>
      <c r="R80" s="60">
        <f t="shared" si="25"/>
        <v>8038.0925433335069</v>
      </c>
      <c r="S80" s="45">
        <f>INDEX(FX!$D$3:$O$19,MATCH(B80,FX!$B$3:$B$32,0),MATCH(D80,FX!$D$2:$O$2,0))</f>
        <v>891</v>
      </c>
      <c r="T80" s="12" t="s">
        <v>143</v>
      </c>
      <c r="U80" s="12" t="s">
        <v>32</v>
      </c>
      <c r="V80" s="12" t="s">
        <v>83</v>
      </c>
      <c r="W80" s="8" t="str">
        <f>VLOOKUP(I80,Map!$F$18:$H$51,3,0)</f>
        <v>Variable</v>
      </c>
      <c r="X80" s="88" t="s">
        <v>149</v>
      </c>
      <c r="Y80" s="107" t="str">
        <f>VLOOKUP(L80,Map!$C$18:$D$29,2,0)</f>
        <v>DFT</v>
      </c>
      <c r="Z80" s="52"/>
      <c r="AA80" s="56">
        <f t="shared" si="26"/>
        <v>0</v>
      </c>
      <c r="AB80" s="56">
        <f t="shared" si="27"/>
        <v>0</v>
      </c>
      <c r="AC80" s="31">
        <f t="shared" si="28"/>
        <v>0</v>
      </c>
      <c r="AD80" s="31">
        <f t="shared" si="29"/>
        <v>0</v>
      </c>
      <c r="AE80" s="60">
        <f t="shared" si="30"/>
        <v>0</v>
      </c>
      <c r="AF80" s="8"/>
    </row>
    <row r="81" spans="2:32" s="1" customFormat="1" ht="13" hidden="1" x14ac:dyDescent="0.3">
      <c r="B81" s="12">
        <v>2026</v>
      </c>
      <c r="C81" s="12" t="s">
        <v>158</v>
      </c>
      <c r="D81" s="12" t="s">
        <v>159</v>
      </c>
      <c r="E81" s="12" t="s">
        <v>88</v>
      </c>
      <c r="F81" s="12" t="s">
        <v>80</v>
      </c>
      <c r="G81" s="83">
        <v>46177</v>
      </c>
      <c r="H81" s="93">
        <v>3719</v>
      </c>
      <c r="I81" s="12" t="s">
        <v>148</v>
      </c>
      <c r="J81" s="8" t="str">
        <f>IFERROR(VLOOKUP(I81,Map!$F$18:$G$56,2,0),"Add in Map")</f>
        <v>3P</v>
      </c>
      <c r="K81" s="8" t="str">
        <f>VLOOKUP(L81,Map!$C$18:$D$29,2,0)</f>
        <v>DVT</v>
      </c>
      <c r="L81" s="12" t="s">
        <v>42</v>
      </c>
      <c r="M81" s="52">
        <v>0</v>
      </c>
      <c r="N81" s="56">
        <f t="shared" si="31"/>
        <v>0</v>
      </c>
      <c r="O81" s="56">
        <f t="shared" si="32"/>
        <v>0</v>
      </c>
      <c r="P81" s="31">
        <f t="shared" si="33"/>
        <v>0</v>
      </c>
      <c r="Q81" s="31">
        <f t="shared" si="34"/>
        <v>0</v>
      </c>
      <c r="R81" s="60">
        <f t="shared" si="25"/>
        <v>0</v>
      </c>
      <c r="S81" s="45">
        <f>INDEX(FX!$D$3:$O$19,MATCH(B81,FX!$B$3:$B$32,0),MATCH(D81,FX!$D$2:$O$2,0))</f>
        <v>891</v>
      </c>
      <c r="T81" s="12" t="s">
        <v>143</v>
      </c>
      <c r="U81" s="12" t="s">
        <v>32</v>
      </c>
      <c r="V81" s="12" t="s">
        <v>83</v>
      </c>
      <c r="W81" s="8" t="str">
        <f>VLOOKUP(I81,Map!$F$18:$H$51,3,0)</f>
        <v>Variable</v>
      </c>
      <c r="X81" s="88" t="s">
        <v>149</v>
      </c>
      <c r="Y81" s="107" t="str">
        <f>VLOOKUP(L81,Map!$C$18:$D$29,2,0)</f>
        <v>DVT</v>
      </c>
      <c r="Z81" s="52"/>
      <c r="AA81" s="56">
        <f t="shared" si="26"/>
        <v>0</v>
      </c>
      <c r="AB81" s="56">
        <f t="shared" si="27"/>
        <v>0</v>
      </c>
      <c r="AC81" s="31">
        <f t="shared" si="28"/>
        <v>0</v>
      </c>
      <c r="AD81" s="31">
        <f t="shared" si="29"/>
        <v>0</v>
      </c>
      <c r="AE81" s="60">
        <f t="shared" si="30"/>
        <v>0</v>
      </c>
      <c r="AF81" s="8"/>
    </row>
    <row r="82" spans="2:32" s="1" customFormat="1" ht="13" hidden="1" x14ac:dyDescent="0.3">
      <c r="B82" s="12">
        <v>2026</v>
      </c>
      <c r="C82" s="12" t="s">
        <v>158</v>
      </c>
      <c r="D82" s="12" t="s">
        <v>159</v>
      </c>
      <c r="E82" s="12" t="s">
        <v>88</v>
      </c>
      <c r="F82" s="12" t="s">
        <v>80</v>
      </c>
      <c r="G82" s="83">
        <v>46177</v>
      </c>
      <c r="H82" s="93">
        <v>3719</v>
      </c>
      <c r="I82" s="12" t="s">
        <v>148</v>
      </c>
      <c r="J82" s="8" t="str">
        <f>IFERROR(VLOOKUP(I82,Map!$F$18:$G$56,2,0),"Add in Map")</f>
        <v>3P</v>
      </c>
      <c r="K82" s="8" t="str">
        <f>VLOOKUP(L82,Map!$C$18:$D$29,2,0)</f>
        <v>GLT</v>
      </c>
      <c r="L82" s="12" t="s">
        <v>44</v>
      </c>
      <c r="M82" s="52">
        <v>2689893.1298958594</v>
      </c>
      <c r="N82" s="56">
        <f t="shared" si="31"/>
        <v>0</v>
      </c>
      <c r="O82" s="56">
        <f t="shared" si="32"/>
        <v>3200972.8245760724</v>
      </c>
      <c r="P82" s="31">
        <f t="shared" si="33"/>
        <v>3018.9597417461946</v>
      </c>
      <c r="Q82" s="31">
        <f t="shared" si="34"/>
        <v>0</v>
      </c>
      <c r="R82" s="60">
        <f t="shared" si="25"/>
        <v>3592.5620926779716</v>
      </c>
      <c r="S82" s="45">
        <f>INDEX(FX!$D$3:$O$19,MATCH(B82,FX!$B$3:$B$32,0),MATCH(D82,FX!$D$2:$O$2,0))</f>
        <v>891</v>
      </c>
      <c r="T82" s="12" t="s">
        <v>143</v>
      </c>
      <c r="U82" s="12" t="s">
        <v>32</v>
      </c>
      <c r="V82" s="12" t="s">
        <v>83</v>
      </c>
      <c r="W82" s="8" t="str">
        <f>VLOOKUP(I82,Map!$F$18:$H$51,3,0)</f>
        <v>Variable</v>
      </c>
      <c r="X82" s="88" t="s">
        <v>149</v>
      </c>
      <c r="Y82" s="107" t="str">
        <f>VLOOKUP(L82,Map!$C$18:$D$29,2,0)</f>
        <v>GLT</v>
      </c>
      <c r="Z82" s="52"/>
      <c r="AA82" s="56">
        <f t="shared" si="26"/>
        <v>0</v>
      </c>
      <c r="AB82" s="56">
        <f t="shared" si="27"/>
        <v>0</v>
      </c>
      <c r="AC82" s="31">
        <f t="shared" si="28"/>
        <v>0</v>
      </c>
      <c r="AD82" s="31">
        <f t="shared" si="29"/>
        <v>0</v>
      </c>
      <c r="AE82" s="60">
        <f t="shared" si="30"/>
        <v>0</v>
      </c>
      <c r="AF82" s="8"/>
    </row>
    <row r="83" spans="2:32" s="1" customFormat="1" ht="13" hidden="1" x14ac:dyDescent="0.3">
      <c r="B83" s="12">
        <v>2026</v>
      </c>
      <c r="C83" s="12" t="s">
        <v>158</v>
      </c>
      <c r="D83" s="12" t="s">
        <v>159</v>
      </c>
      <c r="E83" s="12" t="s">
        <v>88</v>
      </c>
      <c r="F83" s="12" t="s">
        <v>80</v>
      </c>
      <c r="G83" s="83">
        <v>46177</v>
      </c>
      <c r="H83" s="93">
        <v>3719</v>
      </c>
      <c r="I83" s="12" t="s">
        <v>148</v>
      </c>
      <c r="J83" s="8" t="str">
        <f>IFERROR(VLOOKUP(I83,Map!$F$18:$G$56,2,0),"Add in Map")</f>
        <v>3P</v>
      </c>
      <c r="K83" s="8" t="str">
        <f>VLOOKUP(L83,Map!$C$18:$D$29,2,0)</f>
        <v>PNT</v>
      </c>
      <c r="L83" s="12" t="s">
        <v>46</v>
      </c>
      <c r="M83" s="52">
        <v>202816.14837633111</v>
      </c>
      <c r="N83" s="56">
        <f t="shared" si="31"/>
        <v>0</v>
      </c>
      <c r="O83" s="56">
        <f t="shared" si="32"/>
        <v>241351.21656783402</v>
      </c>
      <c r="P83" s="31">
        <f t="shared" si="33"/>
        <v>227.6275514885871</v>
      </c>
      <c r="Q83" s="31">
        <f t="shared" si="34"/>
        <v>0</v>
      </c>
      <c r="R83" s="60">
        <f t="shared" si="25"/>
        <v>270.87678627141867</v>
      </c>
      <c r="S83" s="45">
        <f>INDEX(FX!$D$3:$O$19,MATCH(B83,FX!$B$3:$B$32,0),MATCH(D83,FX!$D$2:$O$2,0))</f>
        <v>891</v>
      </c>
      <c r="T83" s="12" t="s">
        <v>143</v>
      </c>
      <c r="U83" s="12" t="s">
        <v>32</v>
      </c>
      <c r="V83" s="12" t="s">
        <v>83</v>
      </c>
      <c r="W83" s="8" t="str">
        <f>VLOOKUP(I83,Map!$F$18:$H$51,3,0)</f>
        <v>Variable</v>
      </c>
      <c r="X83" s="88" t="s">
        <v>149</v>
      </c>
      <c r="Y83" s="107" t="str">
        <f>VLOOKUP(L83,Map!$C$18:$D$29,2,0)</f>
        <v>PNT</v>
      </c>
      <c r="Z83" s="52"/>
      <c r="AA83" s="56">
        <f t="shared" si="26"/>
        <v>0</v>
      </c>
      <c r="AB83" s="56">
        <f t="shared" si="27"/>
        <v>0</v>
      </c>
      <c r="AC83" s="31">
        <f t="shared" si="28"/>
        <v>0</v>
      </c>
      <c r="AD83" s="31">
        <f t="shared" si="29"/>
        <v>0</v>
      </c>
      <c r="AE83" s="60">
        <f t="shared" si="30"/>
        <v>0</v>
      </c>
      <c r="AF83" s="8"/>
    </row>
    <row r="84" spans="2:32" s="1" customFormat="1" ht="13" hidden="1" x14ac:dyDescent="0.3">
      <c r="B84" s="12">
        <v>2026</v>
      </c>
      <c r="C84" s="12" t="s">
        <v>158</v>
      </c>
      <c r="D84" s="12" t="s">
        <v>159</v>
      </c>
      <c r="E84" s="12" t="s">
        <v>88</v>
      </c>
      <c r="F84" s="12" t="s">
        <v>80</v>
      </c>
      <c r="G84" s="83">
        <v>46177</v>
      </c>
      <c r="H84" s="93">
        <v>3719</v>
      </c>
      <c r="I84" s="12" t="s">
        <v>148</v>
      </c>
      <c r="J84" s="8" t="str">
        <f>IFERROR(VLOOKUP(I84,Map!$F$18:$G$56,2,0),"Add in Map")</f>
        <v>3P</v>
      </c>
      <c r="K84" s="8" t="str">
        <f>VLOOKUP(L84,Map!$C$18:$D$29,2,0)</f>
        <v>GTT</v>
      </c>
      <c r="L84" s="12" t="s">
        <v>48</v>
      </c>
      <c r="M84" s="52">
        <v>108893.76599716295</v>
      </c>
      <c r="N84" s="56">
        <f t="shared" si="31"/>
        <v>0</v>
      </c>
      <c r="O84" s="56">
        <f t="shared" si="32"/>
        <v>129583.5815366239</v>
      </c>
      <c r="P84" s="31">
        <f t="shared" si="33"/>
        <v>122.21522558604147</v>
      </c>
      <c r="Q84" s="31">
        <f t="shared" si="34"/>
        <v>0</v>
      </c>
      <c r="R84" s="60">
        <f t="shared" si="25"/>
        <v>145.43611844738933</v>
      </c>
      <c r="S84" s="45">
        <f>INDEX(FX!$D$3:$O$19,MATCH(B84,FX!$B$3:$B$32,0),MATCH(D84,FX!$D$2:$O$2,0))</f>
        <v>891</v>
      </c>
      <c r="T84" s="12" t="s">
        <v>143</v>
      </c>
      <c r="U84" s="12" t="s">
        <v>32</v>
      </c>
      <c r="V84" s="12" t="s">
        <v>83</v>
      </c>
      <c r="W84" s="8" t="str">
        <f>VLOOKUP(I84,Map!$F$18:$H$51,3,0)</f>
        <v>Variable</v>
      </c>
      <c r="X84" s="88" t="s">
        <v>149</v>
      </c>
      <c r="Y84" s="107" t="str">
        <f>VLOOKUP(L84,Map!$C$18:$D$29,2,0)</f>
        <v>GTT</v>
      </c>
      <c r="Z84" s="52"/>
      <c r="AA84" s="56">
        <f t="shared" si="26"/>
        <v>0</v>
      </c>
      <c r="AB84" s="56">
        <f t="shared" si="27"/>
        <v>0</v>
      </c>
      <c r="AC84" s="31">
        <f t="shared" si="28"/>
        <v>0</v>
      </c>
      <c r="AD84" s="31">
        <f t="shared" si="29"/>
        <v>0</v>
      </c>
      <c r="AE84" s="60">
        <f t="shared" si="30"/>
        <v>0</v>
      </c>
      <c r="AF84" s="8"/>
    </row>
    <row r="85" spans="2:32" s="1" customFormat="1" ht="13" hidden="1" x14ac:dyDescent="0.3">
      <c r="B85" s="12">
        <v>2026</v>
      </c>
      <c r="C85" s="12" t="s">
        <v>158</v>
      </c>
      <c r="D85" s="12" t="s">
        <v>159</v>
      </c>
      <c r="E85" s="12" t="s">
        <v>88</v>
      </c>
      <c r="F85" s="12" t="s">
        <v>80</v>
      </c>
      <c r="G85" s="83">
        <v>46177</v>
      </c>
      <c r="H85" s="93">
        <v>3719</v>
      </c>
      <c r="I85" s="12" t="s">
        <v>148</v>
      </c>
      <c r="J85" s="8" t="str">
        <f>IFERROR(VLOOKUP(I85,Map!$F$18:$G$56,2,0),"Add in Map")</f>
        <v>3P</v>
      </c>
      <c r="K85" s="8" t="str">
        <f>VLOOKUP(L85,Map!$C$18:$D$29,2,0)</f>
        <v>DGT</v>
      </c>
      <c r="L85" s="12" t="s">
        <v>50</v>
      </c>
      <c r="M85" s="52">
        <v>54903.208762582544</v>
      </c>
      <c r="N85" s="56">
        <f t="shared" si="31"/>
        <v>0</v>
      </c>
      <c r="O85" s="56">
        <f t="shared" si="32"/>
        <v>65334.818427473227</v>
      </c>
      <c r="P85" s="31">
        <f t="shared" si="33"/>
        <v>61.619762920968064</v>
      </c>
      <c r="Q85" s="31">
        <f t="shared" si="34"/>
        <v>0</v>
      </c>
      <c r="R85" s="60">
        <f t="shared" si="25"/>
        <v>73.327517875951997</v>
      </c>
      <c r="S85" s="45">
        <f>INDEX(FX!$D$3:$O$19,MATCH(B85,FX!$B$3:$B$32,0),MATCH(D85,FX!$D$2:$O$2,0))</f>
        <v>891</v>
      </c>
      <c r="T85" s="12" t="s">
        <v>143</v>
      </c>
      <c r="U85" s="12" t="s">
        <v>32</v>
      </c>
      <c r="V85" s="12" t="s">
        <v>83</v>
      </c>
      <c r="W85" s="8" t="str">
        <f>VLOOKUP(I85,Map!$F$18:$H$51,3,0)</f>
        <v>Variable</v>
      </c>
      <c r="X85" s="88" t="s">
        <v>149</v>
      </c>
      <c r="Y85" s="107" t="str">
        <f>VLOOKUP(L85,Map!$C$18:$D$29,2,0)</f>
        <v>DGT</v>
      </c>
      <c r="Z85" s="52"/>
      <c r="AA85" s="56">
        <f t="shared" si="26"/>
        <v>0</v>
      </c>
      <c r="AB85" s="56">
        <f t="shared" si="27"/>
        <v>0</v>
      </c>
      <c r="AC85" s="31">
        <f t="shared" si="28"/>
        <v>0</v>
      </c>
      <c r="AD85" s="31">
        <f t="shared" si="29"/>
        <v>0</v>
      </c>
      <c r="AE85" s="60">
        <f t="shared" si="30"/>
        <v>0</v>
      </c>
      <c r="AF85" s="8"/>
    </row>
    <row r="86" spans="2:32" s="1" customFormat="1" ht="13" hidden="1" x14ac:dyDescent="0.3">
      <c r="B86" s="12">
        <v>2026</v>
      </c>
      <c r="C86" s="12" t="s">
        <v>158</v>
      </c>
      <c r="D86" s="12" t="s">
        <v>159</v>
      </c>
      <c r="E86" s="12" t="s">
        <v>88</v>
      </c>
      <c r="F86" s="12" t="s">
        <v>80</v>
      </c>
      <c r="G86" s="83">
        <v>46177</v>
      </c>
      <c r="H86" s="93">
        <v>3719</v>
      </c>
      <c r="I86" s="12" t="s">
        <v>148</v>
      </c>
      <c r="J86" s="8" t="str">
        <f>IFERROR(VLOOKUP(I86,Map!$F$18:$G$56,2,0),"Add in Map")</f>
        <v>3P</v>
      </c>
      <c r="K86" s="8" t="str">
        <f>VLOOKUP(L86,Map!$C$18:$D$29,2,0)</f>
        <v>DLT</v>
      </c>
      <c r="L86" s="12" t="s">
        <v>52</v>
      </c>
      <c r="M86" s="52">
        <v>16787.885218604297</v>
      </c>
      <c r="N86" s="56">
        <f t="shared" si="31"/>
        <v>0</v>
      </c>
      <c r="O86" s="56">
        <f t="shared" si="32"/>
        <v>19977.583410139112</v>
      </c>
      <c r="P86" s="31">
        <f t="shared" si="33"/>
        <v>18.841622018635576</v>
      </c>
      <c r="Q86" s="31">
        <f t="shared" si="34"/>
        <v>0</v>
      </c>
      <c r="R86" s="60">
        <f t="shared" si="25"/>
        <v>22.421530202176335</v>
      </c>
      <c r="S86" s="45">
        <f>INDEX(FX!$D$3:$O$19,MATCH(B86,FX!$B$3:$B$32,0),MATCH(D86,FX!$D$2:$O$2,0))</f>
        <v>891</v>
      </c>
      <c r="T86" s="12" t="s">
        <v>143</v>
      </c>
      <c r="U86" s="12" t="s">
        <v>32</v>
      </c>
      <c r="V86" s="12" t="s">
        <v>83</v>
      </c>
      <c r="W86" s="8" t="str">
        <f>VLOOKUP(I86,Map!$F$18:$H$51,3,0)</f>
        <v>Variable</v>
      </c>
      <c r="X86" s="88" t="s">
        <v>149</v>
      </c>
      <c r="Y86" s="107" t="str">
        <f>VLOOKUP(L86,Map!$C$18:$D$29,2,0)</f>
        <v>DLT</v>
      </c>
      <c r="Z86" s="52"/>
      <c r="AA86" s="56">
        <f t="shared" si="26"/>
        <v>0</v>
      </c>
      <c r="AB86" s="56">
        <f t="shared" si="27"/>
        <v>0</v>
      </c>
      <c r="AC86" s="31">
        <f t="shared" si="28"/>
        <v>0</v>
      </c>
      <c r="AD86" s="31">
        <f t="shared" si="29"/>
        <v>0</v>
      </c>
      <c r="AE86" s="60">
        <f t="shared" si="30"/>
        <v>0</v>
      </c>
      <c r="AF86" s="8"/>
    </row>
    <row r="87" spans="2:32" s="1" customFormat="1" ht="13" hidden="1" x14ac:dyDescent="0.3">
      <c r="B87" s="12">
        <v>2026</v>
      </c>
      <c r="C87" s="12" t="s">
        <v>158</v>
      </c>
      <c r="D87" s="12" t="s">
        <v>159</v>
      </c>
      <c r="E87" s="12" t="s">
        <v>88</v>
      </c>
      <c r="F87" s="12" t="s">
        <v>80</v>
      </c>
      <c r="G87" s="83">
        <v>46177</v>
      </c>
      <c r="H87" s="93">
        <v>3719</v>
      </c>
      <c r="I87" s="12" t="s">
        <v>148</v>
      </c>
      <c r="J87" s="8" t="str">
        <f>IFERROR(VLOOKUP(I87,Map!$F$18:$G$56,2,0),"Add in Map")</f>
        <v>3P</v>
      </c>
      <c r="K87" s="8" t="str">
        <f>VLOOKUP(L87,Map!$C$18:$D$29,2,0)</f>
        <v>DMT</v>
      </c>
      <c r="L87" s="12" t="s">
        <v>54</v>
      </c>
      <c r="M87" s="52">
        <v>0</v>
      </c>
      <c r="N87" s="56">
        <f t="shared" si="31"/>
        <v>0</v>
      </c>
      <c r="O87" s="56">
        <f t="shared" si="32"/>
        <v>0</v>
      </c>
      <c r="P87" s="48">
        <f t="shared" si="33"/>
        <v>0</v>
      </c>
      <c r="Q87" s="31">
        <f t="shared" si="34"/>
        <v>0</v>
      </c>
      <c r="R87" s="60">
        <f t="shared" si="25"/>
        <v>0</v>
      </c>
      <c r="S87" s="45">
        <f>INDEX(FX!$D$3:$O$19,MATCH(B87,FX!$B$3:$B$32,0),MATCH(D87,FX!$D$2:$O$2,0))</f>
        <v>891</v>
      </c>
      <c r="T87" s="12" t="s">
        <v>143</v>
      </c>
      <c r="U87" s="12" t="s">
        <v>32</v>
      </c>
      <c r="V87" s="12" t="s">
        <v>83</v>
      </c>
      <c r="W87" s="8" t="str">
        <f>VLOOKUP(I87,Map!$F$18:$H$51,3,0)</f>
        <v>Variable</v>
      </c>
      <c r="X87" s="88" t="s">
        <v>149</v>
      </c>
      <c r="Y87" s="107" t="str">
        <f>VLOOKUP(L87,Map!$C$18:$D$29,2,0)</f>
        <v>DMT</v>
      </c>
      <c r="Z87" s="52"/>
      <c r="AA87" s="56">
        <f t="shared" si="26"/>
        <v>0</v>
      </c>
      <c r="AB87" s="56">
        <f t="shared" si="27"/>
        <v>0</v>
      </c>
      <c r="AC87" s="48">
        <f t="shared" si="28"/>
        <v>0</v>
      </c>
      <c r="AD87" s="31">
        <f t="shared" si="29"/>
        <v>0</v>
      </c>
      <c r="AE87" s="60">
        <f t="shared" si="30"/>
        <v>0</v>
      </c>
      <c r="AF87" s="8"/>
    </row>
    <row r="88" spans="2:32" s="37" customFormat="1" hidden="1" x14ac:dyDescent="0.35">
      <c r="B88" s="13">
        <v>2026</v>
      </c>
      <c r="C88" s="13" t="s">
        <v>158</v>
      </c>
      <c r="D88" s="13" t="s">
        <v>159</v>
      </c>
      <c r="E88" s="13" t="s">
        <v>88</v>
      </c>
      <c r="F88" s="13" t="s">
        <v>80</v>
      </c>
      <c r="G88" s="85">
        <v>46177</v>
      </c>
      <c r="H88" s="94">
        <v>3719</v>
      </c>
      <c r="I88" s="13" t="s">
        <v>148</v>
      </c>
      <c r="J88" s="29" t="str">
        <f>IFERROR(VLOOKUP(I88,Map!$F$18:$G$56,2,0),"Add in Map")</f>
        <v>3P</v>
      </c>
      <c r="K88" s="29" t="str">
        <f>VLOOKUP(L88,Map!$C$18:$D$29,2,0)</f>
        <v>TOTAL</v>
      </c>
      <c r="L88" s="13" t="s">
        <v>56</v>
      </c>
      <c r="M88" s="126">
        <f>SUM(M77:M87)</f>
        <v>11257458</v>
      </c>
      <c r="N88" s="57">
        <f t="shared" si="31"/>
        <v>2138917.02</v>
      </c>
      <c r="O88" s="57">
        <f t="shared" si="32"/>
        <v>13396375.02</v>
      </c>
      <c r="P88" s="11">
        <f t="shared" si="33"/>
        <v>12634.632996632996</v>
      </c>
      <c r="Q88" s="11">
        <f t="shared" si="34"/>
        <v>2400.5802693602691</v>
      </c>
      <c r="R88" s="61">
        <f t="shared" si="25"/>
        <v>15035.213265993265</v>
      </c>
      <c r="S88" s="46">
        <f>INDEX(FX!$D$3:$O$19,MATCH(B88,FX!$B$3:$B$32,0),MATCH(D88,FX!$D$2:$O$2,0))</f>
        <v>891</v>
      </c>
      <c r="T88" s="13" t="s">
        <v>143</v>
      </c>
      <c r="U88" s="13" t="s">
        <v>32</v>
      </c>
      <c r="V88" s="13" t="s">
        <v>83</v>
      </c>
      <c r="W88" s="29" t="str">
        <f>VLOOKUP(I88,Map!$F$18:$H$51,3,0)</f>
        <v>Variable</v>
      </c>
      <c r="X88" s="90" t="s">
        <v>149</v>
      </c>
      <c r="Y88" s="109" t="str">
        <f>VLOOKUP(L88,Map!$C$18:$D$29,2,0)</f>
        <v>TOTAL</v>
      </c>
      <c r="Z88" s="53"/>
      <c r="AA88" s="57">
        <f t="shared" si="26"/>
        <v>0</v>
      </c>
      <c r="AB88" s="57">
        <f t="shared" si="27"/>
        <v>0</v>
      </c>
      <c r="AC88" s="11">
        <f t="shared" si="28"/>
        <v>0</v>
      </c>
      <c r="AD88" s="11">
        <f t="shared" si="29"/>
        <v>0</v>
      </c>
      <c r="AE88" s="61">
        <f t="shared" si="30"/>
        <v>0</v>
      </c>
      <c r="AF88" s="87"/>
    </row>
    <row r="89" spans="2:32" s="1" customFormat="1" ht="13" hidden="1" x14ac:dyDescent="0.3">
      <c r="B89" s="12">
        <v>2026</v>
      </c>
      <c r="C89" s="12" t="s">
        <v>160</v>
      </c>
      <c r="D89" s="12" t="s">
        <v>162</v>
      </c>
      <c r="E89" s="12" t="s">
        <v>88</v>
      </c>
      <c r="F89" s="12" t="s">
        <v>80</v>
      </c>
      <c r="G89" s="83">
        <v>46218</v>
      </c>
      <c r="H89" s="93">
        <v>3864</v>
      </c>
      <c r="I89" s="12" t="s">
        <v>148</v>
      </c>
      <c r="J89" s="8" t="str">
        <f>IFERROR(VLOOKUP(I89,Map!$F$18:$G$56,2,0),"Add in Map")</f>
        <v>3P</v>
      </c>
      <c r="K89" s="8" t="str">
        <f>VLOOKUP(L89,Map!$C$18:$D$29,2,0)</f>
        <v>CNT</v>
      </c>
      <c r="L89" s="12" t="s">
        <v>31</v>
      </c>
      <c r="M89" s="52">
        <v>8616450.3716824111</v>
      </c>
      <c r="N89" s="56">
        <f t="shared" si="31"/>
        <v>0</v>
      </c>
      <c r="O89" s="56">
        <f t="shared" si="32"/>
        <v>10253575.942302069</v>
      </c>
      <c r="P89" s="31">
        <f t="shared" si="33"/>
        <v>9335.2658414760681</v>
      </c>
      <c r="Q89" s="31">
        <f t="shared" si="34"/>
        <v>0</v>
      </c>
      <c r="R89" s="60">
        <f t="shared" ref="R89:R100" si="35">P89*1.19</f>
        <v>11108.966351356521</v>
      </c>
      <c r="S89" s="45">
        <f>INDEX(FX!$D$3:$O$19,MATCH(B89,FX!$B$3:$B$32,0),MATCH(D89,FX!$D$2:$O$2,0))</f>
        <v>923</v>
      </c>
      <c r="T89" s="12" t="s">
        <v>144</v>
      </c>
      <c r="U89" s="12" t="s">
        <v>32</v>
      </c>
      <c r="V89" s="12" t="s">
        <v>83</v>
      </c>
      <c r="W89" s="8" t="str">
        <f>VLOOKUP(I89,Map!$F$18:$H$51,3,0)</f>
        <v>Variable</v>
      </c>
      <c r="X89" s="88" t="s">
        <v>149</v>
      </c>
      <c r="Y89" s="107" t="str">
        <f>VLOOKUP(L89,Map!$C$18:$D$29,2,0)</f>
        <v>CNT</v>
      </c>
      <c r="Z89" s="52">
        <v>6586061.9820968052</v>
      </c>
      <c r="AA89" s="56">
        <f t="shared" ref="AA89:AA100" si="36">IF(Y89="TOTAL",(Z89*0.19),0)</f>
        <v>0</v>
      </c>
      <c r="AB89" s="56">
        <f t="shared" ref="AB89:AB100" si="37">Z89*1.19</f>
        <v>7837413.7586951982</v>
      </c>
      <c r="AC89" s="31">
        <f t="shared" ref="AC89:AC100" si="38">Z89/S89</f>
        <v>7135.495105196972</v>
      </c>
      <c r="AD89" s="31">
        <f t="shared" ref="AD89:AD100" si="39">IF(Y89="TOTAL",(AC89*0.19),0)</f>
        <v>0</v>
      </c>
      <c r="AE89" s="60">
        <f t="shared" ref="AE89:AE100" si="40">AC89*1.19</f>
        <v>8491.239175184397</v>
      </c>
      <c r="AF89" s="8"/>
    </row>
    <row r="90" spans="2:32" s="1" customFormat="1" ht="13" hidden="1" x14ac:dyDescent="0.3">
      <c r="B90" s="12">
        <v>2026</v>
      </c>
      <c r="C90" s="12" t="s">
        <v>160</v>
      </c>
      <c r="D90" s="12" t="s">
        <v>162</v>
      </c>
      <c r="E90" s="12" t="s">
        <v>88</v>
      </c>
      <c r="F90" s="12" t="s">
        <v>80</v>
      </c>
      <c r="G90" s="83">
        <v>46218</v>
      </c>
      <c r="H90" s="93">
        <v>3864</v>
      </c>
      <c r="I90" s="12" t="s">
        <v>148</v>
      </c>
      <c r="J90" s="8" t="str">
        <f>IFERROR(VLOOKUP(I90,Map!$F$18:$G$56,2,0),"Add in Map")</f>
        <v>3P</v>
      </c>
      <c r="K90" s="8" t="str">
        <f>VLOOKUP(L90,Map!$C$18:$D$29,2,0)</f>
        <v>CVT</v>
      </c>
      <c r="L90" s="12" t="s">
        <v>36</v>
      </c>
      <c r="M90" s="52">
        <v>209438.61121489928</v>
      </c>
      <c r="N90" s="56">
        <f t="shared" si="31"/>
        <v>0</v>
      </c>
      <c r="O90" s="56">
        <f t="shared" si="32"/>
        <v>249231.94734573015</v>
      </c>
      <c r="P90" s="31">
        <f t="shared" si="33"/>
        <v>226.91073804431124</v>
      </c>
      <c r="Q90" s="31">
        <f t="shared" si="34"/>
        <v>0</v>
      </c>
      <c r="R90" s="60">
        <f t="shared" si="35"/>
        <v>270.0237782727304</v>
      </c>
      <c r="S90" s="45">
        <f>INDEX(FX!$D$3:$O$19,MATCH(B90,FX!$B$3:$B$32,0),MATCH(D90,FX!$D$2:$O$2,0))</f>
        <v>923</v>
      </c>
      <c r="T90" s="12" t="s">
        <v>144</v>
      </c>
      <c r="U90" s="12" t="s">
        <v>32</v>
      </c>
      <c r="V90" s="12" t="s">
        <v>83</v>
      </c>
      <c r="W90" s="8" t="str">
        <f>VLOOKUP(I90,Map!$F$18:$H$51,3,0)</f>
        <v>Variable</v>
      </c>
      <c r="X90" s="88" t="s">
        <v>149</v>
      </c>
      <c r="Y90" s="107" t="str">
        <f>VLOOKUP(L90,Map!$C$18:$D$29,2,0)</f>
        <v>CVT</v>
      </c>
      <c r="Z90" s="52">
        <v>160086.30183014341</v>
      </c>
      <c r="AA90" s="56">
        <f t="shared" si="36"/>
        <v>0</v>
      </c>
      <c r="AB90" s="56">
        <f t="shared" si="37"/>
        <v>190502.69917787064</v>
      </c>
      <c r="AC90" s="31">
        <f t="shared" si="38"/>
        <v>173.44128042269057</v>
      </c>
      <c r="AD90" s="31">
        <f t="shared" si="39"/>
        <v>0</v>
      </c>
      <c r="AE90" s="60">
        <f t="shared" si="40"/>
        <v>206.39512370300176</v>
      </c>
      <c r="AF90" s="8"/>
    </row>
    <row r="91" spans="2:32" s="1" customFormat="1" ht="13" hidden="1" x14ac:dyDescent="0.3">
      <c r="B91" s="12">
        <v>2026</v>
      </c>
      <c r="C91" s="12" t="s">
        <v>160</v>
      </c>
      <c r="D91" s="12" t="s">
        <v>162</v>
      </c>
      <c r="E91" s="12" t="s">
        <v>88</v>
      </c>
      <c r="F91" s="12" t="s">
        <v>80</v>
      </c>
      <c r="G91" s="83">
        <v>46218</v>
      </c>
      <c r="H91" s="93">
        <v>3864</v>
      </c>
      <c r="I91" s="12" t="s">
        <v>148</v>
      </c>
      <c r="J91" s="8" t="str">
        <f>IFERROR(VLOOKUP(I91,Map!$F$18:$G$56,2,0),"Add in Map")</f>
        <v>3P</v>
      </c>
      <c r="K91" s="8" t="str">
        <f>VLOOKUP(L91,Map!$C$18:$D$29,2,0)</f>
        <v>CDT</v>
      </c>
      <c r="L91" s="12" t="s">
        <v>38</v>
      </c>
      <c r="M91" s="52">
        <v>215621.91075665358</v>
      </c>
      <c r="N91" s="56">
        <f t="shared" si="31"/>
        <v>0</v>
      </c>
      <c r="O91" s="56">
        <f t="shared" si="32"/>
        <v>256590.07380041774</v>
      </c>
      <c r="P91" s="31">
        <f t="shared" si="33"/>
        <v>233.60987080894213</v>
      </c>
      <c r="Q91" s="31">
        <f t="shared" si="34"/>
        <v>0</v>
      </c>
      <c r="R91" s="60">
        <f t="shared" si="35"/>
        <v>277.99574626264115</v>
      </c>
      <c r="S91" s="45">
        <f>INDEX(FX!$D$3:$O$19,MATCH(B91,FX!$B$3:$B$32,0),MATCH(D91,FX!$D$2:$O$2,0))</f>
        <v>923</v>
      </c>
      <c r="T91" s="12" t="s">
        <v>144</v>
      </c>
      <c r="U91" s="12" t="s">
        <v>32</v>
      </c>
      <c r="V91" s="12" t="s">
        <v>83</v>
      </c>
      <c r="W91" s="8" t="str">
        <f>VLOOKUP(I91,Map!$F$18:$H$51,3,0)</f>
        <v>Variable</v>
      </c>
      <c r="X91" s="88" t="s">
        <v>149</v>
      </c>
      <c r="Y91" s="107" t="str">
        <f>VLOOKUP(L91,Map!$C$18:$D$29,2,0)</f>
        <v>CDT</v>
      </c>
      <c r="Z91" s="52">
        <v>164812.56290972914</v>
      </c>
      <c r="AA91" s="56">
        <f t="shared" si="36"/>
        <v>0</v>
      </c>
      <c r="AB91" s="56">
        <f t="shared" si="37"/>
        <v>196126.94986257766</v>
      </c>
      <c r="AC91" s="31">
        <f t="shared" si="38"/>
        <v>178.56182330414859</v>
      </c>
      <c r="AD91" s="31">
        <f t="shared" si="39"/>
        <v>0</v>
      </c>
      <c r="AE91" s="60">
        <f t="shared" si="40"/>
        <v>212.48856973193682</v>
      </c>
      <c r="AF91" s="8"/>
    </row>
    <row r="92" spans="2:32" s="1" customFormat="1" ht="13" hidden="1" x14ac:dyDescent="0.3">
      <c r="B92" s="12">
        <v>2026</v>
      </c>
      <c r="C92" s="12" t="s">
        <v>160</v>
      </c>
      <c r="D92" s="12" t="s">
        <v>162</v>
      </c>
      <c r="E92" s="12" t="s">
        <v>88</v>
      </c>
      <c r="F92" s="12" t="s">
        <v>80</v>
      </c>
      <c r="G92" s="83">
        <v>46218</v>
      </c>
      <c r="H92" s="93">
        <v>3864</v>
      </c>
      <c r="I92" s="12" t="s">
        <v>148</v>
      </c>
      <c r="J92" s="8" t="str">
        <f>IFERROR(VLOOKUP(I92,Map!$F$18:$G$56,2,0),"Add in Map")</f>
        <v>3P</v>
      </c>
      <c r="K92" s="8" t="str">
        <f>VLOOKUP(L92,Map!$C$18:$D$29,2,0)</f>
        <v>DFT</v>
      </c>
      <c r="L92" s="12" t="s">
        <v>40</v>
      </c>
      <c r="M92" s="52">
        <v>17970337.657967135</v>
      </c>
      <c r="N92" s="56">
        <f t="shared" si="31"/>
        <v>0</v>
      </c>
      <c r="O92" s="56">
        <f t="shared" si="32"/>
        <v>21384701.81298089</v>
      </c>
      <c r="P92" s="31">
        <f t="shared" si="33"/>
        <v>19469.488253485521</v>
      </c>
      <c r="Q92" s="31">
        <f t="shared" si="34"/>
        <v>0</v>
      </c>
      <c r="R92" s="60">
        <f t="shared" si="35"/>
        <v>23168.69102164777</v>
      </c>
      <c r="S92" s="45">
        <f>INDEX(FX!$D$3:$O$19,MATCH(B92,FX!$B$3:$B$32,0),MATCH(D92,FX!$D$2:$O$2,0))</f>
        <v>923</v>
      </c>
      <c r="T92" s="12" t="s">
        <v>144</v>
      </c>
      <c r="U92" s="12" t="s">
        <v>32</v>
      </c>
      <c r="V92" s="12" t="s">
        <v>83</v>
      </c>
      <c r="W92" s="8" t="str">
        <f>VLOOKUP(I92,Map!$F$18:$H$51,3,0)</f>
        <v>Variable</v>
      </c>
      <c r="X92" s="88" t="s">
        <v>149</v>
      </c>
      <c r="Y92" s="107" t="str">
        <f>VLOOKUP(L92,Map!$C$18:$D$29,2,0)</f>
        <v>DFT</v>
      </c>
      <c r="Z92" s="52">
        <v>13735790.557506647</v>
      </c>
      <c r="AA92" s="56">
        <f t="shared" si="36"/>
        <v>0</v>
      </c>
      <c r="AB92" s="56">
        <f t="shared" si="37"/>
        <v>16345590.763432909</v>
      </c>
      <c r="AC92" s="31">
        <f t="shared" si="38"/>
        <v>14881.679910624753</v>
      </c>
      <c r="AD92" s="31">
        <f t="shared" si="39"/>
        <v>0</v>
      </c>
      <c r="AE92" s="60">
        <f t="shared" si="40"/>
        <v>17709.199093643456</v>
      </c>
      <c r="AF92" s="8"/>
    </row>
    <row r="93" spans="2:32" s="1" customFormat="1" ht="13" hidden="1" x14ac:dyDescent="0.3">
      <c r="B93" s="12">
        <v>2026</v>
      </c>
      <c r="C93" s="12" t="s">
        <v>160</v>
      </c>
      <c r="D93" s="12" t="s">
        <v>162</v>
      </c>
      <c r="E93" s="12" t="s">
        <v>88</v>
      </c>
      <c r="F93" s="12" t="s">
        <v>80</v>
      </c>
      <c r="G93" s="83">
        <v>46218</v>
      </c>
      <c r="H93" s="93">
        <v>3864</v>
      </c>
      <c r="I93" s="12" t="s">
        <v>148</v>
      </c>
      <c r="J93" s="8" t="str">
        <f>IFERROR(VLOOKUP(I93,Map!$F$18:$G$56,2,0),"Add in Map")</f>
        <v>3P</v>
      </c>
      <c r="K93" s="8" t="str">
        <f>VLOOKUP(L93,Map!$C$18:$D$29,2,0)</f>
        <v>DVT</v>
      </c>
      <c r="L93" s="12" t="s">
        <v>42</v>
      </c>
      <c r="M93" s="52">
        <v>0</v>
      </c>
      <c r="N93" s="56">
        <f t="shared" si="31"/>
        <v>0</v>
      </c>
      <c r="O93" s="56">
        <f t="shared" si="32"/>
        <v>0</v>
      </c>
      <c r="P93" s="31">
        <f t="shared" si="33"/>
        <v>0</v>
      </c>
      <c r="Q93" s="31">
        <f t="shared" si="34"/>
        <v>0</v>
      </c>
      <c r="R93" s="60">
        <f t="shared" si="35"/>
        <v>0</v>
      </c>
      <c r="S93" s="45">
        <f>INDEX(FX!$D$3:$O$19,MATCH(B93,FX!$B$3:$B$32,0),MATCH(D93,FX!$D$2:$O$2,0))</f>
        <v>923</v>
      </c>
      <c r="T93" s="12" t="s">
        <v>144</v>
      </c>
      <c r="U93" s="12" t="s">
        <v>32</v>
      </c>
      <c r="V93" s="12" t="s">
        <v>83</v>
      </c>
      <c r="W93" s="8" t="str">
        <f>VLOOKUP(I93,Map!$F$18:$H$51,3,0)</f>
        <v>Variable</v>
      </c>
      <c r="X93" s="88" t="s">
        <v>149</v>
      </c>
      <c r="Y93" s="107" t="str">
        <f>VLOOKUP(L93,Map!$C$18:$D$29,2,0)</f>
        <v>DVT</v>
      </c>
      <c r="Z93" s="52">
        <v>0</v>
      </c>
      <c r="AA93" s="56">
        <f t="shared" si="36"/>
        <v>0</v>
      </c>
      <c r="AB93" s="56">
        <f t="shared" si="37"/>
        <v>0</v>
      </c>
      <c r="AC93" s="31">
        <f t="shared" si="38"/>
        <v>0</v>
      </c>
      <c r="AD93" s="31">
        <f t="shared" si="39"/>
        <v>0</v>
      </c>
      <c r="AE93" s="60">
        <f t="shared" si="40"/>
        <v>0</v>
      </c>
      <c r="AF93" s="8"/>
    </row>
    <row r="94" spans="2:32" s="1" customFormat="1" ht="13" hidden="1" x14ac:dyDescent="0.3">
      <c r="B94" s="12">
        <v>2026</v>
      </c>
      <c r="C94" s="12" t="s">
        <v>160</v>
      </c>
      <c r="D94" s="12" t="s">
        <v>162</v>
      </c>
      <c r="E94" s="12" t="s">
        <v>88</v>
      </c>
      <c r="F94" s="12" t="s">
        <v>80</v>
      </c>
      <c r="G94" s="83">
        <v>46218</v>
      </c>
      <c r="H94" s="93">
        <v>3864</v>
      </c>
      <c r="I94" s="12" t="s">
        <v>148</v>
      </c>
      <c r="J94" s="8" t="str">
        <f>IFERROR(VLOOKUP(I94,Map!$F$18:$G$56,2,0),"Add in Map")</f>
        <v>3P</v>
      </c>
      <c r="K94" s="8" t="str">
        <f>VLOOKUP(L94,Map!$C$18:$D$29,2,0)</f>
        <v>GLT</v>
      </c>
      <c r="L94" s="12" t="s">
        <v>44</v>
      </c>
      <c r="M94" s="52">
        <v>11677468.163538219</v>
      </c>
      <c r="N94" s="56">
        <f t="shared" si="31"/>
        <v>0</v>
      </c>
      <c r="O94" s="56">
        <f t="shared" si="32"/>
        <v>13896187.11461048</v>
      </c>
      <c r="P94" s="31">
        <f t="shared" si="33"/>
        <v>12651.644814234258</v>
      </c>
      <c r="Q94" s="31">
        <f t="shared" si="34"/>
        <v>0</v>
      </c>
      <c r="R94" s="60">
        <f t="shared" si="35"/>
        <v>15055.457328938766</v>
      </c>
      <c r="S94" s="45">
        <f>INDEX(FX!$D$3:$O$19,MATCH(B94,FX!$B$3:$B$32,0),MATCH(D94,FX!$D$2:$O$2,0))</f>
        <v>923</v>
      </c>
      <c r="T94" s="12" t="s">
        <v>144</v>
      </c>
      <c r="U94" s="12" t="s">
        <v>32</v>
      </c>
      <c r="V94" s="12" t="s">
        <v>83</v>
      </c>
      <c r="W94" s="8" t="str">
        <f>VLOOKUP(I94,Map!$F$18:$H$51,3,0)</f>
        <v>Variable</v>
      </c>
      <c r="X94" s="88" t="s">
        <v>149</v>
      </c>
      <c r="Y94" s="107" t="str">
        <f>VLOOKUP(L94,Map!$C$18:$D$29,2,0)</f>
        <v>GLT</v>
      </c>
      <c r="Z94" s="52">
        <v>8925778.6909307111</v>
      </c>
      <c r="AA94" s="56">
        <f t="shared" si="36"/>
        <v>0</v>
      </c>
      <c r="AB94" s="56">
        <f t="shared" si="37"/>
        <v>10621676.642207546</v>
      </c>
      <c r="AC94" s="31">
        <f t="shared" si="38"/>
        <v>9670.399448462309</v>
      </c>
      <c r="AD94" s="31">
        <f t="shared" si="39"/>
        <v>0</v>
      </c>
      <c r="AE94" s="60">
        <f t="shared" si="40"/>
        <v>11507.775343670148</v>
      </c>
      <c r="AF94" s="8"/>
    </row>
    <row r="95" spans="2:32" s="1" customFormat="1" ht="13" hidden="1" x14ac:dyDescent="0.3">
      <c r="B95" s="12">
        <v>2026</v>
      </c>
      <c r="C95" s="12" t="s">
        <v>160</v>
      </c>
      <c r="D95" s="12" t="s">
        <v>162</v>
      </c>
      <c r="E95" s="12" t="s">
        <v>88</v>
      </c>
      <c r="F95" s="12" t="s">
        <v>80</v>
      </c>
      <c r="G95" s="83">
        <v>46218</v>
      </c>
      <c r="H95" s="93">
        <v>3864</v>
      </c>
      <c r="I95" s="12" t="s">
        <v>148</v>
      </c>
      <c r="J95" s="8" t="str">
        <f>IFERROR(VLOOKUP(I95,Map!$F$18:$G$56,2,0),"Add in Map")</f>
        <v>3P</v>
      </c>
      <c r="K95" s="8" t="str">
        <f>VLOOKUP(L95,Map!$C$18:$D$29,2,0)</f>
        <v>PNT</v>
      </c>
      <c r="L95" s="12" t="s">
        <v>46</v>
      </c>
      <c r="M95" s="52">
        <v>1267068.0846661197</v>
      </c>
      <c r="N95" s="56">
        <f t="shared" si="31"/>
        <v>0</v>
      </c>
      <c r="O95" s="56">
        <f t="shared" si="32"/>
        <v>1507811.0207526824</v>
      </c>
      <c r="P95" s="31">
        <f t="shared" si="33"/>
        <v>1372.7714893457419</v>
      </c>
      <c r="Q95" s="31">
        <f t="shared" si="34"/>
        <v>0</v>
      </c>
      <c r="R95" s="60">
        <f t="shared" si="35"/>
        <v>1633.5980723214327</v>
      </c>
      <c r="S95" s="45">
        <f>INDEX(FX!$D$3:$O$19,MATCH(B95,FX!$B$3:$B$32,0),MATCH(D95,FX!$D$2:$O$2,0))</f>
        <v>923</v>
      </c>
      <c r="T95" s="12" t="s">
        <v>144</v>
      </c>
      <c r="U95" s="12" t="s">
        <v>32</v>
      </c>
      <c r="V95" s="12" t="s">
        <v>83</v>
      </c>
      <c r="W95" s="8" t="str">
        <f>VLOOKUP(I95,Map!$F$18:$H$51,3,0)</f>
        <v>Variable</v>
      </c>
      <c r="X95" s="88" t="s">
        <v>149</v>
      </c>
      <c r="Y95" s="107" t="str">
        <f>VLOOKUP(L95,Map!$C$18:$D$29,2,0)</f>
        <v>PNT</v>
      </c>
      <c r="Z95" s="52">
        <v>968494.98124810064</v>
      </c>
      <c r="AA95" s="56">
        <f t="shared" si="36"/>
        <v>0</v>
      </c>
      <c r="AB95" s="56">
        <f t="shared" si="37"/>
        <v>1152509.0276852397</v>
      </c>
      <c r="AC95" s="31">
        <f t="shared" si="38"/>
        <v>1049.2903372135436</v>
      </c>
      <c r="AD95" s="31">
        <f t="shared" si="39"/>
        <v>0</v>
      </c>
      <c r="AE95" s="60">
        <f t="shared" si="40"/>
        <v>1248.6555012841168</v>
      </c>
      <c r="AF95" s="8"/>
    </row>
    <row r="96" spans="2:32" s="1" customFormat="1" ht="13" hidden="1" x14ac:dyDescent="0.3">
      <c r="B96" s="12">
        <v>2026</v>
      </c>
      <c r="C96" s="12" t="s">
        <v>160</v>
      </c>
      <c r="D96" s="12" t="s">
        <v>162</v>
      </c>
      <c r="E96" s="12" t="s">
        <v>88</v>
      </c>
      <c r="F96" s="12" t="s">
        <v>80</v>
      </c>
      <c r="G96" s="83">
        <v>46218</v>
      </c>
      <c r="H96" s="93">
        <v>3864</v>
      </c>
      <c r="I96" s="12" t="s">
        <v>148</v>
      </c>
      <c r="J96" s="8" t="str">
        <f>IFERROR(VLOOKUP(I96,Map!$F$18:$G$56,2,0),"Add in Map")</f>
        <v>3P</v>
      </c>
      <c r="K96" s="8" t="str">
        <f>VLOOKUP(L96,Map!$C$18:$D$29,2,0)</f>
        <v>GTT</v>
      </c>
      <c r="L96" s="12" t="s">
        <v>48</v>
      </c>
      <c r="M96" s="52">
        <v>776356.32515894261</v>
      </c>
      <c r="N96" s="56">
        <f t="shared" si="31"/>
        <v>0</v>
      </c>
      <c r="O96" s="56">
        <f t="shared" si="32"/>
        <v>923864.02693914168</v>
      </c>
      <c r="P96" s="31">
        <f t="shared" si="33"/>
        <v>841.12277915378399</v>
      </c>
      <c r="Q96" s="31">
        <f t="shared" si="34"/>
        <v>0</v>
      </c>
      <c r="R96" s="60">
        <f t="shared" si="35"/>
        <v>1000.936107193003</v>
      </c>
      <c r="S96" s="45">
        <f>INDEX(FX!$D$3:$O$19,MATCH(B96,FX!$B$3:$B$32,0),MATCH(D96,FX!$D$2:$O$2,0))</f>
        <v>923</v>
      </c>
      <c r="T96" s="12" t="s">
        <v>144</v>
      </c>
      <c r="U96" s="12" t="s">
        <v>32</v>
      </c>
      <c r="V96" s="12" t="s">
        <v>83</v>
      </c>
      <c r="W96" s="8" t="str">
        <f>VLOOKUP(I96,Map!$F$18:$H$51,3,0)</f>
        <v>Variable</v>
      </c>
      <c r="X96" s="88" t="s">
        <v>149</v>
      </c>
      <c r="Y96" s="107" t="str">
        <f>VLOOKUP(L96,Map!$C$18:$D$29,2,0)</f>
        <v>GTT</v>
      </c>
      <c r="Z96" s="52">
        <v>593414.99772270257</v>
      </c>
      <c r="AA96" s="56">
        <f t="shared" si="36"/>
        <v>0</v>
      </c>
      <c r="AB96" s="56">
        <f t="shared" si="37"/>
        <v>706163.84729001601</v>
      </c>
      <c r="AC96" s="31">
        <f t="shared" si="38"/>
        <v>642.9198241849432</v>
      </c>
      <c r="AD96" s="31">
        <f t="shared" si="39"/>
        <v>0</v>
      </c>
      <c r="AE96" s="60">
        <f t="shared" si="40"/>
        <v>765.07459078008242</v>
      </c>
      <c r="AF96" s="8"/>
    </row>
    <row r="97" spans="2:32" s="1" customFormat="1" ht="13" hidden="1" x14ac:dyDescent="0.3">
      <c r="B97" s="12">
        <v>2026</v>
      </c>
      <c r="C97" s="12" t="s">
        <v>160</v>
      </c>
      <c r="D97" s="12" t="s">
        <v>162</v>
      </c>
      <c r="E97" s="12" t="s">
        <v>88</v>
      </c>
      <c r="F97" s="12" t="s">
        <v>80</v>
      </c>
      <c r="G97" s="83">
        <v>46218</v>
      </c>
      <c r="H97" s="93">
        <v>3864</v>
      </c>
      <c r="I97" s="12" t="s">
        <v>148</v>
      </c>
      <c r="J97" s="8" t="str">
        <f>IFERROR(VLOOKUP(I97,Map!$F$18:$G$56,2,0),"Add in Map")</f>
        <v>3P</v>
      </c>
      <c r="K97" s="8" t="str">
        <f>VLOOKUP(L97,Map!$C$18:$D$29,2,0)</f>
        <v>DGT</v>
      </c>
      <c r="L97" s="12" t="s">
        <v>50</v>
      </c>
      <c r="M97" s="52">
        <v>691665.26234750578</v>
      </c>
      <c r="N97" s="56">
        <f t="shared" si="31"/>
        <v>0</v>
      </c>
      <c r="O97" s="56">
        <f t="shared" si="32"/>
        <v>823081.66219353187</v>
      </c>
      <c r="P97" s="31">
        <f t="shared" si="33"/>
        <v>749.36648141658259</v>
      </c>
      <c r="Q97" s="31">
        <f t="shared" si="34"/>
        <v>0</v>
      </c>
      <c r="R97" s="60">
        <f t="shared" si="35"/>
        <v>891.74611288573328</v>
      </c>
      <c r="S97" s="45">
        <f>INDEX(FX!$D$3:$O$19,MATCH(B97,FX!$B$3:$B$32,0),MATCH(D97,FX!$D$2:$O$2,0))</f>
        <v>923</v>
      </c>
      <c r="T97" s="12" t="s">
        <v>144</v>
      </c>
      <c r="U97" s="12" t="s">
        <v>32</v>
      </c>
      <c r="V97" s="12" t="s">
        <v>83</v>
      </c>
      <c r="W97" s="8" t="str">
        <f>VLOOKUP(I97,Map!$F$18:$H$51,3,0)</f>
        <v>Variable</v>
      </c>
      <c r="X97" s="88" t="s">
        <v>149</v>
      </c>
      <c r="Y97" s="107" t="str">
        <f>VLOOKUP(L97,Map!$C$18:$D$29,2,0)</f>
        <v>DGT</v>
      </c>
      <c r="Z97" s="52">
        <v>528680.61582004593</v>
      </c>
      <c r="AA97" s="56">
        <f t="shared" si="36"/>
        <v>0</v>
      </c>
      <c r="AB97" s="56">
        <f t="shared" si="37"/>
        <v>629129.93282585463</v>
      </c>
      <c r="AC97" s="31">
        <f t="shared" si="38"/>
        <v>572.78506589387428</v>
      </c>
      <c r="AD97" s="31">
        <f t="shared" si="39"/>
        <v>0</v>
      </c>
      <c r="AE97" s="60">
        <f t="shared" si="40"/>
        <v>681.61422841371041</v>
      </c>
      <c r="AF97" s="8"/>
    </row>
    <row r="98" spans="2:32" s="1" customFormat="1" ht="13" hidden="1" x14ac:dyDescent="0.3">
      <c r="B98" s="12">
        <v>2026</v>
      </c>
      <c r="C98" s="12" t="s">
        <v>160</v>
      </c>
      <c r="D98" s="12" t="s">
        <v>162</v>
      </c>
      <c r="E98" s="12" t="s">
        <v>88</v>
      </c>
      <c r="F98" s="12" t="s">
        <v>80</v>
      </c>
      <c r="G98" s="83">
        <v>46218</v>
      </c>
      <c r="H98" s="93">
        <v>3864</v>
      </c>
      <c r="I98" s="12" t="s">
        <v>148</v>
      </c>
      <c r="J98" s="8" t="str">
        <f>IFERROR(VLOOKUP(I98,Map!$F$18:$G$56,2,0),"Add in Map")</f>
        <v>3P</v>
      </c>
      <c r="K98" s="8" t="str">
        <f>VLOOKUP(L98,Map!$C$18:$D$29,2,0)</f>
        <v>DLT</v>
      </c>
      <c r="L98" s="12" t="s">
        <v>52</v>
      </c>
      <c r="M98" s="52">
        <v>156247.61266810575</v>
      </c>
      <c r="N98" s="56">
        <f t="shared" si="31"/>
        <v>0</v>
      </c>
      <c r="O98" s="56">
        <f t="shared" si="32"/>
        <v>185934.65907504584</v>
      </c>
      <c r="P98" s="31">
        <f t="shared" si="33"/>
        <v>169.28235391994122</v>
      </c>
      <c r="Q98" s="31">
        <f t="shared" si="34"/>
        <v>0</v>
      </c>
      <c r="R98" s="60">
        <f t="shared" si="35"/>
        <v>201.44600116473003</v>
      </c>
      <c r="S98" s="45">
        <f>INDEX(FX!$D$3:$O$19,MATCH(B98,FX!$B$3:$B$32,0),MATCH(D98,FX!$D$2:$O$2,0))</f>
        <v>923</v>
      </c>
      <c r="T98" s="12" t="s">
        <v>144</v>
      </c>
      <c r="U98" s="12" t="s">
        <v>32</v>
      </c>
      <c r="V98" s="12" t="s">
        <v>83</v>
      </c>
      <c r="W98" s="8" t="str">
        <f>VLOOKUP(I98,Map!$F$18:$H$51,3,0)</f>
        <v>Variable</v>
      </c>
      <c r="X98" s="88" t="s">
        <v>149</v>
      </c>
      <c r="Y98" s="107" t="str">
        <f>VLOOKUP(L98,Map!$C$18:$D$29,2,0)</f>
        <v>DLT</v>
      </c>
      <c r="Z98" s="52">
        <v>119429.27971461981</v>
      </c>
      <c r="AA98" s="56">
        <f t="shared" si="36"/>
        <v>0</v>
      </c>
      <c r="AB98" s="56">
        <f t="shared" si="37"/>
        <v>142120.84286039756</v>
      </c>
      <c r="AC98" s="31">
        <f t="shared" si="38"/>
        <v>129.39250239937141</v>
      </c>
      <c r="AD98" s="31">
        <f t="shared" si="39"/>
        <v>0</v>
      </c>
      <c r="AE98" s="60">
        <f t="shared" si="40"/>
        <v>153.97707785525196</v>
      </c>
      <c r="AF98" s="8"/>
    </row>
    <row r="99" spans="2:32" s="1" customFormat="1" ht="13" hidden="1" x14ac:dyDescent="0.3">
      <c r="B99" s="12">
        <v>2026</v>
      </c>
      <c r="C99" s="12" t="s">
        <v>160</v>
      </c>
      <c r="D99" s="12" t="s">
        <v>162</v>
      </c>
      <c r="E99" s="12" t="s">
        <v>88</v>
      </c>
      <c r="F99" s="12" t="s">
        <v>80</v>
      </c>
      <c r="G99" s="83">
        <v>46218</v>
      </c>
      <c r="H99" s="93">
        <v>3864</v>
      </c>
      <c r="I99" s="12" t="s">
        <v>148</v>
      </c>
      <c r="J99" s="8" t="str">
        <f>IFERROR(VLOOKUP(I99,Map!$F$18:$G$56,2,0),"Add in Map")</f>
        <v>3P</v>
      </c>
      <c r="K99" s="8" t="str">
        <f>VLOOKUP(L99,Map!$C$18:$D$29,2,0)</f>
        <v>DMT</v>
      </c>
      <c r="L99" s="12" t="s">
        <v>54</v>
      </c>
      <c r="M99" s="52">
        <v>0</v>
      </c>
      <c r="N99" s="56">
        <f t="shared" si="31"/>
        <v>0</v>
      </c>
      <c r="O99" s="56">
        <f t="shared" si="32"/>
        <v>0</v>
      </c>
      <c r="P99" s="48">
        <f t="shared" si="33"/>
        <v>0</v>
      </c>
      <c r="Q99" s="31">
        <f t="shared" si="34"/>
        <v>0</v>
      </c>
      <c r="R99" s="60">
        <f t="shared" si="35"/>
        <v>0</v>
      </c>
      <c r="S99" s="45">
        <f>INDEX(FX!$D$3:$O$19,MATCH(B99,FX!$B$3:$B$32,0),MATCH(D99,FX!$D$2:$O$2,0))</f>
        <v>923</v>
      </c>
      <c r="T99" s="12" t="s">
        <v>144</v>
      </c>
      <c r="U99" s="12" t="s">
        <v>32</v>
      </c>
      <c r="V99" s="12" t="s">
        <v>83</v>
      </c>
      <c r="W99" s="8" t="str">
        <f>VLOOKUP(I99,Map!$F$18:$H$51,3,0)</f>
        <v>Variable</v>
      </c>
      <c r="X99" s="88" t="s">
        <v>149</v>
      </c>
      <c r="Y99" s="107" t="str">
        <f>VLOOKUP(L99,Map!$C$18:$D$29,2,0)</f>
        <v>DMT</v>
      </c>
      <c r="Z99" s="52">
        <v>0</v>
      </c>
      <c r="AA99" s="56">
        <f t="shared" si="36"/>
        <v>0</v>
      </c>
      <c r="AB99" s="56">
        <f t="shared" si="37"/>
        <v>0</v>
      </c>
      <c r="AC99" s="48">
        <f t="shared" si="38"/>
        <v>0</v>
      </c>
      <c r="AD99" s="31">
        <f t="shared" si="39"/>
        <v>0</v>
      </c>
      <c r="AE99" s="60">
        <f t="shared" si="40"/>
        <v>0</v>
      </c>
      <c r="AF99" s="8"/>
    </row>
    <row r="100" spans="2:32" s="37" customFormat="1" hidden="1" x14ac:dyDescent="0.35">
      <c r="B100" s="13">
        <v>2026</v>
      </c>
      <c r="C100" s="13" t="s">
        <v>160</v>
      </c>
      <c r="D100" s="13" t="s">
        <v>162</v>
      </c>
      <c r="E100" s="13" t="s">
        <v>88</v>
      </c>
      <c r="F100" s="13" t="s">
        <v>80</v>
      </c>
      <c r="G100" s="85">
        <v>46218</v>
      </c>
      <c r="H100" s="94">
        <v>3864</v>
      </c>
      <c r="I100" s="13" t="s">
        <v>148</v>
      </c>
      <c r="J100" s="29" t="str">
        <f>IFERROR(VLOOKUP(I100,Map!$F$18:$G$56,2,0),"Add in Map")</f>
        <v>3P</v>
      </c>
      <c r="K100" s="29" t="str">
        <f>VLOOKUP(L100,Map!$C$18:$D$29,2,0)</f>
        <v>TOTAL</v>
      </c>
      <c r="L100" s="13" t="s">
        <v>56</v>
      </c>
      <c r="M100" s="126">
        <f>SUM(M89:M99)</f>
        <v>41580653.999999993</v>
      </c>
      <c r="N100" s="57">
        <f t="shared" si="31"/>
        <v>7900324.2599999988</v>
      </c>
      <c r="O100" s="57">
        <f t="shared" si="32"/>
        <v>49480978.25999999</v>
      </c>
      <c r="P100" s="11">
        <f t="shared" si="33"/>
        <v>45049.462621885148</v>
      </c>
      <c r="Q100" s="11">
        <f t="shared" si="34"/>
        <v>8559.3978981581786</v>
      </c>
      <c r="R100" s="61">
        <f t="shared" si="35"/>
        <v>53608.860520043323</v>
      </c>
      <c r="S100" s="46">
        <f>INDEX(FX!$D$3:$O$19,MATCH(B100,FX!$B$3:$B$32,0),MATCH(D100,FX!$D$2:$O$2,0))</f>
        <v>923</v>
      </c>
      <c r="T100" s="13" t="s">
        <v>144</v>
      </c>
      <c r="U100" s="13" t="s">
        <v>32</v>
      </c>
      <c r="V100" s="13" t="s">
        <v>83</v>
      </c>
      <c r="W100" s="29" t="str">
        <f>VLOOKUP(I100,Map!$F$18:$H$51,3,0)</f>
        <v>Variable</v>
      </c>
      <c r="X100" s="90" t="s">
        <v>149</v>
      </c>
      <c r="Y100" s="109" t="str">
        <f>VLOOKUP(L100,Map!$C$18:$D$29,2,0)</f>
        <v>TOTAL</v>
      </c>
      <c r="Z100" s="53">
        <f>SUM(Z89:Z99)</f>
        <v>31782549.96977951</v>
      </c>
      <c r="AA100" s="57">
        <f t="shared" si="36"/>
        <v>6038684.4942581067</v>
      </c>
      <c r="AB100" s="57">
        <f t="shared" si="37"/>
        <v>37821234.464037612</v>
      </c>
      <c r="AC100" s="11">
        <f t="shared" si="38"/>
        <v>34433.965297702613</v>
      </c>
      <c r="AD100" s="11">
        <f t="shared" si="39"/>
        <v>6542.4534065634962</v>
      </c>
      <c r="AE100" s="61">
        <f t="shared" si="40"/>
        <v>40976.418704266107</v>
      </c>
      <c r="AF100" s="87"/>
    </row>
    <row r="101" spans="2:32" s="1" customFormat="1" ht="13" hidden="1" x14ac:dyDescent="0.3">
      <c r="B101" s="12">
        <v>2026</v>
      </c>
      <c r="C101" s="12" t="s">
        <v>161</v>
      </c>
      <c r="D101" s="12" t="s">
        <v>162</v>
      </c>
      <c r="E101" s="12" t="s">
        <v>88</v>
      </c>
      <c r="F101" s="12" t="s">
        <v>80</v>
      </c>
      <c r="G101" s="83">
        <v>46218</v>
      </c>
      <c r="H101" s="93">
        <v>3867</v>
      </c>
      <c r="I101" s="12" t="s">
        <v>148</v>
      </c>
      <c r="J101" s="8" t="str">
        <f>IFERROR(VLOOKUP(I101,Map!$F$18:$G$56,2,0),"Add in Map")</f>
        <v>3P</v>
      </c>
      <c r="K101" s="8" t="str">
        <f>VLOOKUP(L101,Map!$C$18:$D$29,2,0)</f>
        <v>CNT</v>
      </c>
      <c r="L101" s="12" t="s">
        <v>31</v>
      </c>
      <c r="M101" s="52"/>
      <c r="N101" s="56">
        <f t="shared" si="31"/>
        <v>0</v>
      </c>
      <c r="O101" s="56">
        <f t="shared" si="32"/>
        <v>0</v>
      </c>
      <c r="P101" s="31">
        <f t="shared" si="33"/>
        <v>0</v>
      </c>
      <c r="Q101" s="31">
        <f t="shared" si="34"/>
        <v>0</v>
      </c>
      <c r="R101" s="60">
        <f t="shared" ref="R101:R124" si="41">P101*1.19</f>
        <v>0</v>
      </c>
      <c r="S101" s="45">
        <f>INDEX(FX!$D$3:$O$19,MATCH(B101,FX!$B$3:$B$32,0),MATCH(D101,FX!$D$2:$O$2,0))</f>
        <v>923</v>
      </c>
      <c r="T101" s="12" t="s">
        <v>143</v>
      </c>
      <c r="U101" s="12" t="s">
        <v>155</v>
      </c>
      <c r="V101" s="12" t="s">
        <v>83</v>
      </c>
      <c r="W101" s="8" t="str">
        <f>VLOOKUP(I101,Map!$F$18:$H$51,3,0)</f>
        <v>Variable</v>
      </c>
      <c r="X101" s="88" t="s">
        <v>149</v>
      </c>
      <c r="Y101" s="107" t="str">
        <f>VLOOKUP(L101,Map!$C$18:$D$29,2,0)</f>
        <v>CNT</v>
      </c>
      <c r="Z101" s="52">
        <v>2811915.0640626037</v>
      </c>
      <c r="AA101" s="56">
        <f t="shared" ref="AA101:AA124" si="42">IF(Y101="TOTAL",(Z101*0.19),0)</f>
        <v>0</v>
      </c>
      <c r="AB101" s="56">
        <f t="shared" ref="AB101:AB124" si="43">Z101*1.19</f>
        <v>3346178.9262344982</v>
      </c>
      <c r="AC101" s="31">
        <f t="shared" ref="AC101:AC124" si="44">Z101/S101</f>
        <v>3046.495194000654</v>
      </c>
      <c r="AD101" s="31">
        <f t="shared" ref="AD101:AD124" si="45">IF(Y101="TOTAL",(AC101*0.19),0)</f>
        <v>0</v>
      </c>
      <c r="AE101" s="60">
        <f t="shared" ref="AE101:AE124" si="46">AC101*1.19</f>
        <v>3625.329280860778</v>
      </c>
      <c r="AF101" s="8"/>
    </row>
    <row r="102" spans="2:32" s="1" customFormat="1" ht="13" hidden="1" x14ac:dyDescent="0.3">
      <c r="B102" s="12">
        <v>2026</v>
      </c>
      <c r="C102" s="12" t="s">
        <v>161</v>
      </c>
      <c r="D102" s="12" t="s">
        <v>162</v>
      </c>
      <c r="E102" s="12" t="s">
        <v>88</v>
      </c>
      <c r="F102" s="12" t="s">
        <v>80</v>
      </c>
      <c r="G102" s="83">
        <v>46218</v>
      </c>
      <c r="H102" s="93">
        <v>3867</v>
      </c>
      <c r="I102" s="12" t="s">
        <v>148</v>
      </c>
      <c r="J102" s="8" t="str">
        <f>IFERROR(VLOOKUP(I102,Map!$F$18:$G$56,2,0),"Add in Map")</f>
        <v>3P</v>
      </c>
      <c r="K102" s="8" t="str">
        <f>VLOOKUP(L102,Map!$C$18:$D$29,2,0)</f>
        <v>CVT</v>
      </c>
      <c r="L102" s="12" t="s">
        <v>36</v>
      </c>
      <c r="M102" s="52"/>
      <c r="N102" s="56">
        <f t="shared" si="31"/>
        <v>0</v>
      </c>
      <c r="O102" s="56">
        <f t="shared" si="32"/>
        <v>0</v>
      </c>
      <c r="P102" s="31">
        <f t="shared" si="33"/>
        <v>0</v>
      </c>
      <c r="Q102" s="31">
        <f t="shared" si="34"/>
        <v>0</v>
      </c>
      <c r="R102" s="60">
        <f t="shared" si="41"/>
        <v>0</v>
      </c>
      <c r="S102" s="45">
        <f>INDEX(FX!$D$3:$O$19,MATCH(B102,FX!$B$3:$B$32,0),MATCH(D102,FX!$D$2:$O$2,0))</f>
        <v>923</v>
      </c>
      <c r="T102" s="12" t="s">
        <v>143</v>
      </c>
      <c r="U102" s="12" t="s">
        <v>155</v>
      </c>
      <c r="V102" s="12" t="s">
        <v>83</v>
      </c>
      <c r="W102" s="8" t="str">
        <f>VLOOKUP(I102,Map!$F$18:$H$51,3,0)</f>
        <v>Variable</v>
      </c>
      <c r="X102" s="88" t="s">
        <v>149</v>
      </c>
      <c r="Y102" s="107" t="str">
        <f>VLOOKUP(L102,Map!$C$18:$D$29,2,0)</f>
        <v>CVT</v>
      </c>
      <c r="Z102" s="52">
        <v>68348.746927969099</v>
      </c>
      <c r="AA102" s="56">
        <f t="shared" si="42"/>
        <v>0</v>
      </c>
      <c r="AB102" s="56">
        <f t="shared" si="43"/>
        <v>81335.00884428322</v>
      </c>
      <c r="AC102" s="31">
        <f t="shared" si="44"/>
        <v>74.050646725860346</v>
      </c>
      <c r="AD102" s="31">
        <f t="shared" si="45"/>
        <v>0</v>
      </c>
      <c r="AE102" s="60">
        <f t="shared" si="46"/>
        <v>88.120269603773806</v>
      </c>
      <c r="AF102" s="8"/>
    </row>
    <row r="103" spans="2:32" s="1" customFormat="1" ht="13" hidden="1" x14ac:dyDescent="0.3">
      <c r="B103" s="12">
        <v>2026</v>
      </c>
      <c r="C103" s="12" t="s">
        <v>161</v>
      </c>
      <c r="D103" s="12" t="s">
        <v>162</v>
      </c>
      <c r="E103" s="12" t="s">
        <v>88</v>
      </c>
      <c r="F103" s="12" t="s">
        <v>80</v>
      </c>
      <c r="G103" s="83">
        <v>46218</v>
      </c>
      <c r="H103" s="93">
        <v>3867</v>
      </c>
      <c r="I103" s="12" t="s">
        <v>148</v>
      </c>
      <c r="J103" s="8" t="str">
        <f>IFERROR(VLOOKUP(I103,Map!$F$18:$G$56,2,0),"Add in Map")</f>
        <v>3P</v>
      </c>
      <c r="K103" s="8" t="str">
        <f>VLOOKUP(L103,Map!$C$18:$D$29,2,0)</f>
        <v>CDT</v>
      </c>
      <c r="L103" s="12" t="s">
        <v>38</v>
      </c>
      <c r="M103" s="52"/>
      <c r="N103" s="56">
        <f t="shared" si="31"/>
        <v>0</v>
      </c>
      <c r="O103" s="56">
        <f t="shared" si="32"/>
        <v>0</v>
      </c>
      <c r="P103" s="31">
        <f t="shared" si="33"/>
        <v>0</v>
      </c>
      <c r="Q103" s="31">
        <f t="shared" si="34"/>
        <v>0</v>
      </c>
      <c r="R103" s="60">
        <f t="shared" si="41"/>
        <v>0</v>
      </c>
      <c r="S103" s="45">
        <f>INDEX(FX!$D$3:$O$19,MATCH(B103,FX!$B$3:$B$32,0),MATCH(D103,FX!$D$2:$O$2,0))</f>
        <v>923</v>
      </c>
      <c r="T103" s="12" t="s">
        <v>143</v>
      </c>
      <c r="U103" s="12" t="s">
        <v>155</v>
      </c>
      <c r="V103" s="12" t="s">
        <v>83</v>
      </c>
      <c r="W103" s="8" t="str">
        <f>VLOOKUP(I103,Map!$F$18:$H$51,3,0)</f>
        <v>Variable</v>
      </c>
      <c r="X103" s="88" t="s">
        <v>149</v>
      </c>
      <c r="Y103" s="107" t="str">
        <f>VLOOKUP(L103,Map!$C$18:$D$29,2,0)</f>
        <v>CDT</v>
      </c>
      <c r="Z103" s="52">
        <v>70366.62115425276</v>
      </c>
      <c r="AA103" s="56">
        <f t="shared" si="42"/>
        <v>0</v>
      </c>
      <c r="AB103" s="56">
        <f t="shared" si="43"/>
        <v>83736.279173560775</v>
      </c>
      <c r="AC103" s="31">
        <f t="shared" si="44"/>
        <v>76.236859322050663</v>
      </c>
      <c r="AD103" s="31">
        <f t="shared" si="45"/>
        <v>0</v>
      </c>
      <c r="AE103" s="60">
        <f t="shared" si="46"/>
        <v>90.721862593240289</v>
      </c>
      <c r="AF103" s="8"/>
    </row>
    <row r="104" spans="2:32" s="1" customFormat="1" ht="13" hidden="1" x14ac:dyDescent="0.3">
      <c r="B104" s="12">
        <v>2026</v>
      </c>
      <c r="C104" s="12" t="s">
        <v>161</v>
      </c>
      <c r="D104" s="12" t="s">
        <v>162</v>
      </c>
      <c r="E104" s="12" t="s">
        <v>88</v>
      </c>
      <c r="F104" s="12" t="s">
        <v>80</v>
      </c>
      <c r="G104" s="83">
        <v>46218</v>
      </c>
      <c r="H104" s="93">
        <v>3867</v>
      </c>
      <c r="I104" s="12" t="s">
        <v>148</v>
      </c>
      <c r="J104" s="8" t="str">
        <f>IFERROR(VLOOKUP(I104,Map!$F$18:$G$56,2,0),"Add in Map")</f>
        <v>3P</v>
      </c>
      <c r="K104" s="8" t="str">
        <f>VLOOKUP(L104,Map!$C$18:$D$29,2,0)</f>
        <v>DFT</v>
      </c>
      <c r="L104" s="12" t="s">
        <v>40</v>
      </c>
      <c r="M104" s="52"/>
      <c r="N104" s="56">
        <f t="shared" si="31"/>
        <v>0</v>
      </c>
      <c r="O104" s="56">
        <f t="shared" si="32"/>
        <v>0</v>
      </c>
      <c r="P104" s="31">
        <f t="shared" si="33"/>
        <v>0</v>
      </c>
      <c r="Q104" s="31">
        <f t="shared" si="34"/>
        <v>0</v>
      </c>
      <c r="R104" s="60">
        <f t="shared" si="41"/>
        <v>0</v>
      </c>
      <c r="S104" s="45">
        <f>INDEX(FX!$D$3:$O$19,MATCH(B104,FX!$B$3:$B$32,0),MATCH(D104,FX!$D$2:$O$2,0))</f>
        <v>923</v>
      </c>
      <c r="T104" s="12" t="s">
        <v>143</v>
      </c>
      <c r="U104" s="12" t="s">
        <v>155</v>
      </c>
      <c r="V104" s="12" t="s">
        <v>83</v>
      </c>
      <c r="W104" s="8" t="str">
        <f>VLOOKUP(I104,Map!$F$18:$H$51,3,0)</f>
        <v>Variable</v>
      </c>
      <c r="X104" s="88" t="s">
        <v>149</v>
      </c>
      <c r="Y104" s="107" t="str">
        <f>VLOOKUP(L104,Map!$C$18:$D$29,2,0)</f>
        <v>DFT</v>
      </c>
      <c r="Z104" s="52">
        <v>5864487.2293116683</v>
      </c>
      <c r="AA104" s="56">
        <f t="shared" si="42"/>
        <v>0</v>
      </c>
      <c r="AB104" s="56">
        <f t="shared" si="43"/>
        <v>6978739.8028808851</v>
      </c>
      <c r="AC104" s="31">
        <f t="shared" si="44"/>
        <v>6353.7239754189259</v>
      </c>
      <c r="AD104" s="31">
        <f t="shared" si="45"/>
        <v>0</v>
      </c>
      <c r="AE104" s="60">
        <f t="shared" si="46"/>
        <v>7560.9315307485213</v>
      </c>
      <c r="AF104" s="8"/>
    </row>
    <row r="105" spans="2:32" s="1" customFormat="1" ht="13" hidden="1" x14ac:dyDescent="0.3">
      <c r="B105" s="12">
        <v>2026</v>
      </c>
      <c r="C105" s="12" t="s">
        <v>161</v>
      </c>
      <c r="D105" s="12" t="s">
        <v>162</v>
      </c>
      <c r="E105" s="12" t="s">
        <v>88</v>
      </c>
      <c r="F105" s="12" t="s">
        <v>80</v>
      </c>
      <c r="G105" s="83">
        <v>46218</v>
      </c>
      <c r="H105" s="93">
        <v>3867</v>
      </c>
      <c r="I105" s="12" t="s">
        <v>148</v>
      </c>
      <c r="J105" s="8" t="str">
        <f>IFERROR(VLOOKUP(I105,Map!$F$18:$G$56,2,0),"Add in Map")</f>
        <v>3P</v>
      </c>
      <c r="K105" s="8" t="str">
        <f>VLOOKUP(L105,Map!$C$18:$D$29,2,0)</f>
        <v>DVT</v>
      </c>
      <c r="L105" s="12" t="s">
        <v>42</v>
      </c>
      <c r="M105" s="52"/>
      <c r="N105" s="56">
        <f t="shared" si="31"/>
        <v>0</v>
      </c>
      <c r="O105" s="56">
        <f t="shared" si="32"/>
        <v>0</v>
      </c>
      <c r="P105" s="31">
        <f t="shared" si="33"/>
        <v>0</v>
      </c>
      <c r="Q105" s="31">
        <f t="shared" si="34"/>
        <v>0</v>
      </c>
      <c r="R105" s="60">
        <f t="shared" si="41"/>
        <v>0</v>
      </c>
      <c r="S105" s="45">
        <f>INDEX(FX!$D$3:$O$19,MATCH(B105,FX!$B$3:$B$32,0),MATCH(D105,FX!$D$2:$O$2,0))</f>
        <v>923</v>
      </c>
      <c r="T105" s="12" t="s">
        <v>143</v>
      </c>
      <c r="U105" s="12" t="s">
        <v>155</v>
      </c>
      <c r="V105" s="12" t="s">
        <v>83</v>
      </c>
      <c r="W105" s="8" t="str">
        <f>VLOOKUP(I105,Map!$F$18:$H$51,3,0)</f>
        <v>Variable</v>
      </c>
      <c r="X105" s="88" t="s">
        <v>149</v>
      </c>
      <c r="Y105" s="107" t="str">
        <f>VLOOKUP(L105,Map!$C$18:$D$29,2,0)</f>
        <v>DVT</v>
      </c>
      <c r="Z105" s="52">
        <v>0</v>
      </c>
      <c r="AA105" s="56">
        <f t="shared" si="42"/>
        <v>0</v>
      </c>
      <c r="AB105" s="56">
        <f t="shared" si="43"/>
        <v>0</v>
      </c>
      <c r="AC105" s="31">
        <f t="shared" si="44"/>
        <v>0</v>
      </c>
      <c r="AD105" s="31">
        <f t="shared" si="45"/>
        <v>0</v>
      </c>
      <c r="AE105" s="60">
        <f t="shared" si="46"/>
        <v>0</v>
      </c>
      <c r="AF105" s="8"/>
    </row>
    <row r="106" spans="2:32" s="1" customFormat="1" ht="13" hidden="1" x14ac:dyDescent="0.3">
      <c r="B106" s="12">
        <v>2026</v>
      </c>
      <c r="C106" s="12" t="s">
        <v>161</v>
      </c>
      <c r="D106" s="12" t="s">
        <v>162</v>
      </c>
      <c r="E106" s="12" t="s">
        <v>88</v>
      </c>
      <c r="F106" s="12" t="s">
        <v>80</v>
      </c>
      <c r="G106" s="83">
        <v>46218</v>
      </c>
      <c r="H106" s="93">
        <v>3867</v>
      </c>
      <c r="I106" s="12" t="s">
        <v>148</v>
      </c>
      <c r="J106" s="8" t="str">
        <f>IFERROR(VLOOKUP(I106,Map!$F$18:$G$56,2,0),"Add in Map")</f>
        <v>3P</v>
      </c>
      <c r="K106" s="8" t="str">
        <f>VLOOKUP(L106,Map!$C$18:$D$29,2,0)</f>
        <v>GLT</v>
      </c>
      <c r="L106" s="12" t="s">
        <v>44</v>
      </c>
      <c r="M106" s="52"/>
      <c r="N106" s="56">
        <f t="shared" si="31"/>
        <v>0</v>
      </c>
      <c r="O106" s="56">
        <f t="shared" si="32"/>
        <v>0</v>
      </c>
      <c r="P106" s="31">
        <f t="shared" si="33"/>
        <v>0</v>
      </c>
      <c r="Q106" s="31">
        <f t="shared" si="34"/>
        <v>0</v>
      </c>
      <c r="R106" s="60">
        <f t="shared" si="41"/>
        <v>0</v>
      </c>
      <c r="S106" s="45">
        <f>INDEX(FX!$D$3:$O$19,MATCH(B106,FX!$B$3:$B$32,0),MATCH(D106,FX!$D$2:$O$2,0))</f>
        <v>923</v>
      </c>
      <c r="T106" s="12" t="s">
        <v>143</v>
      </c>
      <c r="U106" s="12" t="s">
        <v>155</v>
      </c>
      <c r="V106" s="12" t="s">
        <v>83</v>
      </c>
      <c r="W106" s="8" t="str">
        <f>VLOOKUP(I106,Map!$F$18:$H$51,3,0)</f>
        <v>Variable</v>
      </c>
      <c r="X106" s="88" t="s">
        <v>149</v>
      </c>
      <c r="Y106" s="107" t="str">
        <f>VLOOKUP(L106,Map!$C$18:$D$29,2,0)</f>
        <v>GLT</v>
      </c>
      <c r="Z106" s="52">
        <v>3810855.6566493828</v>
      </c>
      <c r="AA106" s="56">
        <f t="shared" si="42"/>
        <v>0</v>
      </c>
      <c r="AB106" s="56">
        <f t="shared" si="43"/>
        <v>4534918.2314127656</v>
      </c>
      <c r="AC106" s="31">
        <f t="shared" si="44"/>
        <v>4128.7710256222999</v>
      </c>
      <c r="AD106" s="31">
        <f t="shared" si="45"/>
        <v>0</v>
      </c>
      <c r="AE106" s="60">
        <f t="shared" si="46"/>
        <v>4913.2375204905366</v>
      </c>
      <c r="AF106" s="8"/>
    </row>
    <row r="107" spans="2:32" s="1" customFormat="1" ht="13" hidden="1" x14ac:dyDescent="0.3">
      <c r="B107" s="12">
        <v>2026</v>
      </c>
      <c r="C107" s="12" t="s">
        <v>161</v>
      </c>
      <c r="D107" s="12" t="s">
        <v>162</v>
      </c>
      <c r="E107" s="12" t="s">
        <v>88</v>
      </c>
      <c r="F107" s="12" t="s">
        <v>80</v>
      </c>
      <c r="G107" s="83">
        <v>46218</v>
      </c>
      <c r="H107" s="93">
        <v>3867</v>
      </c>
      <c r="I107" s="12" t="s">
        <v>148</v>
      </c>
      <c r="J107" s="8" t="str">
        <f>IFERROR(VLOOKUP(I107,Map!$F$18:$G$56,2,0),"Add in Map")</f>
        <v>3P</v>
      </c>
      <c r="K107" s="8" t="str">
        <f>VLOOKUP(L107,Map!$C$18:$D$29,2,0)</f>
        <v>PNT</v>
      </c>
      <c r="L107" s="12" t="s">
        <v>46</v>
      </c>
      <c r="M107" s="52"/>
      <c r="N107" s="56">
        <f t="shared" si="31"/>
        <v>0</v>
      </c>
      <c r="O107" s="56">
        <f t="shared" si="32"/>
        <v>0</v>
      </c>
      <c r="P107" s="31">
        <f t="shared" si="33"/>
        <v>0</v>
      </c>
      <c r="Q107" s="31">
        <f t="shared" si="34"/>
        <v>0</v>
      </c>
      <c r="R107" s="60">
        <f t="shared" si="41"/>
        <v>0</v>
      </c>
      <c r="S107" s="45">
        <f>INDEX(FX!$D$3:$O$19,MATCH(B107,FX!$B$3:$B$32,0),MATCH(D107,FX!$D$2:$O$2,0))</f>
        <v>923</v>
      </c>
      <c r="T107" s="12" t="s">
        <v>143</v>
      </c>
      <c r="U107" s="12" t="s">
        <v>155</v>
      </c>
      <c r="V107" s="12" t="s">
        <v>83</v>
      </c>
      <c r="W107" s="8" t="str">
        <f>VLOOKUP(I107,Map!$F$18:$H$51,3,0)</f>
        <v>Variable</v>
      </c>
      <c r="X107" s="88" t="s">
        <v>149</v>
      </c>
      <c r="Y107" s="107" t="str">
        <f>VLOOKUP(L107,Map!$C$18:$D$29,2,0)</f>
        <v>PNT</v>
      </c>
      <c r="Z107" s="52">
        <v>413498.32944838726</v>
      </c>
      <c r="AA107" s="56">
        <f t="shared" si="42"/>
        <v>0</v>
      </c>
      <c r="AB107" s="56">
        <f t="shared" si="43"/>
        <v>492063.01204358082</v>
      </c>
      <c r="AC107" s="31">
        <f t="shared" si="44"/>
        <v>447.99385639045209</v>
      </c>
      <c r="AD107" s="31">
        <f t="shared" si="45"/>
        <v>0</v>
      </c>
      <c r="AE107" s="60">
        <f t="shared" si="46"/>
        <v>533.11268910463798</v>
      </c>
      <c r="AF107" s="8"/>
    </row>
    <row r="108" spans="2:32" s="1" customFormat="1" ht="13" hidden="1" x14ac:dyDescent="0.3">
      <c r="B108" s="12">
        <v>2026</v>
      </c>
      <c r="C108" s="12" t="s">
        <v>161</v>
      </c>
      <c r="D108" s="12" t="s">
        <v>162</v>
      </c>
      <c r="E108" s="12" t="s">
        <v>88</v>
      </c>
      <c r="F108" s="12" t="s">
        <v>80</v>
      </c>
      <c r="G108" s="83">
        <v>46218</v>
      </c>
      <c r="H108" s="93">
        <v>3867</v>
      </c>
      <c r="I108" s="12" t="s">
        <v>148</v>
      </c>
      <c r="J108" s="8" t="str">
        <f>IFERROR(VLOOKUP(I108,Map!$F$18:$G$56,2,0),"Add in Map")</f>
        <v>3P</v>
      </c>
      <c r="K108" s="8" t="str">
        <f>VLOOKUP(L108,Map!$C$18:$D$29,2,0)</f>
        <v>GTT</v>
      </c>
      <c r="L108" s="12" t="s">
        <v>48</v>
      </c>
      <c r="M108" s="52"/>
      <c r="N108" s="56">
        <f t="shared" si="31"/>
        <v>0</v>
      </c>
      <c r="O108" s="56">
        <f t="shared" si="32"/>
        <v>0</v>
      </c>
      <c r="P108" s="31">
        <f t="shared" si="33"/>
        <v>0</v>
      </c>
      <c r="Q108" s="31">
        <f t="shared" si="34"/>
        <v>0</v>
      </c>
      <c r="R108" s="60">
        <f t="shared" si="41"/>
        <v>0</v>
      </c>
      <c r="S108" s="45">
        <f>INDEX(FX!$D$3:$O$19,MATCH(B108,FX!$B$3:$B$32,0),MATCH(D108,FX!$D$2:$O$2,0))</f>
        <v>923</v>
      </c>
      <c r="T108" s="12" t="s">
        <v>143</v>
      </c>
      <c r="U108" s="12" t="s">
        <v>155</v>
      </c>
      <c r="V108" s="12" t="s">
        <v>83</v>
      </c>
      <c r="W108" s="8" t="str">
        <f>VLOOKUP(I108,Map!$F$18:$H$51,3,0)</f>
        <v>Variable</v>
      </c>
      <c r="X108" s="88" t="s">
        <v>149</v>
      </c>
      <c r="Y108" s="107" t="str">
        <f>VLOOKUP(L108,Map!$C$18:$D$29,2,0)</f>
        <v>GTT</v>
      </c>
      <c r="Z108" s="52">
        <v>253358.16393363191</v>
      </c>
      <c r="AA108" s="56">
        <f t="shared" si="42"/>
        <v>0</v>
      </c>
      <c r="AB108" s="56">
        <f t="shared" si="43"/>
        <v>301496.21508102195</v>
      </c>
      <c r="AC108" s="31">
        <f t="shared" si="44"/>
        <v>274.4942187796662</v>
      </c>
      <c r="AD108" s="31">
        <f t="shared" si="45"/>
        <v>0</v>
      </c>
      <c r="AE108" s="60">
        <f t="shared" si="46"/>
        <v>326.64812034780277</v>
      </c>
      <c r="AF108" s="8"/>
    </row>
    <row r="109" spans="2:32" s="1" customFormat="1" ht="13" hidden="1" x14ac:dyDescent="0.3">
      <c r="B109" s="12">
        <v>2026</v>
      </c>
      <c r="C109" s="12" t="s">
        <v>161</v>
      </c>
      <c r="D109" s="12" t="s">
        <v>162</v>
      </c>
      <c r="E109" s="12" t="s">
        <v>88</v>
      </c>
      <c r="F109" s="12" t="s">
        <v>80</v>
      </c>
      <c r="G109" s="83">
        <v>46218</v>
      </c>
      <c r="H109" s="93">
        <v>3867</v>
      </c>
      <c r="I109" s="12" t="s">
        <v>148</v>
      </c>
      <c r="J109" s="8" t="str">
        <f>IFERROR(VLOOKUP(I109,Map!$F$18:$G$56,2,0),"Add in Map")</f>
        <v>3P</v>
      </c>
      <c r="K109" s="8" t="str">
        <f>VLOOKUP(L109,Map!$C$18:$D$29,2,0)</f>
        <v>DGT</v>
      </c>
      <c r="L109" s="12" t="s">
        <v>50</v>
      </c>
      <c r="M109" s="52"/>
      <c r="N109" s="56">
        <f t="shared" si="31"/>
        <v>0</v>
      </c>
      <c r="O109" s="56">
        <f t="shared" si="32"/>
        <v>0</v>
      </c>
      <c r="P109" s="31">
        <f t="shared" si="33"/>
        <v>0</v>
      </c>
      <c r="Q109" s="31">
        <f t="shared" si="34"/>
        <v>0</v>
      </c>
      <c r="R109" s="60">
        <f t="shared" si="41"/>
        <v>0</v>
      </c>
      <c r="S109" s="45">
        <f>INDEX(FX!$D$3:$O$19,MATCH(B109,FX!$B$3:$B$32,0),MATCH(D109,FX!$D$2:$O$2,0))</f>
        <v>923</v>
      </c>
      <c r="T109" s="12" t="s">
        <v>143</v>
      </c>
      <c r="U109" s="12" t="s">
        <v>155</v>
      </c>
      <c r="V109" s="12" t="s">
        <v>83</v>
      </c>
      <c r="W109" s="8" t="str">
        <f>VLOOKUP(I109,Map!$F$18:$H$51,3,0)</f>
        <v>Variable</v>
      </c>
      <c r="X109" s="88" t="s">
        <v>149</v>
      </c>
      <c r="Y109" s="107" t="str">
        <f>VLOOKUP(L109,Map!$C$18:$D$29,2,0)</f>
        <v>DGT</v>
      </c>
      <c r="Z109" s="52">
        <v>225719.85987125357</v>
      </c>
      <c r="AA109" s="56">
        <f t="shared" si="42"/>
        <v>0</v>
      </c>
      <c r="AB109" s="56">
        <f t="shared" si="43"/>
        <v>268606.63324679172</v>
      </c>
      <c r="AC109" s="31">
        <f t="shared" si="44"/>
        <v>244.550227379473</v>
      </c>
      <c r="AD109" s="31">
        <f t="shared" si="45"/>
        <v>0</v>
      </c>
      <c r="AE109" s="60">
        <f t="shared" si="46"/>
        <v>291.01477058157286</v>
      </c>
      <c r="AF109" s="8"/>
    </row>
    <row r="110" spans="2:32" s="1" customFormat="1" ht="13" hidden="1" x14ac:dyDescent="0.3">
      <c r="B110" s="12">
        <v>2026</v>
      </c>
      <c r="C110" s="12" t="s">
        <v>161</v>
      </c>
      <c r="D110" s="12" t="s">
        <v>162</v>
      </c>
      <c r="E110" s="12" t="s">
        <v>88</v>
      </c>
      <c r="F110" s="12" t="s">
        <v>80</v>
      </c>
      <c r="G110" s="83">
        <v>46218</v>
      </c>
      <c r="H110" s="93">
        <v>3867</v>
      </c>
      <c r="I110" s="12" t="s">
        <v>148</v>
      </c>
      <c r="J110" s="8" t="str">
        <f>IFERROR(VLOOKUP(I110,Map!$F$18:$G$56,2,0),"Add in Map")</f>
        <v>3P</v>
      </c>
      <c r="K110" s="8" t="str">
        <f>VLOOKUP(L110,Map!$C$18:$D$29,2,0)</f>
        <v>DLT</v>
      </c>
      <c r="L110" s="12" t="s">
        <v>52</v>
      </c>
      <c r="M110" s="52"/>
      <c r="N110" s="56">
        <f t="shared" si="31"/>
        <v>0</v>
      </c>
      <c r="O110" s="56">
        <f t="shared" si="32"/>
        <v>0</v>
      </c>
      <c r="P110" s="31">
        <f t="shared" si="33"/>
        <v>0</v>
      </c>
      <c r="Q110" s="31">
        <f t="shared" si="34"/>
        <v>0</v>
      </c>
      <c r="R110" s="60">
        <f t="shared" si="41"/>
        <v>0</v>
      </c>
      <c r="S110" s="45">
        <f>INDEX(FX!$D$3:$O$19,MATCH(B110,FX!$B$3:$B$32,0),MATCH(D110,FX!$D$2:$O$2,0))</f>
        <v>923</v>
      </c>
      <c r="T110" s="12" t="s">
        <v>143</v>
      </c>
      <c r="U110" s="12" t="s">
        <v>155</v>
      </c>
      <c r="V110" s="12" t="s">
        <v>83</v>
      </c>
      <c r="W110" s="8" t="str">
        <f>VLOOKUP(I110,Map!$F$18:$H$51,3,0)</f>
        <v>Variable</v>
      </c>
      <c r="X110" s="88" t="s">
        <v>149</v>
      </c>
      <c r="Y110" s="107" t="str">
        <f>VLOOKUP(L110,Map!$C$18:$D$29,2,0)</f>
        <v>DLT</v>
      </c>
      <c r="Z110" s="52">
        <v>50990.256640853717</v>
      </c>
      <c r="AA110" s="56">
        <f t="shared" si="42"/>
        <v>0</v>
      </c>
      <c r="AB110" s="56">
        <f t="shared" si="43"/>
        <v>60678.405402615921</v>
      </c>
      <c r="AC110" s="31">
        <f t="shared" si="44"/>
        <v>55.244048364955276</v>
      </c>
      <c r="AD110" s="31">
        <f t="shared" si="45"/>
        <v>0</v>
      </c>
      <c r="AE110" s="60">
        <f t="shared" si="46"/>
        <v>65.740417554296769</v>
      </c>
      <c r="AF110" s="8"/>
    </row>
    <row r="111" spans="2:32" s="1" customFormat="1" ht="13" hidden="1" x14ac:dyDescent="0.3">
      <c r="B111" s="12">
        <v>2026</v>
      </c>
      <c r="C111" s="12" t="s">
        <v>161</v>
      </c>
      <c r="D111" s="12" t="s">
        <v>162</v>
      </c>
      <c r="E111" s="12" t="s">
        <v>88</v>
      </c>
      <c r="F111" s="12" t="s">
        <v>80</v>
      </c>
      <c r="G111" s="83">
        <v>46218</v>
      </c>
      <c r="H111" s="93">
        <v>3867</v>
      </c>
      <c r="I111" s="12" t="s">
        <v>148</v>
      </c>
      <c r="J111" s="8" t="str">
        <f>IFERROR(VLOOKUP(I111,Map!$F$18:$G$56,2,0),"Add in Map")</f>
        <v>3P</v>
      </c>
      <c r="K111" s="8" t="str">
        <f>VLOOKUP(L111,Map!$C$18:$D$29,2,0)</f>
        <v>DMT</v>
      </c>
      <c r="L111" s="12" t="s">
        <v>54</v>
      </c>
      <c r="M111" s="52"/>
      <c r="N111" s="56">
        <f t="shared" si="31"/>
        <v>0</v>
      </c>
      <c r="O111" s="56">
        <f t="shared" si="32"/>
        <v>0</v>
      </c>
      <c r="P111" s="48">
        <f t="shared" si="33"/>
        <v>0</v>
      </c>
      <c r="Q111" s="31">
        <f t="shared" si="34"/>
        <v>0</v>
      </c>
      <c r="R111" s="60">
        <f t="shared" si="41"/>
        <v>0</v>
      </c>
      <c r="S111" s="45">
        <f>INDEX(FX!$D$3:$O$19,MATCH(B111,FX!$B$3:$B$32,0),MATCH(D111,FX!$D$2:$O$2,0))</f>
        <v>923</v>
      </c>
      <c r="T111" s="12" t="s">
        <v>143</v>
      </c>
      <c r="U111" s="12" t="s">
        <v>155</v>
      </c>
      <c r="V111" s="12" t="s">
        <v>83</v>
      </c>
      <c r="W111" s="8" t="str">
        <f>VLOOKUP(I111,Map!$F$18:$H$51,3,0)</f>
        <v>Variable</v>
      </c>
      <c r="X111" s="88" t="s">
        <v>149</v>
      </c>
      <c r="Y111" s="107" t="str">
        <f>VLOOKUP(L111,Map!$C$18:$D$29,2,0)</f>
        <v>DMT</v>
      </c>
      <c r="Z111" s="52">
        <v>0</v>
      </c>
      <c r="AA111" s="56">
        <f t="shared" si="42"/>
        <v>0</v>
      </c>
      <c r="AB111" s="56">
        <f t="shared" si="43"/>
        <v>0</v>
      </c>
      <c r="AC111" s="48">
        <f t="shared" si="44"/>
        <v>0</v>
      </c>
      <c r="AD111" s="31">
        <f t="shared" si="45"/>
        <v>0</v>
      </c>
      <c r="AE111" s="60">
        <f t="shared" si="46"/>
        <v>0</v>
      </c>
      <c r="AF111" s="8"/>
    </row>
    <row r="112" spans="2:32" s="37" customFormat="1" hidden="1" x14ac:dyDescent="0.35">
      <c r="B112" s="13">
        <v>2026</v>
      </c>
      <c r="C112" s="13" t="s">
        <v>161</v>
      </c>
      <c r="D112" s="13" t="s">
        <v>162</v>
      </c>
      <c r="E112" s="13" t="s">
        <v>88</v>
      </c>
      <c r="F112" s="13" t="s">
        <v>80</v>
      </c>
      <c r="G112" s="85">
        <v>46218</v>
      </c>
      <c r="H112" s="94">
        <v>3867</v>
      </c>
      <c r="I112" s="13" t="s">
        <v>148</v>
      </c>
      <c r="J112" s="29" t="str">
        <f>IFERROR(VLOOKUP(I112,Map!$F$18:$G$56,2,0),"Add in Map")</f>
        <v>3P</v>
      </c>
      <c r="K112" s="29" t="str">
        <f>VLOOKUP(L112,Map!$C$18:$D$29,2,0)</f>
        <v>TOTAL</v>
      </c>
      <c r="L112" s="13" t="s">
        <v>56</v>
      </c>
      <c r="M112" s="57">
        <f>SUM(M101:M111)</f>
        <v>0</v>
      </c>
      <c r="N112" s="57">
        <f t="shared" ref="N112:N143" si="47">IF(L112="TOTAL",(M112*0.19),0)</f>
        <v>0</v>
      </c>
      <c r="O112" s="57">
        <f t="shared" ref="O112:O143" si="48">M112*1.19</f>
        <v>0</v>
      </c>
      <c r="P112" s="11">
        <f t="shared" ref="P112:P143" si="49">M112/S112</f>
        <v>0</v>
      </c>
      <c r="Q112" s="11">
        <f t="shared" ref="Q112:Q143" si="50">IF(L112="TOTAL",(P112*0.19),0)</f>
        <v>0</v>
      </c>
      <c r="R112" s="61">
        <f t="shared" si="41"/>
        <v>0</v>
      </c>
      <c r="S112" s="46">
        <f>INDEX(FX!$D$3:$O$19,MATCH(B112,FX!$B$3:$B$32,0),MATCH(D112,FX!$D$2:$O$2,0))</f>
        <v>923</v>
      </c>
      <c r="T112" s="13" t="s">
        <v>143</v>
      </c>
      <c r="U112" s="13" t="s">
        <v>155</v>
      </c>
      <c r="V112" s="13" t="s">
        <v>83</v>
      </c>
      <c r="W112" s="29" t="str">
        <f>VLOOKUP(I112,Map!$F$18:$H$51,3,0)</f>
        <v>Variable</v>
      </c>
      <c r="X112" s="90" t="s">
        <v>149</v>
      </c>
      <c r="Y112" s="109" t="str">
        <f>VLOOKUP(L112,Map!$C$18:$D$29,2,0)</f>
        <v>TOTAL</v>
      </c>
      <c r="Z112" s="53">
        <f>SUM(Z101:Z111)</f>
        <v>13569539.928000001</v>
      </c>
      <c r="AA112" s="57">
        <f t="shared" si="42"/>
        <v>2578212.5863200002</v>
      </c>
      <c r="AB112" s="57">
        <f t="shared" si="43"/>
        <v>16147752.514320001</v>
      </c>
      <c r="AC112" s="11">
        <f t="shared" si="44"/>
        <v>14701.560052004335</v>
      </c>
      <c r="AD112" s="11">
        <f t="shared" si="45"/>
        <v>2793.2964098808238</v>
      </c>
      <c r="AE112" s="61">
        <f t="shared" si="46"/>
        <v>17494.85646188516</v>
      </c>
      <c r="AF112" s="87"/>
    </row>
    <row r="113" spans="2:32" s="1" customFormat="1" ht="13" hidden="1" x14ac:dyDescent="0.3">
      <c r="B113" s="12">
        <v>2026</v>
      </c>
      <c r="C113" s="12" t="s">
        <v>163</v>
      </c>
      <c r="D113" s="12" t="s">
        <v>162</v>
      </c>
      <c r="E113" s="12" t="s">
        <v>88</v>
      </c>
      <c r="F113" s="12" t="s">
        <v>80</v>
      </c>
      <c r="G113" s="83">
        <v>46209</v>
      </c>
      <c r="H113" s="93">
        <v>3825</v>
      </c>
      <c r="I113" s="12" t="s">
        <v>148</v>
      </c>
      <c r="J113" s="8" t="str">
        <f>IFERROR(VLOOKUP(I113,Map!$F$18:$G$56,2,0),"Add in Map")</f>
        <v>3P</v>
      </c>
      <c r="K113" s="8" t="str">
        <f>VLOOKUP(L113,Map!$C$18:$D$29,2,0)</f>
        <v>CNT</v>
      </c>
      <c r="L113" s="12" t="s">
        <v>31</v>
      </c>
      <c r="M113" s="52">
        <v>4386097.151701197</v>
      </c>
      <c r="N113" s="56">
        <f t="shared" si="47"/>
        <v>0</v>
      </c>
      <c r="O113" s="56">
        <f t="shared" si="48"/>
        <v>5219455.6105244244</v>
      </c>
      <c r="P113" s="31">
        <f t="shared" si="49"/>
        <v>4752.0012477802784</v>
      </c>
      <c r="Q113" s="31">
        <f t="shared" si="50"/>
        <v>0</v>
      </c>
      <c r="R113" s="60">
        <f t="shared" si="41"/>
        <v>5654.8814848585307</v>
      </c>
      <c r="S113" s="45">
        <f>INDEX(FX!$D$3:$O$19,MATCH(B113,FX!$B$3:$B$32,0),MATCH(D113,FX!$D$2:$O$2,0))</f>
        <v>923</v>
      </c>
      <c r="T113" s="12" t="s">
        <v>141</v>
      </c>
      <c r="U113" s="12" t="s">
        <v>32</v>
      </c>
      <c r="V113" s="12" t="s">
        <v>83</v>
      </c>
      <c r="W113" s="8" t="str">
        <f>VLOOKUP(I113,Map!$F$18:$H$51,3,0)</f>
        <v>Variable</v>
      </c>
      <c r="X113" s="88" t="s">
        <v>149</v>
      </c>
      <c r="Y113" s="107" t="str">
        <f>VLOOKUP(L113,Map!$C$18:$D$29,2,0)</f>
        <v>CNT</v>
      </c>
      <c r="Z113" s="52"/>
      <c r="AA113" s="56">
        <f t="shared" si="42"/>
        <v>0</v>
      </c>
      <c r="AB113" s="56">
        <f t="shared" si="43"/>
        <v>0</v>
      </c>
      <c r="AC113" s="31">
        <f t="shared" si="44"/>
        <v>0</v>
      </c>
      <c r="AD113" s="31">
        <f t="shared" si="45"/>
        <v>0</v>
      </c>
      <c r="AE113" s="60">
        <f t="shared" si="46"/>
        <v>0</v>
      </c>
      <c r="AF113" s="8"/>
    </row>
    <row r="114" spans="2:32" s="1" customFormat="1" ht="13" hidden="1" x14ac:dyDescent="0.3">
      <c r="B114" s="12">
        <v>2026</v>
      </c>
      <c r="C114" s="12" t="s">
        <v>163</v>
      </c>
      <c r="D114" s="12" t="s">
        <v>162</v>
      </c>
      <c r="E114" s="12" t="s">
        <v>88</v>
      </c>
      <c r="F114" s="12" t="s">
        <v>80</v>
      </c>
      <c r="G114" s="83">
        <v>46209</v>
      </c>
      <c r="H114" s="93">
        <v>3825</v>
      </c>
      <c r="I114" s="12" t="s">
        <v>148</v>
      </c>
      <c r="J114" s="8" t="str">
        <f>IFERROR(VLOOKUP(I114,Map!$F$18:$G$56,2,0),"Add in Map")</f>
        <v>3P</v>
      </c>
      <c r="K114" s="8" t="str">
        <f>VLOOKUP(L114,Map!$C$18:$D$29,2,0)</f>
        <v>CVT</v>
      </c>
      <c r="L114" s="12" t="s">
        <v>36</v>
      </c>
      <c r="M114" s="52">
        <v>106612.12639544965</v>
      </c>
      <c r="N114" s="56">
        <f t="shared" si="47"/>
        <v>0</v>
      </c>
      <c r="O114" s="56">
        <f t="shared" si="48"/>
        <v>126868.43041058508</v>
      </c>
      <c r="P114" s="31">
        <f t="shared" si="49"/>
        <v>115.50609576971793</v>
      </c>
      <c r="Q114" s="31">
        <f t="shared" si="50"/>
        <v>0</v>
      </c>
      <c r="R114" s="60">
        <f t="shared" si="41"/>
        <v>137.45225396596433</v>
      </c>
      <c r="S114" s="45">
        <f>INDEX(FX!$D$3:$O$19,MATCH(B114,FX!$B$3:$B$32,0),MATCH(D114,FX!$D$2:$O$2,0))</f>
        <v>923</v>
      </c>
      <c r="T114" s="12" t="s">
        <v>141</v>
      </c>
      <c r="U114" s="12" t="s">
        <v>32</v>
      </c>
      <c r="V114" s="12" t="s">
        <v>83</v>
      </c>
      <c r="W114" s="8" t="str">
        <f>VLOOKUP(I114,Map!$F$18:$H$51,3,0)</f>
        <v>Variable</v>
      </c>
      <c r="X114" s="88" t="s">
        <v>149</v>
      </c>
      <c r="Y114" s="107" t="str">
        <f>VLOOKUP(L114,Map!$C$18:$D$29,2,0)</f>
        <v>CVT</v>
      </c>
      <c r="Z114" s="52"/>
      <c r="AA114" s="56">
        <f t="shared" si="42"/>
        <v>0</v>
      </c>
      <c r="AB114" s="56">
        <f t="shared" si="43"/>
        <v>0</v>
      </c>
      <c r="AC114" s="31">
        <f t="shared" si="44"/>
        <v>0</v>
      </c>
      <c r="AD114" s="31">
        <f t="shared" si="45"/>
        <v>0</v>
      </c>
      <c r="AE114" s="60">
        <f t="shared" si="46"/>
        <v>0</v>
      </c>
      <c r="AF114" s="8"/>
    </row>
    <row r="115" spans="2:32" s="1" customFormat="1" ht="13" hidden="1" x14ac:dyDescent="0.3">
      <c r="B115" s="12">
        <v>2026</v>
      </c>
      <c r="C115" s="12" t="s">
        <v>163</v>
      </c>
      <c r="D115" s="12" t="s">
        <v>162</v>
      </c>
      <c r="E115" s="12" t="s">
        <v>88</v>
      </c>
      <c r="F115" s="12" t="s">
        <v>80</v>
      </c>
      <c r="G115" s="83">
        <v>46209</v>
      </c>
      <c r="H115" s="93">
        <v>3825</v>
      </c>
      <c r="I115" s="12" t="s">
        <v>148</v>
      </c>
      <c r="J115" s="8" t="str">
        <f>IFERROR(VLOOKUP(I115,Map!$F$18:$G$56,2,0),"Add in Map")</f>
        <v>3P</v>
      </c>
      <c r="K115" s="8" t="str">
        <f>VLOOKUP(L115,Map!$C$18:$D$29,2,0)</f>
        <v>CDT</v>
      </c>
      <c r="L115" s="12" t="s">
        <v>38</v>
      </c>
      <c r="M115" s="52">
        <v>109759.65830688897</v>
      </c>
      <c r="N115" s="56">
        <f t="shared" si="47"/>
        <v>0</v>
      </c>
      <c r="O115" s="56">
        <f t="shared" si="48"/>
        <v>130613.99338519787</v>
      </c>
      <c r="P115" s="31">
        <f t="shared" si="49"/>
        <v>118.9162061829783</v>
      </c>
      <c r="Q115" s="31">
        <f t="shared" si="50"/>
        <v>0</v>
      </c>
      <c r="R115" s="60">
        <f t="shared" si="41"/>
        <v>141.51028535774418</v>
      </c>
      <c r="S115" s="45">
        <f>INDEX(FX!$D$3:$O$19,MATCH(B115,FX!$B$3:$B$32,0),MATCH(D115,FX!$D$2:$O$2,0))</f>
        <v>923</v>
      </c>
      <c r="T115" s="12" t="s">
        <v>141</v>
      </c>
      <c r="U115" s="12" t="s">
        <v>32</v>
      </c>
      <c r="V115" s="12" t="s">
        <v>83</v>
      </c>
      <c r="W115" s="8" t="str">
        <f>VLOOKUP(I115,Map!$F$18:$H$51,3,0)</f>
        <v>Variable</v>
      </c>
      <c r="X115" s="88" t="s">
        <v>149</v>
      </c>
      <c r="Y115" s="107" t="str">
        <f>VLOOKUP(L115,Map!$C$18:$D$29,2,0)</f>
        <v>CDT</v>
      </c>
      <c r="Z115" s="52"/>
      <c r="AA115" s="56">
        <f t="shared" si="42"/>
        <v>0</v>
      </c>
      <c r="AB115" s="56">
        <f t="shared" si="43"/>
        <v>0</v>
      </c>
      <c r="AC115" s="31">
        <f t="shared" si="44"/>
        <v>0</v>
      </c>
      <c r="AD115" s="31">
        <f t="shared" si="45"/>
        <v>0</v>
      </c>
      <c r="AE115" s="60">
        <f t="shared" si="46"/>
        <v>0</v>
      </c>
      <c r="AF115" s="8"/>
    </row>
    <row r="116" spans="2:32" s="1" customFormat="1" ht="13" hidden="1" x14ac:dyDescent="0.3">
      <c r="B116" s="12">
        <v>2026</v>
      </c>
      <c r="C116" s="12" t="s">
        <v>163</v>
      </c>
      <c r="D116" s="12" t="s">
        <v>162</v>
      </c>
      <c r="E116" s="12" t="s">
        <v>88</v>
      </c>
      <c r="F116" s="12" t="s">
        <v>80</v>
      </c>
      <c r="G116" s="83">
        <v>46209</v>
      </c>
      <c r="H116" s="93">
        <v>3825</v>
      </c>
      <c r="I116" s="12" t="s">
        <v>148</v>
      </c>
      <c r="J116" s="8" t="str">
        <f>IFERROR(VLOOKUP(I116,Map!$F$18:$G$56,2,0),"Add in Map")</f>
        <v>3P</v>
      </c>
      <c r="K116" s="8" t="str">
        <f>VLOOKUP(L116,Map!$C$18:$D$29,2,0)</f>
        <v>DFT</v>
      </c>
      <c r="L116" s="12" t="s">
        <v>40</v>
      </c>
      <c r="M116" s="52">
        <v>9147577.4149127286</v>
      </c>
      <c r="N116" s="56">
        <f t="shared" si="47"/>
        <v>0</v>
      </c>
      <c r="O116" s="56">
        <f t="shared" si="48"/>
        <v>10885617.123746147</v>
      </c>
      <c r="P116" s="31">
        <f t="shared" si="49"/>
        <v>9910.7014246075069</v>
      </c>
      <c r="Q116" s="31">
        <f t="shared" si="50"/>
        <v>0</v>
      </c>
      <c r="R116" s="60">
        <f t="shared" si="41"/>
        <v>11793.734695282932</v>
      </c>
      <c r="S116" s="45">
        <f>INDEX(FX!$D$3:$O$19,MATCH(B116,FX!$B$3:$B$32,0),MATCH(D116,FX!$D$2:$O$2,0))</f>
        <v>923</v>
      </c>
      <c r="T116" s="12" t="s">
        <v>141</v>
      </c>
      <c r="U116" s="12" t="s">
        <v>32</v>
      </c>
      <c r="V116" s="12" t="s">
        <v>83</v>
      </c>
      <c r="W116" s="8" t="str">
        <f>VLOOKUP(I116,Map!$F$18:$H$51,3,0)</f>
        <v>Variable</v>
      </c>
      <c r="X116" s="88" t="s">
        <v>149</v>
      </c>
      <c r="Y116" s="107" t="str">
        <f>VLOOKUP(L116,Map!$C$18:$D$29,2,0)</f>
        <v>DFT</v>
      </c>
      <c r="Z116" s="52"/>
      <c r="AA116" s="56">
        <f t="shared" si="42"/>
        <v>0</v>
      </c>
      <c r="AB116" s="56">
        <f t="shared" si="43"/>
        <v>0</v>
      </c>
      <c r="AC116" s="31">
        <f t="shared" si="44"/>
        <v>0</v>
      </c>
      <c r="AD116" s="31">
        <f t="shared" si="45"/>
        <v>0</v>
      </c>
      <c r="AE116" s="60">
        <f t="shared" si="46"/>
        <v>0</v>
      </c>
      <c r="AF116" s="8"/>
    </row>
    <row r="117" spans="2:32" s="1" customFormat="1" ht="13" hidden="1" x14ac:dyDescent="0.3">
      <c r="B117" s="12">
        <v>2026</v>
      </c>
      <c r="C117" s="12" t="s">
        <v>163</v>
      </c>
      <c r="D117" s="12" t="s">
        <v>162</v>
      </c>
      <c r="E117" s="12" t="s">
        <v>88</v>
      </c>
      <c r="F117" s="12" t="s">
        <v>80</v>
      </c>
      <c r="G117" s="83">
        <v>46209</v>
      </c>
      <c r="H117" s="93">
        <v>3825</v>
      </c>
      <c r="I117" s="12" t="s">
        <v>148</v>
      </c>
      <c r="J117" s="8" t="str">
        <f>IFERROR(VLOOKUP(I117,Map!$F$18:$G$56,2,0),"Add in Map")</f>
        <v>3P</v>
      </c>
      <c r="K117" s="8" t="str">
        <f>VLOOKUP(L117,Map!$C$18:$D$29,2,0)</f>
        <v>DVT</v>
      </c>
      <c r="L117" s="12" t="s">
        <v>42</v>
      </c>
      <c r="M117" s="52">
        <v>0</v>
      </c>
      <c r="N117" s="56">
        <f t="shared" si="47"/>
        <v>0</v>
      </c>
      <c r="O117" s="56">
        <f t="shared" si="48"/>
        <v>0</v>
      </c>
      <c r="P117" s="31">
        <f t="shared" si="49"/>
        <v>0</v>
      </c>
      <c r="Q117" s="31">
        <f t="shared" si="50"/>
        <v>0</v>
      </c>
      <c r="R117" s="60">
        <f t="shared" si="41"/>
        <v>0</v>
      </c>
      <c r="S117" s="45">
        <f>INDEX(FX!$D$3:$O$19,MATCH(B117,FX!$B$3:$B$32,0),MATCH(D117,FX!$D$2:$O$2,0))</f>
        <v>923</v>
      </c>
      <c r="T117" s="12" t="s">
        <v>141</v>
      </c>
      <c r="U117" s="12" t="s">
        <v>32</v>
      </c>
      <c r="V117" s="12" t="s">
        <v>83</v>
      </c>
      <c r="W117" s="8" t="str">
        <f>VLOOKUP(I117,Map!$F$18:$H$51,3,0)</f>
        <v>Variable</v>
      </c>
      <c r="X117" s="88" t="s">
        <v>149</v>
      </c>
      <c r="Y117" s="107" t="str">
        <f>VLOOKUP(L117,Map!$C$18:$D$29,2,0)</f>
        <v>DVT</v>
      </c>
      <c r="Z117" s="52"/>
      <c r="AA117" s="56">
        <f t="shared" si="42"/>
        <v>0</v>
      </c>
      <c r="AB117" s="56">
        <f t="shared" si="43"/>
        <v>0</v>
      </c>
      <c r="AC117" s="31">
        <f t="shared" si="44"/>
        <v>0</v>
      </c>
      <c r="AD117" s="31">
        <f t="shared" si="45"/>
        <v>0</v>
      </c>
      <c r="AE117" s="60">
        <f t="shared" si="46"/>
        <v>0</v>
      </c>
      <c r="AF117" s="8"/>
    </row>
    <row r="118" spans="2:32" s="1" customFormat="1" ht="13" hidden="1" x14ac:dyDescent="0.3">
      <c r="B118" s="12">
        <v>2026</v>
      </c>
      <c r="C118" s="12" t="s">
        <v>163</v>
      </c>
      <c r="D118" s="12" t="s">
        <v>162</v>
      </c>
      <c r="E118" s="12" t="s">
        <v>88</v>
      </c>
      <c r="F118" s="12" t="s">
        <v>80</v>
      </c>
      <c r="G118" s="83">
        <v>46209</v>
      </c>
      <c r="H118" s="93">
        <v>3825</v>
      </c>
      <c r="I118" s="12" t="s">
        <v>148</v>
      </c>
      <c r="J118" s="8" t="str">
        <f>IFERROR(VLOOKUP(I118,Map!$F$18:$G$56,2,0),"Add in Map")</f>
        <v>3P</v>
      </c>
      <c r="K118" s="8" t="str">
        <f>VLOOKUP(L118,Map!$C$18:$D$29,2,0)</f>
        <v>GLT</v>
      </c>
      <c r="L118" s="12" t="s">
        <v>44</v>
      </c>
      <c r="M118" s="52">
        <v>5944270.2785713021</v>
      </c>
      <c r="N118" s="56">
        <f t="shared" si="47"/>
        <v>0</v>
      </c>
      <c r="O118" s="56">
        <f t="shared" si="48"/>
        <v>7073681.6314998493</v>
      </c>
      <c r="P118" s="31">
        <f t="shared" si="49"/>
        <v>6440.162815353523</v>
      </c>
      <c r="Q118" s="31">
        <f t="shared" si="50"/>
        <v>0</v>
      </c>
      <c r="R118" s="60">
        <f t="shared" si="41"/>
        <v>7663.7937502706918</v>
      </c>
      <c r="S118" s="45">
        <f>INDEX(FX!$D$3:$O$19,MATCH(B118,FX!$B$3:$B$32,0),MATCH(D118,FX!$D$2:$O$2,0))</f>
        <v>923</v>
      </c>
      <c r="T118" s="12" t="s">
        <v>141</v>
      </c>
      <c r="U118" s="12" t="s">
        <v>32</v>
      </c>
      <c r="V118" s="12" t="s">
        <v>83</v>
      </c>
      <c r="W118" s="8" t="str">
        <f>VLOOKUP(I118,Map!$F$18:$H$51,3,0)</f>
        <v>Variable</v>
      </c>
      <c r="X118" s="88" t="s">
        <v>149</v>
      </c>
      <c r="Y118" s="107" t="str">
        <f>VLOOKUP(L118,Map!$C$18:$D$29,2,0)</f>
        <v>GLT</v>
      </c>
      <c r="Z118" s="52"/>
      <c r="AA118" s="56">
        <f t="shared" si="42"/>
        <v>0</v>
      </c>
      <c r="AB118" s="56">
        <f t="shared" si="43"/>
        <v>0</v>
      </c>
      <c r="AC118" s="31">
        <f t="shared" si="44"/>
        <v>0</v>
      </c>
      <c r="AD118" s="31">
        <f t="shared" si="45"/>
        <v>0</v>
      </c>
      <c r="AE118" s="60">
        <f t="shared" si="46"/>
        <v>0</v>
      </c>
      <c r="AF118" s="8"/>
    </row>
    <row r="119" spans="2:32" s="1" customFormat="1" ht="13" hidden="1" x14ac:dyDescent="0.3">
      <c r="B119" s="12">
        <v>2026</v>
      </c>
      <c r="C119" s="12" t="s">
        <v>163</v>
      </c>
      <c r="D119" s="12" t="s">
        <v>162</v>
      </c>
      <c r="E119" s="12" t="s">
        <v>88</v>
      </c>
      <c r="F119" s="12" t="s">
        <v>80</v>
      </c>
      <c r="G119" s="83">
        <v>46209</v>
      </c>
      <c r="H119" s="93">
        <v>3825</v>
      </c>
      <c r="I119" s="12" t="s">
        <v>148</v>
      </c>
      <c r="J119" s="8" t="str">
        <f>IFERROR(VLOOKUP(I119,Map!$F$18:$G$56,2,0),"Add in Map")</f>
        <v>3P</v>
      </c>
      <c r="K119" s="8" t="str">
        <f>VLOOKUP(L119,Map!$C$18:$D$29,2,0)</f>
        <v>PNT</v>
      </c>
      <c r="L119" s="12" t="s">
        <v>46</v>
      </c>
      <c r="M119" s="52">
        <v>644985.28714678006</v>
      </c>
      <c r="N119" s="56">
        <f t="shared" si="47"/>
        <v>0</v>
      </c>
      <c r="O119" s="56">
        <f t="shared" si="48"/>
        <v>767532.49170466827</v>
      </c>
      <c r="P119" s="31">
        <f t="shared" si="49"/>
        <v>698.79229376682565</v>
      </c>
      <c r="Q119" s="31">
        <f t="shared" si="50"/>
        <v>0</v>
      </c>
      <c r="R119" s="60">
        <f t="shared" si="41"/>
        <v>831.56282958252245</v>
      </c>
      <c r="S119" s="45">
        <f>INDEX(FX!$D$3:$O$19,MATCH(B119,FX!$B$3:$B$32,0),MATCH(D119,FX!$D$2:$O$2,0))</f>
        <v>923</v>
      </c>
      <c r="T119" s="12" t="s">
        <v>141</v>
      </c>
      <c r="U119" s="12" t="s">
        <v>32</v>
      </c>
      <c r="V119" s="12" t="s">
        <v>83</v>
      </c>
      <c r="W119" s="8" t="str">
        <f>VLOOKUP(I119,Map!$F$18:$H$51,3,0)</f>
        <v>Variable</v>
      </c>
      <c r="X119" s="88" t="s">
        <v>149</v>
      </c>
      <c r="Y119" s="107" t="str">
        <f>VLOOKUP(L119,Map!$C$18:$D$29,2,0)</f>
        <v>PNT</v>
      </c>
      <c r="Z119" s="52"/>
      <c r="AA119" s="56">
        <f t="shared" si="42"/>
        <v>0</v>
      </c>
      <c r="AB119" s="56">
        <f t="shared" si="43"/>
        <v>0</v>
      </c>
      <c r="AC119" s="31">
        <f t="shared" si="44"/>
        <v>0</v>
      </c>
      <c r="AD119" s="31">
        <f t="shared" si="45"/>
        <v>0</v>
      </c>
      <c r="AE119" s="60">
        <f t="shared" si="46"/>
        <v>0</v>
      </c>
      <c r="AF119" s="8"/>
    </row>
    <row r="120" spans="2:32" s="1" customFormat="1" ht="13" hidden="1" x14ac:dyDescent="0.3">
      <c r="B120" s="12">
        <v>2026</v>
      </c>
      <c r="C120" s="12" t="s">
        <v>163</v>
      </c>
      <c r="D120" s="12" t="s">
        <v>162</v>
      </c>
      <c r="E120" s="12" t="s">
        <v>88</v>
      </c>
      <c r="F120" s="12" t="s">
        <v>80</v>
      </c>
      <c r="G120" s="83">
        <v>46209</v>
      </c>
      <c r="H120" s="93">
        <v>3825</v>
      </c>
      <c r="I120" s="12" t="s">
        <v>148</v>
      </c>
      <c r="J120" s="8" t="str">
        <f>IFERROR(VLOOKUP(I120,Map!$F$18:$G$56,2,0),"Add in Map")</f>
        <v>3P</v>
      </c>
      <c r="K120" s="8" t="str">
        <f>VLOOKUP(L120,Map!$C$18:$D$29,2,0)</f>
        <v>GTT</v>
      </c>
      <c r="L120" s="12" t="s">
        <v>48</v>
      </c>
      <c r="M120" s="52">
        <v>395194.55455529626</v>
      </c>
      <c r="N120" s="56">
        <f t="shared" si="47"/>
        <v>0</v>
      </c>
      <c r="O120" s="56">
        <f t="shared" si="48"/>
        <v>470281.5199208025</v>
      </c>
      <c r="P120" s="31">
        <f t="shared" si="49"/>
        <v>428.16311436110107</v>
      </c>
      <c r="Q120" s="31">
        <f t="shared" si="50"/>
        <v>0</v>
      </c>
      <c r="R120" s="60">
        <f t="shared" si="41"/>
        <v>509.51410608971025</v>
      </c>
      <c r="S120" s="45">
        <f>INDEX(FX!$D$3:$O$19,MATCH(B120,FX!$B$3:$B$32,0),MATCH(D120,FX!$D$2:$O$2,0))</f>
        <v>923</v>
      </c>
      <c r="T120" s="12" t="s">
        <v>141</v>
      </c>
      <c r="U120" s="12" t="s">
        <v>32</v>
      </c>
      <c r="V120" s="12" t="s">
        <v>83</v>
      </c>
      <c r="W120" s="8" t="str">
        <f>VLOOKUP(I120,Map!$F$18:$H$51,3,0)</f>
        <v>Variable</v>
      </c>
      <c r="X120" s="88" t="s">
        <v>149</v>
      </c>
      <c r="Y120" s="107" t="str">
        <f>VLOOKUP(L120,Map!$C$18:$D$29,2,0)</f>
        <v>GTT</v>
      </c>
      <c r="Z120" s="52"/>
      <c r="AA120" s="56">
        <f t="shared" si="42"/>
        <v>0</v>
      </c>
      <c r="AB120" s="56">
        <f t="shared" si="43"/>
        <v>0</v>
      </c>
      <c r="AC120" s="31">
        <f t="shared" si="44"/>
        <v>0</v>
      </c>
      <c r="AD120" s="31">
        <f t="shared" si="45"/>
        <v>0</v>
      </c>
      <c r="AE120" s="60">
        <f t="shared" si="46"/>
        <v>0</v>
      </c>
      <c r="AF120" s="8"/>
    </row>
    <row r="121" spans="2:32" s="1" customFormat="1" ht="13" hidden="1" x14ac:dyDescent="0.3">
      <c r="B121" s="12">
        <v>2026</v>
      </c>
      <c r="C121" s="12" t="s">
        <v>163</v>
      </c>
      <c r="D121" s="12" t="s">
        <v>162</v>
      </c>
      <c r="E121" s="12" t="s">
        <v>88</v>
      </c>
      <c r="F121" s="12" t="s">
        <v>80</v>
      </c>
      <c r="G121" s="83">
        <v>46209</v>
      </c>
      <c r="H121" s="93">
        <v>3825</v>
      </c>
      <c r="I121" s="12" t="s">
        <v>148</v>
      </c>
      <c r="J121" s="8" t="str">
        <f>IFERROR(VLOOKUP(I121,Map!$F$18:$G$56,2,0),"Add in Map")</f>
        <v>3P</v>
      </c>
      <c r="K121" s="8" t="str">
        <f>VLOOKUP(L121,Map!$C$18:$D$29,2,0)</f>
        <v>DGT</v>
      </c>
      <c r="L121" s="12" t="s">
        <v>50</v>
      </c>
      <c r="M121" s="52">
        <v>352083.61984921497</v>
      </c>
      <c r="N121" s="56">
        <f t="shared" si="47"/>
        <v>0</v>
      </c>
      <c r="O121" s="56">
        <f t="shared" si="48"/>
        <v>418979.50762056577</v>
      </c>
      <c r="P121" s="31">
        <f t="shared" si="49"/>
        <v>381.45570947910613</v>
      </c>
      <c r="Q121" s="31">
        <f t="shared" si="50"/>
        <v>0</v>
      </c>
      <c r="R121" s="60">
        <f t="shared" si="41"/>
        <v>453.93229428013626</v>
      </c>
      <c r="S121" s="45">
        <f>INDEX(FX!$D$3:$O$19,MATCH(B121,FX!$B$3:$B$32,0),MATCH(D121,FX!$D$2:$O$2,0))</f>
        <v>923</v>
      </c>
      <c r="T121" s="12" t="s">
        <v>141</v>
      </c>
      <c r="U121" s="12" t="s">
        <v>32</v>
      </c>
      <c r="V121" s="12" t="s">
        <v>83</v>
      </c>
      <c r="W121" s="8" t="str">
        <f>VLOOKUP(I121,Map!$F$18:$H$51,3,0)</f>
        <v>Variable</v>
      </c>
      <c r="X121" s="88" t="s">
        <v>149</v>
      </c>
      <c r="Y121" s="107" t="str">
        <f>VLOOKUP(L121,Map!$C$18:$D$29,2,0)</f>
        <v>DGT</v>
      </c>
      <c r="Z121" s="52"/>
      <c r="AA121" s="56">
        <f t="shared" si="42"/>
        <v>0</v>
      </c>
      <c r="AB121" s="56">
        <f t="shared" si="43"/>
        <v>0</v>
      </c>
      <c r="AC121" s="31">
        <f t="shared" si="44"/>
        <v>0</v>
      </c>
      <c r="AD121" s="31">
        <f t="shared" si="45"/>
        <v>0</v>
      </c>
      <c r="AE121" s="60">
        <f t="shared" si="46"/>
        <v>0</v>
      </c>
      <c r="AF121" s="8"/>
    </row>
    <row r="122" spans="2:32" s="1" customFormat="1" ht="13" hidden="1" x14ac:dyDescent="0.3">
      <c r="B122" s="12">
        <v>2026</v>
      </c>
      <c r="C122" s="12" t="s">
        <v>163</v>
      </c>
      <c r="D122" s="12" t="s">
        <v>162</v>
      </c>
      <c r="E122" s="12" t="s">
        <v>88</v>
      </c>
      <c r="F122" s="12" t="s">
        <v>80</v>
      </c>
      <c r="G122" s="83">
        <v>46209</v>
      </c>
      <c r="H122" s="93">
        <v>3825</v>
      </c>
      <c r="I122" s="12" t="s">
        <v>148</v>
      </c>
      <c r="J122" s="8" t="str">
        <f>IFERROR(VLOOKUP(I122,Map!$F$18:$G$56,2,0),"Add in Map")</f>
        <v>3P</v>
      </c>
      <c r="K122" s="8" t="str">
        <f>VLOOKUP(L122,Map!$C$18:$D$29,2,0)</f>
        <v>DLT</v>
      </c>
      <c r="L122" s="12" t="s">
        <v>52</v>
      </c>
      <c r="M122" s="52">
        <v>79535.908561135089</v>
      </c>
      <c r="N122" s="56">
        <f t="shared" si="47"/>
        <v>0</v>
      </c>
      <c r="O122" s="56">
        <f t="shared" si="48"/>
        <v>94647.731187750745</v>
      </c>
      <c r="P122" s="31">
        <f t="shared" si="49"/>
        <v>86.171081864718403</v>
      </c>
      <c r="Q122" s="31">
        <f t="shared" si="50"/>
        <v>0</v>
      </c>
      <c r="R122" s="60">
        <f t="shared" si="41"/>
        <v>102.5435874190149</v>
      </c>
      <c r="S122" s="45">
        <f>INDEX(FX!$D$3:$O$19,MATCH(B122,FX!$B$3:$B$32,0),MATCH(D122,FX!$D$2:$O$2,0))</f>
        <v>923</v>
      </c>
      <c r="T122" s="12" t="s">
        <v>141</v>
      </c>
      <c r="U122" s="12" t="s">
        <v>32</v>
      </c>
      <c r="V122" s="12" t="s">
        <v>83</v>
      </c>
      <c r="W122" s="8" t="str">
        <f>VLOOKUP(I122,Map!$F$18:$H$51,3,0)</f>
        <v>Variable</v>
      </c>
      <c r="X122" s="88" t="s">
        <v>149</v>
      </c>
      <c r="Y122" s="107" t="str">
        <f>VLOOKUP(L122,Map!$C$18:$D$29,2,0)</f>
        <v>DLT</v>
      </c>
      <c r="Z122" s="52"/>
      <c r="AA122" s="56">
        <f t="shared" si="42"/>
        <v>0</v>
      </c>
      <c r="AB122" s="56">
        <f t="shared" si="43"/>
        <v>0</v>
      </c>
      <c r="AC122" s="31">
        <f t="shared" si="44"/>
        <v>0</v>
      </c>
      <c r="AD122" s="31">
        <f t="shared" si="45"/>
        <v>0</v>
      </c>
      <c r="AE122" s="60">
        <f t="shared" si="46"/>
        <v>0</v>
      </c>
      <c r="AF122" s="8"/>
    </row>
    <row r="123" spans="2:32" s="1" customFormat="1" ht="13" hidden="1" x14ac:dyDescent="0.3">
      <c r="B123" s="12">
        <v>2026</v>
      </c>
      <c r="C123" s="12" t="s">
        <v>163</v>
      </c>
      <c r="D123" s="12" t="s">
        <v>162</v>
      </c>
      <c r="E123" s="12" t="s">
        <v>88</v>
      </c>
      <c r="F123" s="12" t="s">
        <v>80</v>
      </c>
      <c r="G123" s="83">
        <v>46209</v>
      </c>
      <c r="H123" s="93">
        <v>3825</v>
      </c>
      <c r="I123" s="12" t="s">
        <v>148</v>
      </c>
      <c r="J123" s="8" t="str">
        <f>IFERROR(VLOOKUP(I123,Map!$F$18:$G$56,2,0),"Add in Map")</f>
        <v>3P</v>
      </c>
      <c r="K123" s="8" t="str">
        <f>VLOOKUP(L123,Map!$C$18:$D$29,2,0)</f>
        <v>DMT</v>
      </c>
      <c r="L123" s="12" t="s">
        <v>54</v>
      </c>
      <c r="M123" s="52">
        <v>0</v>
      </c>
      <c r="N123" s="56">
        <f t="shared" si="47"/>
        <v>0</v>
      </c>
      <c r="O123" s="56">
        <f t="shared" si="48"/>
        <v>0</v>
      </c>
      <c r="P123" s="48">
        <f t="shared" si="49"/>
        <v>0</v>
      </c>
      <c r="Q123" s="31">
        <f t="shared" si="50"/>
        <v>0</v>
      </c>
      <c r="R123" s="60">
        <f t="shared" si="41"/>
        <v>0</v>
      </c>
      <c r="S123" s="45">
        <f>INDEX(FX!$D$3:$O$19,MATCH(B123,FX!$B$3:$B$32,0),MATCH(D123,FX!$D$2:$O$2,0))</f>
        <v>923</v>
      </c>
      <c r="T123" s="12" t="s">
        <v>141</v>
      </c>
      <c r="U123" s="12" t="s">
        <v>32</v>
      </c>
      <c r="V123" s="12" t="s">
        <v>83</v>
      </c>
      <c r="W123" s="8" t="str">
        <f>VLOOKUP(I123,Map!$F$18:$H$51,3,0)</f>
        <v>Variable</v>
      </c>
      <c r="X123" s="88" t="s">
        <v>149</v>
      </c>
      <c r="Y123" s="107" t="str">
        <f>VLOOKUP(L123,Map!$C$18:$D$29,2,0)</f>
        <v>DMT</v>
      </c>
      <c r="Z123" s="52"/>
      <c r="AA123" s="56">
        <f t="shared" si="42"/>
        <v>0</v>
      </c>
      <c r="AB123" s="56">
        <f t="shared" si="43"/>
        <v>0</v>
      </c>
      <c r="AC123" s="48">
        <f t="shared" si="44"/>
        <v>0</v>
      </c>
      <c r="AD123" s="31">
        <f t="shared" si="45"/>
        <v>0</v>
      </c>
      <c r="AE123" s="60">
        <f t="shared" si="46"/>
        <v>0</v>
      </c>
      <c r="AF123" s="8"/>
    </row>
    <row r="124" spans="2:32" s="37" customFormat="1" hidden="1" x14ac:dyDescent="0.35">
      <c r="B124" s="13">
        <v>2026</v>
      </c>
      <c r="C124" s="13" t="s">
        <v>163</v>
      </c>
      <c r="D124" s="13" t="s">
        <v>162</v>
      </c>
      <c r="E124" s="13" t="s">
        <v>88</v>
      </c>
      <c r="F124" s="13" t="s">
        <v>80</v>
      </c>
      <c r="G124" s="85">
        <v>46209</v>
      </c>
      <c r="H124" s="94">
        <v>3825</v>
      </c>
      <c r="I124" s="13" t="s">
        <v>148</v>
      </c>
      <c r="J124" s="29" t="str">
        <f>IFERROR(VLOOKUP(I124,Map!$F$18:$G$56,2,0),"Add in Map")</f>
        <v>3P</v>
      </c>
      <c r="K124" s="29" t="str">
        <f>VLOOKUP(L124,Map!$C$18:$D$29,2,0)</f>
        <v>TOTAL</v>
      </c>
      <c r="L124" s="13" t="s">
        <v>56</v>
      </c>
      <c r="M124" s="126">
        <f>SUM(M113:M123)</f>
        <v>21166115.999999996</v>
      </c>
      <c r="N124" s="57">
        <f t="shared" si="47"/>
        <v>4021562.0399999996</v>
      </c>
      <c r="O124" s="57">
        <f t="shared" si="48"/>
        <v>25187678.039999995</v>
      </c>
      <c r="P124" s="11">
        <f t="shared" si="49"/>
        <v>22931.86998916576</v>
      </c>
      <c r="Q124" s="11">
        <f t="shared" si="50"/>
        <v>4357.0552979414942</v>
      </c>
      <c r="R124" s="61">
        <f t="shared" si="41"/>
        <v>27288.925287107253</v>
      </c>
      <c r="S124" s="46">
        <f>INDEX(FX!$D$3:$O$19,MATCH(B124,FX!$B$3:$B$32,0),MATCH(D124,FX!$D$2:$O$2,0))</f>
        <v>923</v>
      </c>
      <c r="T124" s="13" t="s">
        <v>141</v>
      </c>
      <c r="U124" s="13" t="s">
        <v>32</v>
      </c>
      <c r="V124" s="13" t="s">
        <v>83</v>
      </c>
      <c r="W124" s="29" t="str">
        <f>VLOOKUP(I124,Map!$F$18:$H$51,3,0)</f>
        <v>Variable</v>
      </c>
      <c r="X124" s="90" t="s">
        <v>149</v>
      </c>
      <c r="Y124" s="109" t="str">
        <f>VLOOKUP(L124,Map!$C$18:$D$29,2,0)</f>
        <v>TOTAL</v>
      </c>
      <c r="Z124" s="53"/>
      <c r="AA124" s="57">
        <f t="shared" si="42"/>
        <v>0</v>
      </c>
      <c r="AB124" s="57">
        <f t="shared" si="43"/>
        <v>0</v>
      </c>
      <c r="AC124" s="11">
        <f t="shared" si="44"/>
        <v>0</v>
      </c>
      <c r="AD124" s="11">
        <f t="shared" si="45"/>
        <v>0</v>
      </c>
      <c r="AE124" s="61">
        <f t="shared" si="46"/>
        <v>0</v>
      </c>
      <c r="AF124" s="87"/>
    </row>
    <row r="125" spans="2:32" s="1" customFormat="1" ht="13" hidden="1" x14ac:dyDescent="0.3">
      <c r="B125" s="12">
        <v>2026</v>
      </c>
      <c r="C125" s="12" t="s">
        <v>163</v>
      </c>
      <c r="D125" s="12" t="s">
        <v>162</v>
      </c>
      <c r="E125" s="12" t="s">
        <v>88</v>
      </c>
      <c r="F125" s="12" t="s">
        <v>80</v>
      </c>
      <c r="G125" s="83">
        <v>46209</v>
      </c>
      <c r="H125" s="93">
        <v>3826</v>
      </c>
      <c r="I125" s="12" t="s">
        <v>148</v>
      </c>
      <c r="J125" s="8" t="str">
        <f>IFERROR(VLOOKUP(I125,Map!$F$18:$G$56,2,0),"Add in Map")</f>
        <v>3P</v>
      </c>
      <c r="K125" s="8" t="str">
        <f>VLOOKUP(L125,Map!$C$18:$D$29,2,0)</f>
        <v>CNT</v>
      </c>
      <c r="L125" s="12" t="s">
        <v>31</v>
      </c>
      <c r="M125" s="52">
        <v>2930386.9214732647</v>
      </c>
      <c r="N125" s="56">
        <f t="shared" si="47"/>
        <v>0</v>
      </c>
      <c r="O125" s="56">
        <f t="shared" si="48"/>
        <v>3487160.4365531849</v>
      </c>
      <c r="P125" s="31">
        <f t="shared" si="49"/>
        <v>3174.8504024629087</v>
      </c>
      <c r="Q125" s="31">
        <f t="shared" si="50"/>
        <v>0</v>
      </c>
      <c r="R125" s="60">
        <f t="shared" ref="R125:R148" si="51">P125*1.19</f>
        <v>3778.0719789308614</v>
      </c>
      <c r="S125" s="45">
        <f>INDEX(FX!$D$3:$O$19,MATCH(B125,FX!$B$3:$B$32,0),MATCH(D125,FX!$D$2:$O$2,0))</f>
        <v>923</v>
      </c>
      <c r="T125" s="12" t="s">
        <v>141</v>
      </c>
      <c r="U125" s="12" t="s">
        <v>32</v>
      </c>
      <c r="V125" s="12" t="s">
        <v>83</v>
      </c>
      <c r="W125" s="8" t="str">
        <f>VLOOKUP(I125,Map!$F$18:$H$51,3,0)</f>
        <v>Variable</v>
      </c>
      <c r="X125" s="88" t="s">
        <v>149</v>
      </c>
      <c r="Y125" s="107" t="str">
        <f>VLOOKUP(L125,Map!$C$18:$D$29,2,0)</f>
        <v>CNT</v>
      </c>
      <c r="Z125" s="52"/>
      <c r="AA125" s="56">
        <f t="shared" ref="AA125:AA148" si="52">IF(Y125="TOTAL",(Z125*0.19),0)</f>
        <v>0</v>
      </c>
      <c r="AB125" s="56">
        <f t="shared" ref="AB125:AB148" si="53">Z125*1.19</f>
        <v>0</v>
      </c>
      <c r="AC125" s="31">
        <f t="shared" ref="AC125:AC148" si="54">Z125/S125</f>
        <v>0</v>
      </c>
      <c r="AD125" s="31">
        <f t="shared" ref="AD125:AD148" si="55">IF(Y125="TOTAL",(AC125*0.19),0)</f>
        <v>0</v>
      </c>
      <c r="AE125" s="60">
        <f t="shared" ref="AE125:AE148" si="56">AC125*1.19</f>
        <v>0</v>
      </c>
      <c r="AF125" s="8"/>
    </row>
    <row r="126" spans="2:32" s="1" customFormat="1" ht="13" hidden="1" x14ac:dyDescent="0.3">
      <c r="B126" s="12">
        <v>2026</v>
      </c>
      <c r="C126" s="12" t="s">
        <v>163</v>
      </c>
      <c r="D126" s="12" t="s">
        <v>162</v>
      </c>
      <c r="E126" s="12" t="s">
        <v>88</v>
      </c>
      <c r="F126" s="12" t="s">
        <v>80</v>
      </c>
      <c r="G126" s="83">
        <v>46209</v>
      </c>
      <c r="H126" s="93">
        <v>3826</v>
      </c>
      <c r="I126" s="12" t="s">
        <v>148</v>
      </c>
      <c r="J126" s="8" t="str">
        <f>IFERROR(VLOOKUP(I126,Map!$F$18:$G$56,2,0),"Add in Map")</f>
        <v>3P</v>
      </c>
      <c r="K126" s="8" t="str">
        <f>VLOOKUP(L126,Map!$C$18:$D$29,2,0)</f>
        <v>CVT</v>
      </c>
      <c r="L126" s="12" t="s">
        <v>36</v>
      </c>
      <c r="M126" s="52">
        <v>71228.422457196764</v>
      </c>
      <c r="N126" s="56">
        <f t="shared" si="47"/>
        <v>0</v>
      </c>
      <c r="O126" s="56">
        <f t="shared" si="48"/>
        <v>84761.822724064143</v>
      </c>
      <c r="P126" s="31">
        <f t="shared" si="49"/>
        <v>77.17055520823051</v>
      </c>
      <c r="Q126" s="31">
        <f t="shared" si="50"/>
        <v>0</v>
      </c>
      <c r="R126" s="60">
        <f t="shared" si="51"/>
        <v>91.832960697794306</v>
      </c>
      <c r="S126" s="45">
        <f>INDEX(FX!$D$3:$O$19,MATCH(B126,FX!$B$3:$B$32,0),MATCH(D126,FX!$D$2:$O$2,0))</f>
        <v>923</v>
      </c>
      <c r="T126" s="12" t="s">
        <v>141</v>
      </c>
      <c r="U126" s="12" t="s">
        <v>32</v>
      </c>
      <c r="V126" s="12" t="s">
        <v>83</v>
      </c>
      <c r="W126" s="8" t="str">
        <f>VLOOKUP(I126,Map!$F$18:$H$51,3,0)</f>
        <v>Variable</v>
      </c>
      <c r="X126" s="88" t="s">
        <v>149</v>
      </c>
      <c r="Y126" s="107" t="str">
        <f>VLOOKUP(L126,Map!$C$18:$D$29,2,0)</f>
        <v>CVT</v>
      </c>
      <c r="Z126" s="52"/>
      <c r="AA126" s="56">
        <f t="shared" si="52"/>
        <v>0</v>
      </c>
      <c r="AB126" s="56">
        <f t="shared" si="53"/>
        <v>0</v>
      </c>
      <c r="AC126" s="31">
        <f t="shared" si="54"/>
        <v>0</v>
      </c>
      <c r="AD126" s="31">
        <f t="shared" si="55"/>
        <v>0</v>
      </c>
      <c r="AE126" s="60">
        <f t="shared" si="56"/>
        <v>0</v>
      </c>
      <c r="AF126" s="8"/>
    </row>
    <row r="127" spans="2:32" s="1" customFormat="1" ht="13" hidden="1" x14ac:dyDescent="0.3">
      <c r="B127" s="12">
        <v>2026</v>
      </c>
      <c r="C127" s="12" t="s">
        <v>163</v>
      </c>
      <c r="D127" s="12" t="s">
        <v>162</v>
      </c>
      <c r="E127" s="12" t="s">
        <v>88</v>
      </c>
      <c r="F127" s="12" t="s">
        <v>80</v>
      </c>
      <c r="G127" s="83">
        <v>46209</v>
      </c>
      <c r="H127" s="93">
        <v>3826</v>
      </c>
      <c r="I127" s="12" t="s">
        <v>148</v>
      </c>
      <c r="J127" s="8" t="str">
        <f>IFERROR(VLOOKUP(I127,Map!$F$18:$G$56,2,0),"Add in Map")</f>
        <v>3P</v>
      </c>
      <c r="K127" s="8" t="str">
        <f>VLOOKUP(L127,Map!$C$18:$D$29,2,0)</f>
        <v>CDT</v>
      </c>
      <c r="L127" s="12" t="s">
        <v>38</v>
      </c>
      <c r="M127" s="52">
        <v>73331.313941172237</v>
      </c>
      <c r="N127" s="56">
        <f t="shared" si="47"/>
        <v>0</v>
      </c>
      <c r="O127" s="56">
        <f t="shared" si="48"/>
        <v>87264.263589994953</v>
      </c>
      <c r="P127" s="31">
        <f t="shared" si="49"/>
        <v>79.4488775093957</v>
      </c>
      <c r="Q127" s="31">
        <f t="shared" si="50"/>
        <v>0</v>
      </c>
      <c r="R127" s="60">
        <f t="shared" si="51"/>
        <v>94.544164236180876</v>
      </c>
      <c r="S127" s="45">
        <f>INDEX(FX!$D$3:$O$19,MATCH(B127,FX!$B$3:$B$32,0),MATCH(D127,FX!$D$2:$O$2,0))</f>
        <v>923</v>
      </c>
      <c r="T127" s="12" t="s">
        <v>141</v>
      </c>
      <c r="U127" s="12" t="s">
        <v>32</v>
      </c>
      <c r="V127" s="12" t="s">
        <v>83</v>
      </c>
      <c r="W127" s="8" t="str">
        <f>VLOOKUP(I127,Map!$F$18:$H$51,3,0)</f>
        <v>Variable</v>
      </c>
      <c r="X127" s="88" t="s">
        <v>149</v>
      </c>
      <c r="Y127" s="107" t="str">
        <f>VLOOKUP(L127,Map!$C$18:$D$29,2,0)</f>
        <v>CDT</v>
      </c>
      <c r="Z127" s="52"/>
      <c r="AA127" s="56">
        <f t="shared" si="52"/>
        <v>0</v>
      </c>
      <c r="AB127" s="56">
        <f t="shared" si="53"/>
        <v>0</v>
      </c>
      <c r="AC127" s="31">
        <f t="shared" si="54"/>
        <v>0</v>
      </c>
      <c r="AD127" s="31">
        <f t="shared" si="55"/>
        <v>0</v>
      </c>
      <c r="AE127" s="60">
        <f t="shared" si="56"/>
        <v>0</v>
      </c>
      <c r="AF127" s="8"/>
    </row>
    <row r="128" spans="2:32" s="1" customFormat="1" ht="13" hidden="1" x14ac:dyDescent="0.3">
      <c r="B128" s="12">
        <v>2026</v>
      </c>
      <c r="C128" s="12" t="s">
        <v>163</v>
      </c>
      <c r="D128" s="12" t="s">
        <v>162</v>
      </c>
      <c r="E128" s="12" t="s">
        <v>88</v>
      </c>
      <c r="F128" s="12" t="s">
        <v>80</v>
      </c>
      <c r="G128" s="83">
        <v>46209</v>
      </c>
      <c r="H128" s="93">
        <v>3826</v>
      </c>
      <c r="I128" s="12" t="s">
        <v>148</v>
      </c>
      <c r="J128" s="8" t="str">
        <f>IFERROR(VLOOKUP(I128,Map!$F$18:$G$56,2,0),"Add in Map")</f>
        <v>3P</v>
      </c>
      <c r="K128" s="8" t="str">
        <f>VLOOKUP(L128,Map!$C$18:$D$29,2,0)</f>
        <v>DFT</v>
      </c>
      <c r="L128" s="12" t="s">
        <v>40</v>
      </c>
      <c r="M128" s="52">
        <v>6111570.3306816835</v>
      </c>
      <c r="N128" s="56">
        <f t="shared" si="47"/>
        <v>0</v>
      </c>
      <c r="O128" s="56">
        <f t="shared" si="48"/>
        <v>7272768.6935112029</v>
      </c>
      <c r="P128" s="31">
        <f t="shared" si="49"/>
        <v>6621.4196432087574</v>
      </c>
      <c r="Q128" s="31">
        <f t="shared" si="50"/>
        <v>0</v>
      </c>
      <c r="R128" s="60">
        <f t="shared" si="51"/>
        <v>7879.4893754184213</v>
      </c>
      <c r="S128" s="45">
        <f>INDEX(FX!$D$3:$O$19,MATCH(B128,FX!$B$3:$B$32,0),MATCH(D128,FX!$D$2:$O$2,0))</f>
        <v>923</v>
      </c>
      <c r="T128" s="12" t="s">
        <v>141</v>
      </c>
      <c r="U128" s="12" t="s">
        <v>32</v>
      </c>
      <c r="V128" s="12" t="s">
        <v>83</v>
      </c>
      <c r="W128" s="8" t="str">
        <f>VLOOKUP(I128,Map!$F$18:$H$51,3,0)</f>
        <v>Variable</v>
      </c>
      <c r="X128" s="88" t="s">
        <v>149</v>
      </c>
      <c r="Y128" s="107" t="str">
        <f>VLOOKUP(L128,Map!$C$18:$D$29,2,0)</f>
        <v>DFT</v>
      </c>
      <c r="Z128" s="52"/>
      <c r="AA128" s="56">
        <f t="shared" si="52"/>
        <v>0</v>
      </c>
      <c r="AB128" s="56">
        <f t="shared" si="53"/>
        <v>0</v>
      </c>
      <c r="AC128" s="31">
        <f t="shared" si="54"/>
        <v>0</v>
      </c>
      <c r="AD128" s="31">
        <f t="shared" si="55"/>
        <v>0</v>
      </c>
      <c r="AE128" s="60">
        <f t="shared" si="56"/>
        <v>0</v>
      </c>
      <c r="AF128" s="8"/>
    </row>
    <row r="129" spans="2:32" s="1" customFormat="1" ht="13" hidden="1" x14ac:dyDescent="0.3">
      <c r="B129" s="12">
        <v>2026</v>
      </c>
      <c r="C129" s="12" t="s">
        <v>163</v>
      </c>
      <c r="D129" s="12" t="s">
        <v>162</v>
      </c>
      <c r="E129" s="12" t="s">
        <v>88</v>
      </c>
      <c r="F129" s="12" t="s">
        <v>80</v>
      </c>
      <c r="G129" s="83">
        <v>46209</v>
      </c>
      <c r="H129" s="93">
        <v>3826</v>
      </c>
      <c r="I129" s="12" t="s">
        <v>148</v>
      </c>
      <c r="J129" s="8" t="str">
        <f>IFERROR(VLOOKUP(I129,Map!$F$18:$G$56,2,0),"Add in Map")</f>
        <v>3P</v>
      </c>
      <c r="K129" s="8" t="str">
        <f>VLOOKUP(L129,Map!$C$18:$D$29,2,0)</f>
        <v>DVT</v>
      </c>
      <c r="L129" s="12" t="s">
        <v>42</v>
      </c>
      <c r="M129" s="52">
        <v>0</v>
      </c>
      <c r="N129" s="56">
        <f t="shared" si="47"/>
        <v>0</v>
      </c>
      <c r="O129" s="56">
        <f t="shared" si="48"/>
        <v>0</v>
      </c>
      <c r="P129" s="31">
        <f t="shared" si="49"/>
        <v>0</v>
      </c>
      <c r="Q129" s="31">
        <f t="shared" si="50"/>
        <v>0</v>
      </c>
      <c r="R129" s="60">
        <f t="shared" si="51"/>
        <v>0</v>
      </c>
      <c r="S129" s="45">
        <f>INDEX(FX!$D$3:$O$19,MATCH(B129,FX!$B$3:$B$32,0),MATCH(D129,FX!$D$2:$O$2,0))</f>
        <v>923</v>
      </c>
      <c r="T129" s="12" t="s">
        <v>141</v>
      </c>
      <c r="U129" s="12" t="s">
        <v>32</v>
      </c>
      <c r="V129" s="12" t="s">
        <v>83</v>
      </c>
      <c r="W129" s="8" t="str">
        <f>VLOOKUP(I129,Map!$F$18:$H$51,3,0)</f>
        <v>Variable</v>
      </c>
      <c r="X129" s="88" t="s">
        <v>149</v>
      </c>
      <c r="Y129" s="107" t="str">
        <f>VLOOKUP(L129,Map!$C$18:$D$29,2,0)</f>
        <v>DVT</v>
      </c>
      <c r="Z129" s="52"/>
      <c r="AA129" s="56">
        <f t="shared" si="52"/>
        <v>0</v>
      </c>
      <c r="AB129" s="56">
        <f t="shared" si="53"/>
        <v>0</v>
      </c>
      <c r="AC129" s="31">
        <f t="shared" si="54"/>
        <v>0</v>
      </c>
      <c r="AD129" s="31">
        <f t="shared" si="55"/>
        <v>0</v>
      </c>
      <c r="AE129" s="60">
        <f t="shared" si="56"/>
        <v>0</v>
      </c>
      <c r="AF129" s="8"/>
    </row>
    <row r="130" spans="2:32" s="1" customFormat="1" ht="13" hidden="1" x14ac:dyDescent="0.3">
      <c r="B130" s="12">
        <v>2026</v>
      </c>
      <c r="C130" s="12" t="s">
        <v>163</v>
      </c>
      <c r="D130" s="12" t="s">
        <v>162</v>
      </c>
      <c r="E130" s="12" t="s">
        <v>88</v>
      </c>
      <c r="F130" s="12" t="s">
        <v>80</v>
      </c>
      <c r="G130" s="83">
        <v>46209</v>
      </c>
      <c r="H130" s="93">
        <v>3826</v>
      </c>
      <c r="I130" s="12" t="s">
        <v>148</v>
      </c>
      <c r="J130" s="8" t="str">
        <f>IFERROR(VLOOKUP(I130,Map!$F$18:$G$56,2,0),"Add in Map")</f>
        <v>3P</v>
      </c>
      <c r="K130" s="8" t="str">
        <f>VLOOKUP(L130,Map!$C$18:$D$29,2,0)</f>
        <v>GLT</v>
      </c>
      <c r="L130" s="12" t="s">
        <v>44</v>
      </c>
      <c r="M130" s="52">
        <v>3971414.9686062983</v>
      </c>
      <c r="N130" s="56">
        <f t="shared" si="47"/>
        <v>0</v>
      </c>
      <c r="O130" s="56">
        <f t="shared" si="48"/>
        <v>4725983.8126414949</v>
      </c>
      <c r="P130" s="31">
        <f t="shared" si="49"/>
        <v>4302.7247763881887</v>
      </c>
      <c r="Q130" s="31">
        <f t="shared" si="50"/>
        <v>0</v>
      </c>
      <c r="R130" s="60">
        <f t="shared" si="51"/>
        <v>5120.2424839019441</v>
      </c>
      <c r="S130" s="45">
        <f>INDEX(FX!$D$3:$O$19,MATCH(B130,FX!$B$3:$B$32,0),MATCH(D130,FX!$D$2:$O$2,0))</f>
        <v>923</v>
      </c>
      <c r="T130" s="12" t="s">
        <v>141</v>
      </c>
      <c r="U130" s="12" t="s">
        <v>32</v>
      </c>
      <c r="V130" s="12" t="s">
        <v>83</v>
      </c>
      <c r="W130" s="8" t="str">
        <f>VLOOKUP(I130,Map!$F$18:$H$51,3,0)</f>
        <v>Variable</v>
      </c>
      <c r="X130" s="88" t="s">
        <v>149</v>
      </c>
      <c r="Y130" s="107" t="str">
        <f>VLOOKUP(L130,Map!$C$18:$D$29,2,0)</f>
        <v>GLT</v>
      </c>
      <c r="Z130" s="52"/>
      <c r="AA130" s="56">
        <f t="shared" si="52"/>
        <v>0</v>
      </c>
      <c r="AB130" s="56">
        <f t="shared" si="53"/>
        <v>0</v>
      </c>
      <c r="AC130" s="31">
        <f t="shared" si="54"/>
        <v>0</v>
      </c>
      <c r="AD130" s="31">
        <f t="shared" si="55"/>
        <v>0</v>
      </c>
      <c r="AE130" s="60">
        <f t="shared" si="56"/>
        <v>0</v>
      </c>
      <c r="AF130" s="8"/>
    </row>
    <row r="131" spans="2:32" s="1" customFormat="1" ht="13" hidden="1" x14ac:dyDescent="0.3">
      <c r="B131" s="12">
        <v>2026</v>
      </c>
      <c r="C131" s="12" t="s">
        <v>163</v>
      </c>
      <c r="D131" s="12" t="s">
        <v>162</v>
      </c>
      <c r="E131" s="12" t="s">
        <v>88</v>
      </c>
      <c r="F131" s="12" t="s">
        <v>80</v>
      </c>
      <c r="G131" s="83">
        <v>46209</v>
      </c>
      <c r="H131" s="93">
        <v>3826</v>
      </c>
      <c r="I131" s="12" t="s">
        <v>148</v>
      </c>
      <c r="J131" s="8" t="str">
        <f>IFERROR(VLOOKUP(I131,Map!$F$18:$G$56,2,0),"Add in Map")</f>
        <v>3P</v>
      </c>
      <c r="K131" s="8" t="str">
        <f>VLOOKUP(L131,Map!$C$18:$D$29,2,0)</f>
        <v>PNT</v>
      </c>
      <c r="L131" s="12" t="s">
        <v>46</v>
      </c>
      <c r="M131" s="52">
        <v>430919.8781118021</v>
      </c>
      <c r="N131" s="56">
        <f t="shared" si="47"/>
        <v>0</v>
      </c>
      <c r="O131" s="56">
        <f t="shared" si="48"/>
        <v>512794.65495304449</v>
      </c>
      <c r="P131" s="31">
        <f t="shared" si="49"/>
        <v>466.86877368559271</v>
      </c>
      <c r="Q131" s="31">
        <f t="shared" si="50"/>
        <v>0</v>
      </c>
      <c r="R131" s="60">
        <f t="shared" si="51"/>
        <v>555.57384068585532</v>
      </c>
      <c r="S131" s="45">
        <f>INDEX(FX!$D$3:$O$19,MATCH(B131,FX!$B$3:$B$32,0),MATCH(D131,FX!$D$2:$O$2,0))</f>
        <v>923</v>
      </c>
      <c r="T131" s="12" t="s">
        <v>141</v>
      </c>
      <c r="U131" s="12" t="s">
        <v>32</v>
      </c>
      <c r="V131" s="12" t="s">
        <v>83</v>
      </c>
      <c r="W131" s="8" t="str">
        <f>VLOOKUP(I131,Map!$F$18:$H$51,3,0)</f>
        <v>Variable</v>
      </c>
      <c r="X131" s="88" t="s">
        <v>149</v>
      </c>
      <c r="Y131" s="107" t="str">
        <f>VLOOKUP(L131,Map!$C$18:$D$29,2,0)</f>
        <v>PNT</v>
      </c>
      <c r="Z131" s="52"/>
      <c r="AA131" s="56">
        <f t="shared" si="52"/>
        <v>0</v>
      </c>
      <c r="AB131" s="56">
        <f t="shared" si="53"/>
        <v>0</v>
      </c>
      <c r="AC131" s="31">
        <f t="shared" si="54"/>
        <v>0</v>
      </c>
      <c r="AD131" s="31">
        <f t="shared" si="55"/>
        <v>0</v>
      </c>
      <c r="AE131" s="60">
        <f t="shared" si="56"/>
        <v>0</v>
      </c>
      <c r="AF131" s="8"/>
    </row>
    <row r="132" spans="2:32" s="1" customFormat="1" ht="13" hidden="1" x14ac:dyDescent="0.3">
      <c r="B132" s="12">
        <v>2026</v>
      </c>
      <c r="C132" s="12" t="s">
        <v>163</v>
      </c>
      <c r="D132" s="12" t="s">
        <v>162</v>
      </c>
      <c r="E132" s="12" t="s">
        <v>88</v>
      </c>
      <c r="F132" s="12" t="s">
        <v>80</v>
      </c>
      <c r="G132" s="83">
        <v>46209</v>
      </c>
      <c r="H132" s="93">
        <v>3826</v>
      </c>
      <c r="I132" s="12" t="s">
        <v>148</v>
      </c>
      <c r="J132" s="8" t="str">
        <f>IFERROR(VLOOKUP(I132,Map!$F$18:$G$56,2,0),"Add in Map")</f>
        <v>3P</v>
      </c>
      <c r="K132" s="8" t="str">
        <f>VLOOKUP(L132,Map!$C$18:$D$29,2,0)</f>
        <v>GTT</v>
      </c>
      <c r="L132" s="12" t="s">
        <v>48</v>
      </c>
      <c r="M132" s="52">
        <v>264032.67279593227</v>
      </c>
      <c r="N132" s="56">
        <f t="shared" si="47"/>
        <v>0</v>
      </c>
      <c r="O132" s="56">
        <f t="shared" si="48"/>
        <v>314198.88062715938</v>
      </c>
      <c r="P132" s="31">
        <f t="shared" si="49"/>
        <v>286.05923379840982</v>
      </c>
      <c r="Q132" s="31">
        <f t="shared" si="50"/>
        <v>0</v>
      </c>
      <c r="R132" s="60">
        <f t="shared" si="51"/>
        <v>340.41048822010765</v>
      </c>
      <c r="S132" s="45">
        <f>INDEX(FX!$D$3:$O$19,MATCH(B132,FX!$B$3:$B$32,0),MATCH(D132,FX!$D$2:$O$2,0))</f>
        <v>923</v>
      </c>
      <c r="T132" s="12" t="s">
        <v>141</v>
      </c>
      <c r="U132" s="12" t="s">
        <v>32</v>
      </c>
      <c r="V132" s="12" t="s">
        <v>83</v>
      </c>
      <c r="W132" s="8" t="str">
        <f>VLOOKUP(I132,Map!$F$18:$H$51,3,0)</f>
        <v>Variable</v>
      </c>
      <c r="X132" s="88" t="s">
        <v>149</v>
      </c>
      <c r="Y132" s="107" t="str">
        <f>VLOOKUP(L132,Map!$C$18:$D$29,2,0)</f>
        <v>GTT</v>
      </c>
      <c r="Z132" s="52"/>
      <c r="AA132" s="56">
        <f t="shared" si="52"/>
        <v>0</v>
      </c>
      <c r="AB132" s="56">
        <f t="shared" si="53"/>
        <v>0</v>
      </c>
      <c r="AC132" s="31">
        <f t="shared" si="54"/>
        <v>0</v>
      </c>
      <c r="AD132" s="31">
        <f t="shared" si="55"/>
        <v>0</v>
      </c>
      <c r="AE132" s="60">
        <f t="shared" si="56"/>
        <v>0</v>
      </c>
      <c r="AF132" s="8"/>
    </row>
    <row r="133" spans="2:32" s="1" customFormat="1" ht="13" hidden="1" x14ac:dyDescent="0.3">
      <c r="B133" s="12">
        <v>2026</v>
      </c>
      <c r="C133" s="12" t="s">
        <v>163</v>
      </c>
      <c r="D133" s="12" t="s">
        <v>162</v>
      </c>
      <c r="E133" s="12" t="s">
        <v>88</v>
      </c>
      <c r="F133" s="12" t="s">
        <v>80</v>
      </c>
      <c r="G133" s="83">
        <v>46209</v>
      </c>
      <c r="H133" s="93">
        <v>3826</v>
      </c>
      <c r="I133" s="12" t="s">
        <v>148</v>
      </c>
      <c r="J133" s="8" t="str">
        <f>IFERROR(VLOOKUP(I133,Map!$F$18:$G$56,2,0),"Add in Map")</f>
        <v>3P</v>
      </c>
      <c r="K133" s="8" t="str">
        <f>VLOOKUP(L133,Map!$C$18:$D$29,2,0)</f>
        <v>DGT</v>
      </c>
      <c r="L133" s="12" t="s">
        <v>50</v>
      </c>
      <c r="M133" s="52">
        <v>235229.90923056315</v>
      </c>
      <c r="N133" s="56">
        <f t="shared" si="47"/>
        <v>0</v>
      </c>
      <c r="O133" s="56">
        <f t="shared" si="48"/>
        <v>279923.59198437014</v>
      </c>
      <c r="P133" s="31">
        <f t="shared" si="49"/>
        <v>254.85363946973254</v>
      </c>
      <c r="Q133" s="31">
        <f t="shared" si="50"/>
        <v>0</v>
      </c>
      <c r="R133" s="60">
        <f t="shared" si="51"/>
        <v>303.27583096898172</v>
      </c>
      <c r="S133" s="45">
        <f>INDEX(FX!$D$3:$O$19,MATCH(B133,FX!$B$3:$B$32,0),MATCH(D133,FX!$D$2:$O$2,0))</f>
        <v>923</v>
      </c>
      <c r="T133" s="12" t="s">
        <v>141</v>
      </c>
      <c r="U133" s="12" t="s">
        <v>32</v>
      </c>
      <c r="V133" s="12" t="s">
        <v>83</v>
      </c>
      <c r="W133" s="8" t="str">
        <f>VLOOKUP(I133,Map!$F$18:$H$51,3,0)</f>
        <v>Variable</v>
      </c>
      <c r="X133" s="88" t="s">
        <v>149</v>
      </c>
      <c r="Y133" s="107" t="str">
        <f>VLOOKUP(L133,Map!$C$18:$D$29,2,0)</f>
        <v>DGT</v>
      </c>
      <c r="Z133" s="52"/>
      <c r="AA133" s="56">
        <f t="shared" si="52"/>
        <v>0</v>
      </c>
      <c r="AB133" s="56">
        <f t="shared" si="53"/>
        <v>0</v>
      </c>
      <c r="AC133" s="31">
        <f t="shared" si="54"/>
        <v>0</v>
      </c>
      <c r="AD133" s="31">
        <f t="shared" si="55"/>
        <v>0</v>
      </c>
      <c r="AE133" s="60">
        <f t="shared" si="56"/>
        <v>0</v>
      </c>
      <c r="AF133" s="8"/>
    </row>
    <row r="134" spans="2:32" s="1" customFormat="1" ht="13" hidden="1" x14ac:dyDescent="0.3">
      <c r="B134" s="12">
        <v>2026</v>
      </c>
      <c r="C134" s="12" t="s">
        <v>163</v>
      </c>
      <c r="D134" s="12" t="s">
        <v>162</v>
      </c>
      <c r="E134" s="12" t="s">
        <v>88</v>
      </c>
      <c r="F134" s="12" t="s">
        <v>80</v>
      </c>
      <c r="G134" s="83">
        <v>46209</v>
      </c>
      <c r="H134" s="93">
        <v>3826</v>
      </c>
      <c r="I134" s="12" t="s">
        <v>148</v>
      </c>
      <c r="J134" s="8" t="str">
        <f>IFERROR(VLOOKUP(I134,Map!$F$18:$G$56,2,0),"Add in Map")</f>
        <v>3P</v>
      </c>
      <c r="K134" s="8" t="str">
        <f>VLOOKUP(L134,Map!$C$18:$D$29,2,0)</f>
        <v>DLT</v>
      </c>
      <c r="L134" s="12" t="s">
        <v>52</v>
      </c>
      <c r="M134" s="52">
        <v>53138.582702082764</v>
      </c>
      <c r="N134" s="56">
        <f t="shared" si="47"/>
        <v>0</v>
      </c>
      <c r="O134" s="56">
        <f t="shared" si="48"/>
        <v>63234.913415478484</v>
      </c>
      <c r="P134" s="31">
        <f t="shared" si="49"/>
        <v>57.571595560219677</v>
      </c>
      <c r="Q134" s="31">
        <f t="shared" si="50"/>
        <v>0</v>
      </c>
      <c r="R134" s="60">
        <f t="shared" si="51"/>
        <v>68.510198716661407</v>
      </c>
      <c r="S134" s="45">
        <f>INDEX(FX!$D$3:$O$19,MATCH(B134,FX!$B$3:$B$32,0),MATCH(D134,FX!$D$2:$O$2,0))</f>
        <v>923</v>
      </c>
      <c r="T134" s="12" t="s">
        <v>141</v>
      </c>
      <c r="U134" s="12" t="s">
        <v>32</v>
      </c>
      <c r="V134" s="12" t="s">
        <v>83</v>
      </c>
      <c r="W134" s="8" t="str">
        <f>VLOOKUP(I134,Map!$F$18:$H$51,3,0)</f>
        <v>Variable</v>
      </c>
      <c r="X134" s="88" t="s">
        <v>149</v>
      </c>
      <c r="Y134" s="107" t="str">
        <f>VLOOKUP(L134,Map!$C$18:$D$29,2,0)</f>
        <v>DLT</v>
      </c>
      <c r="Z134" s="52"/>
      <c r="AA134" s="56">
        <f t="shared" si="52"/>
        <v>0</v>
      </c>
      <c r="AB134" s="56">
        <f t="shared" si="53"/>
        <v>0</v>
      </c>
      <c r="AC134" s="31">
        <f t="shared" si="54"/>
        <v>0</v>
      </c>
      <c r="AD134" s="31">
        <f t="shared" si="55"/>
        <v>0</v>
      </c>
      <c r="AE134" s="60">
        <f t="shared" si="56"/>
        <v>0</v>
      </c>
      <c r="AF134" s="8"/>
    </row>
    <row r="135" spans="2:32" s="1" customFormat="1" ht="13" hidden="1" x14ac:dyDescent="0.3">
      <c r="B135" s="12">
        <v>2026</v>
      </c>
      <c r="C135" s="12" t="s">
        <v>163</v>
      </c>
      <c r="D135" s="12" t="s">
        <v>162</v>
      </c>
      <c r="E135" s="12" t="s">
        <v>88</v>
      </c>
      <c r="F135" s="12" t="s">
        <v>80</v>
      </c>
      <c r="G135" s="83">
        <v>46209</v>
      </c>
      <c r="H135" s="93">
        <v>3826</v>
      </c>
      <c r="I135" s="12" t="s">
        <v>148</v>
      </c>
      <c r="J135" s="8" t="str">
        <f>IFERROR(VLOOKUP(I135,Map!$F$18:$G$56,2,0),"Add in Map")</f>
        <v>3P</v>
      </c>
      <c r="K135" s="8" t="str">
        <f>VLOOKUP(L135,Map!$C$18:$D$29,2,0)</f>
        <v>DMT</v>
      </c>
      <c r="L135" s="12" t="s">
        <v>54</v>
      </c>
      <c r="M135" s="52">
        <v>0</v>
      </c>
      <c r="N135" s="56">
        <f t="shared" si="47"/>
        <v>0</v>
      </c>
      <c r="O135" s="56">
        <f t="shared" si="48"/>
        <v>0</v>
      </c>
      <c r="P135" s="48">
        <f t="shared" si="49"/>
        <v>0</v>
      </c>
      <c r="Q135" s="31">
        <f t="shared" si="50"/>
        <v>0</v>
      </c>
      <c r="R135" s="60">
        <f t="shared" si="51"/>
        <v>0</v>
      </c>
      <c r="S135" s="45">
        <f>INDEX(FX!$D$3:$O$19,MATCH(B135,FX!$B$3:$B$32,0),MATCH(D135,FX!$D$2:$O$2,0))</f>
        <v>923</v>
      </c>
      <c r="T135" s="12" t="s">
        <v>141</v>
      </c>
      <c r="U135" s="12" t="s">
        <v>32</v>
      </c>
      <c r="V135" s="12" t="s">
        <v>83</v>
      </c>
      <c r="W135" s="8" t="str">
        <f>VLOOKUP(I135,Map!$F$18:$H$51,3,0)</f>
        <v>Variable</v>
      </c>
      <c r="X135" s="88" t="s">
        <v>149</v>
      </c>
      <c r="Y135" s="107" t="str">
        <f>VLOOKUP(L135,Map!$C$18:$D$29,2,0)</f>
        <v>DMT</v>
      </c>
      <c r="Z135" s="52"/>
      <c r="AA135" s="56">
        <f t="shared" si="52"/>
        <v>0</v>
      </c>
      <c r="AB135" s="56">
        <f t="shared" si="53"/>
        <v>0</v>
      </c>
      <c r="AC135" s="48">
        <f t="shared" si="54"/>
        <v>0</v>
      </c>
      <c r="AD135" s="31">
        <f t="shared" si="55"/>
        <v>0</v>
      </c>
      <c r="AE135" s="60">
        <f t="shared" si="56"/>
        <v>0</v>
      </c>
      <c r="AF135" s="8"/>
    </row>
    <row r="136" spans="2:32" s="37" customFormat="1" hidden="1" x14ac:dyDescent="0.35">
      <c r="B136" s="13">
        <v>2026</v>
      </c>
      <c r="C136" s="13" t="s">
        <v>163</v>
      </c>
      <c r="D136" s="13" t="s">
        <v>162</v>
      </c>
      <c r="E136" s="13" t="s">
        <v>88</v>
      </c>
      <c r="F136" s="13" t="s">
        <v>80</v>
      </c>
      <c r="G136" s="85">
        <v>46209</v>
      </c>
      <c r="H136" s="94">
        <v>3826</v>
      </c>
      <c r="I136" s="13" t="s">
        <v>148</v>
      </c>
      <c r="J136" s="29" t="str">
        <f>IFERROR(VLOOKUP(I136,Map!$F$18:$G$56,2,0),"Add in Map")</f>
        <v>3P</v>
      </c>
      <c r="K136" s="29" t="str">
        <f>VLOOKUP(L136,Map!$C$18:$D$29,2,0)</f>
        <v>TOTAL</v>
      </c>
      <c r="L136" s="13" t="s">
        <v>56</v>
      </c>
      <c r="M136" s="126">
        <f>SUM(M125:M135)</f>
        <v>14141252.999999998</v>
      </c>
      <c r="N136" s="57">
        <f t="shared" si="47"/>
        <v>2686838.07</v>
      </c>
      <c r="O136" s="57">
        <f t="shared" si="48"/>
        <v>16828091.069999997</v>
      </c>
      <c r="P136" s="11">
        <f t="shared" si="49"/>
        <v>15320.967497291438</v>
      </c>
      <c r="Q136" s="11">
        <f t="shared" si="50"/>
        <v>2910.9838244853731</v>
      </c>
      <c r="R136" s="61">
        <f t="shared" si="51"/>
        <v>18231.951321776811</v>
      </c>
      <c r="S136" s="46">
        <f>INDEX(FX!$D$3:$O$19,MATCH(B136,FX!$B$3:$B$32,0),MATCH(D136,FX!$D$2:$O$2,0))</f>
        <v>923</v>
      </c>
      <c r="T136" s="13" t="s">
        <v>141</v>
      </c>
      <c r="U136" s="13" t="s">
        <v>32</v>
      </c>
      <c r="V136" s="13" t="s">
        <v>83</v>
      </c>
      <c r="W136" s="29" t="str">
        <f>VLOOKUP(I136,Map!$F$18:$H$51,3,0)</f>
        <v>Variable</v>
      </c>
      <c r="X136" s="90" t="s">
        <v>149</v>
      </c>
      <c r="Y136" s="109" t="str">
        <f>VLOOKUP(L136,Map!$C$18:$D$29,2,0)</f>
        <v>TOTAL</v>
      </c>
      <c r="Z136" s="53"/>
      <c r="AA136" s="57">
        <f t="shared" si="52"/>
        <v>0</v>
      </c>
      <c r="AB136" s="57">
        <f t="shared" si="53"/>
        <v>0</v>
      </c>
      <c r="AC136" s="11">
        <f t="shared" si="54"/>
        <v>0</v>
      </c>
      <c r="AD136" s="11">
        <f t="shared" si="55"/>
        <v>0</v>
      </c>
      <c r="AE136" s="61">
        <f t="shared" si="56"/>
        <v>0</v>
      </c>
      <c r="AF136" s="87"/>
    </row>
    <row r="137" spans="2:32" s="1" customFormat="1" ht="13" hidden="1" x14ac:dyDescent="0.3">
      <c r="B137" s="12">
        <v>2026</v>
      </c>
      <c r="C137" s="12" t="s">
        <v>160</v>
      </c>
      <c r="D137" s="12" t="s">
        <v>162</v>
      </c>
      <c r="E137" s="12" t="s">
        <v>88</v>
      </c>
      <c r="F137" s="12" t="s">
        <v>80</v>
      </c>
      <c r="G137" s="83">
        <v>46218</v>
      </c>
      <c r="H137" s="93">
        <v>3864</v>
      </c>
      <c r="I137" s="12" t="s">
        <v>148</v>
      </c>
      <c r="J137" s="8" t="str">
        <f>IFERROR(VLOOKUP(I137,Map!$F$18:$G$56,2,0),"Add in Map")</f>
        <v>3P</v>
      </c>
      <c r="K137" s="8" t="str">
        <f>VLOOKUP(L137,Map!$C$18:$D$29,2,0)</f>
        <v>CNT</v>
      </c>
      <c r="L137" s="12" t="s">
        <v>31</v>
      </c>
      <c r="M137" s="52">
        <v>2941240.1304139649</v>
      </c>
      <c r="N137" s="56">
        <f t="shared" si="47"/>
        <v>0</v>
      </c>
      <c r="O137" s="56">
        <f t="shared" si="48"/>
        <v>3500075.7551926179</v>
      </c>
      <c r="P137" s="31">
        <f t="shared" si="49"/>
        <v>3186.6090253672423</v>
      </c>
      <c r="Q137" s="31">
        <f t="shared" si="50"/>
        <v>0</v>
      </c>
      <c r="R137" s="60">
        <f t="shared" si="51"/>
        <v>3792.0647401870183</v>
      </c>
      <c r="S137" s="45">
        <f>INDEX(FX!$D$3:$O$19,MATCH(B137,FX!$B$3:$B$32,0),MATCH(D137,FX!$D$2:$O$2,0))</f>
        <v>923</v>
      </c>
      <c r="T137" s="12" t="s">
        <v>142</v>
      </c>
      <c r="U137" s="12" t="s">
        <v>32</v>
      </c>
      <c r="V137" s="12" t="s">
        <v>83</v>
      </c>
      <c r="W137" s="8" t="str">
        <f>VLOOKUP(I137,Map!$F$18:$H$51,3,0)</f>
        <v>Variable</v>
      </c>
      <c r="X137" s="88" t="s">
        <v>149</v>
      </c>
      <c r="Y137" s="107" t="str">
        <f>VLOOKUP(L137,Map!$C$18:$D$29,2,0)</f>
        <v>CNT</v>
      </c>
      <c r="Z137" s="52"/>
      <c r="AA137" s="56">
        <f t="shared" si="52"/>
        <v>0</v>
      </c>
      <c r="AB137" s="56">
        <f t="shared" si="53"/>
        <v>0</v>
      </c>
      <c r="AC137" s="31">
        <f t="shared" si="54"/>
        <v>0</v>
      </c>
      <c r="AD137" s="31">
        <f t="shared" si="55"/>
        <v>0</v>
      </c>
      <c r="AE137" s="60">
        <f t="shared" si="56"/>
        <v>0</v>
      </c>
      <c r="AF137" s="8"/>
    </row>
    <row r="138" spans="2:32" s="1" customFormat="1" ht="13" hidden="1" x14ac:dyDescent="0.3">
      <c r="B138" s="12">
        <v>2026</v>
      </c>
      <c r="C138" s="12" t="s">
        <v>160</v>
      </c>
      <c r="D138" s="12" t="s">
        <v>162</v>
      </c>
      <c r="E138" s="12" t="s">
        <v>88</v>
      </c>
      <c r="F138" s="12" t="s">
        <v>80</v>
      </c>
      <c r="G138" s="83">
        <v>46218</v>
      </c>
      <c r="H138" s="93">
        <v>3864</v>
      </c>
      <c r="I138" s="12" t="s">
        <v>148</v>
      </c>
      <c r="J138" s="8" t="str">
        <f>IFERROR(VLOOKUP(I138,Map!$F$18:$G$56,2,0),"Add in Map")</f>
        <v>3P</v>
      </c>
      <c r="K138" s="8" t="str">
        <f>VLOOKUP(L138,Map!$C$18:$D$29,2,0)</f>
        <v>CVT</v>
      </c>
      <c r="L138" s="12" t="s">
        <v>36</v>
      </c>
      <c r="M138" s="52">
        <v>71492.22958306795</v>
      </c>
      <c r="N138" s="56">
        <f t="shared" si="47"/>
        <v>0</v>
      </c>
      <c r="O138" s="56">
        <f t="shared" si="48"/>
        <v>85075.753203850851</v>
      </c>
      <c r="P138" s="31">
        <f t="shared" si="49"/>
        <v>77.456370079163548</v>
      </c>
      <c r="Q138" s="31">
        <f t="shared" si="50"/>
        <v>0</v>
      </c>
      <c r="R138" s="60">
        <f t="shared" si="51"/>
        <v>92.173080394204618</v>
      </c>
      <c r="S138" s="45">
        <f>INDEX(FX!$D$3:$O$19,MATCH(B138,FX!$B$3:$B$32,0),MATCH(D138,FX!$D$2:$O$2,0))</f>
        <v>923</v>
      </c>
      <c r="T138" s="12" t="s">
        <v>142</v>
      </c>
      <c r="U138" s="12" t="s">
        <v>32</v>
      </c>
      <c r="V138" s="12" t="s">
        <v>83</v>
      </c>
      <c r="W138" s="8" t="str">
        <f>VLOOKUP(I138,Map!$F$18:$H$51,3,0)</f>
        <v>Variable</v>
      </c>
      <c r="X138" s="88" t="s">
        <v>149</v>
      </c>
      <c r="Y138" s="107" t="str">
        <f>VLOOKUP(L138,Map!$C$18:$D$29,2,0)</f>
        <v>CVT</v>
      </c>
      <c r="Z138" s="52"/>
      <c r="AA138" s="56">
        <f t="shared" si="52"/>
        <v>0</v>
      </c>
      <c r="AB138" s="56">
        <f t="shared" si="53"/>
        <v>0</v>
      </c>
      <c r="AC138" s="31">
        <f t="shared" si="54"/>
        <v>0</v>
      </c>
      <c r="AD138" s="31">
        <f t="shared" si="55"/>
        <v>0</v>
      </c>
      <c r="AE138" s="60">
        <f t="shared" si="56"/>
        <v>0</v>
      </c>
      <c r="AF138" s="8"/>
    </row>
    <row r="139" spans="2:32" s="1" customFormat="1" ht="13" hidden="1" x14ac:dyDescent="0.3">
      <c r="B139" s="12">
        <v>2026</v>
      </c>
      <c r="C139" s="12" t="s">
        <v>160</v>
      </c>
      <c r="D139" s="12" t="s">
        <v>162</v>
      </c>
      <c r="E139" s="12" t="s">
        <v>88</v>
      </c>
      <c r="F139" s="12" t="s">
        <v>80</v>
      </c>
      <c r="G139" s="83">
        <v>46218</v>
      </c>
      <c r="H139" s="93">
        <v>3864</v>
      </c>
      <c r="I139" s="12" t="s">
        <v>148</v>
      </c>
      <c r="J139" s="8" t="str">
        <f>IFERROR(VLOOKUP(I139,Map!$F$18:$G$56,2,0),"Add in Map")</f>
        <v>3P</v>
      </c>
      <c r="K139" s="8" t="str">
        <f>VLOOKUP(L139,Map!$C$18:$D$29,2,0)</f>
        <v>CDT</v>
      </c>
      <c r="L139" s="12" t="s">
        <v>38</v>
      </c>
      <c r="M139" s="52">
        <v>73602.909499515605</v>
      </c>
      <c r="N139" s="56">
        <f t="shared" si="47"/>
        <v>0</v>
      </c>
      <c r="O139" s="56">
        <f t="shared" si="48"/>
        <v>87587.462304423563</v>
      </c>
      <c r="P139" s="31">
        <f t="shared" si="49"/>
        <v>79.743130552021242</v>
      </c>
      <c r="Q139" s="31">
        <f t="shared" si="50"/>
        <v>0</v>
      </c>
      <c r="R139" s="60">
        <f t="shared" si="51"/>
        <v>94.89432535690527</v>
      </c>
      <c r="S139" s="45">
        <f>INDEX(FX!$D$3:$O$19,MATCH(B139,FX!$B$3:$B$32,0),MATCH(D139,FX!$D$2:$O$2,0))</f>
        <v>923</v>
      </c>
      <c r="T139" s="12" t="s">
        <v>142</v>
      </c>
      <c r="U139" s="12" t="s">
        <v>32</v>
      </c>
      <c r="V139" s="12" t="s">
        <v>83</v>
      </c>
      <c r="W139" s="8" t="str">
        <f>VLOOKUP(I139,Map!$F$18:$H$51,3,0)</f>
        <v>Variable</v>
      </c>
      <c r="X139" s="88" t="s">
        <v>149</v>
      </c>
      <c r="Y139" s="107" t="str">
        <f>VLOOKUP(L139,Map!$C$18:$D$29,2,0)</f>
        <v>CDT</v>
      </c>
      <c r="Z139" s="52"/>
      <c r="AA139" s="56">
        <f t="shared" si="52"/>
        <v>0</v>
      </c>
      <c r="AB139" s="56">
        <f t="shared" si="53"/>
        <v>0</v>
      </c>
      <c r="AC139" s="31">
        <f t="shared" si="54"/>
        <v>0</v>
      </c>
      <c r="AD139" s="31">
        <f t="shared" si="55"/>
        <v>0</v>
      </c>
      <c r="AE139" s="60">
        <f t="shared" si="56"/>
        <v>0</v>
      </c>
      <c r="AF139" s="8"/>
    </row>
    <row r="140" spans="2:32" s="1" customFormat="1" ht="13" hidden="1" x14ac:dyDescent="0.3">
      <c r="B140" s="12">
        <v>2026</v>
      </c>
      <c r="C140" s="12" t="s">
        <v>160</v>
      </c>
      <c r="D140" s="12" t="s">
        <v>162</v>
      </c>
      <c r="E140" s="12" t="s">
        <v>88</v>
      </c>
      <c r="F140" s="12" t="s">
        <v>80</v>
      </c>
      <c r="G140" s="83">
        <v>46218</v>
      </c>
      <c r="H140" s="93">
        <v>3864</v>
      </c>
      <c r="I140" s="12" t="s">
        <v>148</v>
      </c>
      <c r="J140" s="8" t="str">
        <f>IFERROR(VLOOKUP(I140,Map!$F$18:$G$56,2,0),"Add in Map")</f>
        <v>3P</v>
      </c>
      <c r="K140" s="8" t="str">
        <f>VLOOKUP(L140,Map!$C$18:$D$29,2,0)</f>
        <v>DFT</v>
      </c>
      <c r="L140" s="12" t="s">
        <v>40</v>
      </c>
      <c r="M140" s="52">
        <v>6134205.6179431099</v>
      </c>
      <c r="N140" s="56">
        <f t="shared" si="47"/>
        <v>0</v>
      </c>
      <c r="O140" s="56">
        <f t="shared" si="48"/>
        <v>7299704.6853523003</v>
      </c>
      <c r="P140" s="31">
        <f t="shared" si="49"/>
        <v>6645.9432480423729</v>
      </c>
      <c r="Q140" s="31">
        <f t="shared" si="50"/>
        <v>0</v>
      </c>
      <c r="R140" s="60">
        <f t="shared" si="51"/>
        <v>7908.6724651704235</v>
      </c>
      <c r="S140" s="45">
        <f>INDEX(FX!$D$3:$O$19,MATCH(B140,FX!$B$3:$B$32,0),MATCH(D140,FX!$D$2:$O$2,0))</f>
        <v>923</v>
      </c>
      <c r="T140" s="12" t="s">
        <v>142</v>
      </c>
      <c r="U140" s="12" t="s">
        <v>32</v>
      </c>
      <c r="V140" s="12" t="s">
        <v>83</v>
      </c>
      <c r="W140" s="8" t="str">
        <f>VLOOKUP(I140,Map!$F$18:$H$51,3,0)</f>
        <v>Variable</v>
      </c>
      <c r="X140" s="88" t="s">
        <v>149</v>
      </c>
      <c r="Y140" s="107" t="str">
        <f>VLOOKUP(L140,Map!$C$18:$D$29,2,0)</f>
        <v>DFT</v>
      </c>
      <c r="Z140" s="52"/>
      <c r="AA140" s="56">
        <f t="shared" si="52"/>
        <v>0</v>
      </c>
      <c r="AB140" s="56">
        <f t="shared" si="53"/>
        <v>0</v>
      </c>
      <c r="AC140" s="31">
        <f t="shared" si="54"/>
        <v>0</v>
      </c>
      <c r="AD140" s="31">
        <f t="shared" si="55"/>
        <v>0</v>
      </c>
      <c r="AE140" s="60">
        <f t="shared" si="56"/>
        <v>0</v>
      </c>
      <c r="AF140" s="8"/>
    </row>
    <row r="141" spans="2:32" s="1" customFormat="1" ht="13" hidden="1" x14ac:dyDescent="0.3">
      <c r="B141" s="12">
        <v>2026</v>
      </c>
      <c r="C141" s="12" t="s">
        <v>160</v>
      </c>
      <c r="D141" s="12" t="s">
        <v>162</v>
      </c>
      <c r="E141" s="12" t="s">
        <v>88</v>
      </c>
      <c r="F141" s="12" t="s">
        <v>80</v>
      </c>
      <c r="G141" s="83">
        <v>46218</v>
      </c>
      <c r="H141" s="93">
        <v>3864</v>
      </c>
      <c r="I141" s="12" t="s">
        <v>148</v>
      </c>
      <c r="J141" s="8" t="str">
        <f>IFERROR(VLOOKUP(I141,Map!$F$18:$G$56,2,0),"Add in Map")</f>
        <v>3P</v>
      </c>
      <c r="K141" s="8" t="str">
        <f>VLOOKUP(L141,Map!$C$18:$D$29,2,0)</f>
        <v>DVT</v>
      </c>
      <c r="L141" s="12" t="s">
        <v>42</v>
      </c>
      <c r="M141" s="52">
        <v>0</v>
      </c>
      <c r="N141" s="56">
        <f t="shared" si="47"/>
        <v>0</v>
      </c>
      <c r="O141" s="56">
        <f t="shared" si="48"/>
        <v>0</v>
      </c>
      <c r="P141" s="31">
        <f t="shared" si="49"/>
        <v>0</v>
      </c>
      <c r="Q141" s="31">
        <f t="shared" si="50"/>
        <v>0</v>
      </c>
      <c r="R141" s="60">
        <f t="shared" si="51"/>
        <v>0</v>
      </c>
      <c r="S141" s="45">
        <f>INDEX(FX!$D$3:$O$19,MATCH(B141,FX!$B$3:$B$32,0),MATCH(D141,FX!$D$2:$O$2,0))</f>
        <v>923</v>
      </c>
      <c r="T141" s="12" t="s">
        <v>142</v>
      </c>
      <c r="U141" s="12" t="s">
        <v>32</v>
      </c>
      <c r="V141" s="12" t="s">
        <v>83</v>
      </c>
      <c r="W141" s="8" t="str">
        <f>VLOOKUP(I141,Map!$F$18:$H$51,3,0)</f>
        <v>Variable</v>
      </c>
      <c r="X141" s="88" t="s">
        <v>149</v>
      </c>
      <c r="Y141" s="107" t="str">
        <f>VLOOKUP(L141,Map!$C$18:$D$29,2,0)</f>
        <v>DVT</v>
      </c>
      <c r="Z141" s="52"/>
      <c r="AA141" s="56">
        <f t="shared" si="52"/>
        <v>0</v>
      </c>
      <c r="AB141" s="56">
        <f t="shared" si="53"/>
        <v>0</v>
      </c>
      <c r="AC141" s="31">
        <f t="shared" si="54"/>
        <v>0</v>
      </c>
      <c r="AD141" s="31">
        <f t="shared" si="55"/>
        <v>0</v>
      </c>
      <c r="AE141" s="60">
        <f t="shared" si="56"/>
        <v>0</v>
      </c>
      <c r="AF141" s="8"/>
    </row>
    <row r="142" spans="2:32" s="1" customFormat="1" ht="13" hidden="1" x14ac:dyDescent="0.3">
      <c r="B142" s="12">
        <v>2026</v>
      </c>
      <c r="C142" s="12" t="s">
        <v>160</v>
      </c>
      <c r="D142" s="12" t="s">
        <v>162</v>
      </c>
      <c r="E142" s="12" t="s">
        <v>88</v>
      </c>
      <c r="F142" s="12" t="s">
        <v>80</v>
      </c>
      <c r="G142" s="83">
        <v>46218</v>
      </c>
      <c r="H142" s="93">
        <v>3864</v>
      </c>
      <c r="I142" s="12" t="s">
        <v>148</v>
      </c>
      <c r="J142" s="8" t="str">
        <f>IFERROR(VLOOKUP(I142,Map!$F$18:$G$56,2,0),"Add in Map")</f>
        <v>3P</v>
      </c>
      <c r="K142" s="8" t="str">
        <f>VLOOKUP(L142,Map!$C$18:$D$29,2,0)</f>
        <v>GLT</v>
      </c>
      <c r="L142" s="12" t="s">
        <v>44</v>
      </c>
      <c r="M142" s="52">
        <v>3986123.8099980815</v>
      </c>
      <c r="N142" s="56">
        <f t="shared" si="47"/>
        <v>0</v>
      </c>
      <c r="O142" s="56">
        <f t="shared" si="48"/>
        <v>4743487.3338977164</v>
      </c>
      <c r="P142" s="31">
        <f t="shared" si="49"/>
        <v>4318.6606825548015</v>
      </c>
      <c r="Q142" s="31">
        <f t="shared" si="50"/>
        <v>0</v>
      </c>
      <c r="R142" s="60">
        <f t="shared" si="51"/>
        <v>5139.206212240214</v>
      </c>
      <c r="S142" s="45">
        <f>INDEX(FX!$D$3:$O$19,MATCH(B142,FX!$B$3:$B$32,0),MATCH(D142,FX!$D$2:$O$2,0))</f>
        <v>923</v>
      </c>
      <c r="T142" s="12" t="s">
        <v>142</v>
      </c>
      <c r="U142" s="12" t="s">
        <v>32</v>
      </c>
      <c r="V142" s="12" t="s">
        <v>83</v>
      </c>
      <c r="W142" s="8" t="str">
        <f>VLOOKUP(I142,Map!$F$18:$H$51,3,0)</f>
        <v>Variable</v>
      </c>
      <c r="X142" s="88" t="s">
        <v>149</v>
      </c>
      <c r="Y142" s="107" t="str">
        <f>VLOOKUP(L142,Map!$C$18:$D$29,2,0)</f>
        <v>GLT</v>
      </c>
      <c r="Z142" s="52"/>
      <c r="AA142" s="56">
        <f t="shared" si="52"/>
        <v>0</v>
      </c>
      <c r="AB142" s="56">
        <f t="shared" si="53"/>
        <v>0</v>
      </c>
      <c r="AC142" s="31">
        <f t="shared" si="54"/>
        <v>0</v>
      </c>
      <c r="AD142" s="31">
        <f t="shared" si="55"/>
        <v>0</v>
      </c>
      <c r="AE142" s="60">
        <f t="shared" si="56"/>
        <v>0</v>
      </c>
      <c r="AF142" s="8"/>
    </row>
    <row r="143" spans="2:32" s="1" customFormat="1" ht="13" hidden="1" x14ac:dyDescent="0.3">
      <c r="B143" s="12">
        <v>2026</v>
      </c>
      <c r="C143" s="12" t="s">
        <v>160</v>
      </c>
      <c r="D143" s="12" t="s">
        <v>162</v>
      </c>
      <c r="E143" s="12" t="s">
        <v>88</v>
      </c>
      <c r="F143" s="12" t="s">
        <v>80</v>
      </c>
      <c r="G143" s="83">
        <v>46218</v>
      </c>
      <c r="H143" s="93">
        <v>3864</v>
      </c>
      <c r="I143" s="12" t="s">
        <v>148</v>
      </c>
      <c r="J143" s="8" t="str">
        <f>IFERROR(VLOOKUP(I143,Map!$F$18:$G$56,2,0),"Add in Map")</f>
        <v>3P</v>
      </c>
      <c r="K143" s="8" t="str">
        <f>VLOOKUP(L143,Map!$C$18:$D$29,2,0)</f>
        <v>PNT</v>
      </c>
      <c r="L143" s="12" t="s">
        <v>46</v>
      </c>
      <c r="M143" s="52">
        <v>432515.86649121274</v>
      </c>
      <c r="N143" s="56">
        <f t="shared" si="47"/>
        <v>0</v>
      </c>
      <c r="O143" s="56">
        <f t="shared" si="48"/>
        <v>514693.88112454314</v>
      </c>
      <c r="P143" s="31">
        <f t="shared" si="49"/>
        <v>468.59790519091302</v>
      </c>
      <c r="Q143" s="31">
        <f t="shared" si="50"/>
        <v>0</v>
      </c>
      <c r="R143" s="60">
        <f t="shared" si="51"/>
        <v>557.63150717718645</v>
      </c>
      <c r="S143" s="45">
        <f>INDEX(FX!$D$3:$O$19,MATCH(B143,FX!$B$3:$B$32,0),MATCH(D143,FX!$D$2:$O$2,0))</f>
        <v>923</v>
      </c>
      <c r="T143" s="12" t="s">
        <v>142</v>
      </c>
      <c r="U143" s="12" t="s">
        <v>32</v>
      </c>
      <c r="V143" s="12" t="s">
        <v>83</v>
      </c>
      <c r="W143" s="8" t="str">
        <f>VLOOKUP(I143,Map!$F$18:$H$51,3,0)</f>
        <v>Variable</v>
      </c>
      <c r="X143" s="88" t="s">
        <v>149</v>
      </c>
      <c r="Y143" s="107" t="str">
        <f>VLOOKUP(L143,Map!$C$18:$D$29,2,0)</f>
        <v>PNT</v>
      </c>
      <c r="Z143" s="52"/>
      <c r="AA143" s="56">
        <f t="shared" si="52"/>
        <v>0</v>
      </c>
      <c r="AB143" s="56">
        <f t="shared" si="53"/>
        <v>0</v>
      </c>
      <c r="AC143" s="31">
        <f t="shared" si="54"/>
        <v>0</v>
      </c>
      <c r="AD143" s="31">
        <f t="shared" si="55"/>
        <v>0</v>
      </c>
      <c r="AE143" s="60">
        <f t="shared" si="56"/>
        <v>0</v>
      </c>
      <c r="AF143" s="8"/>
    </row>
    <row r="144" spans="2:32" s="1" customFormat="1" ht="13" hidden="1" x14ac:dyDescent="0.3">
      <c r="B144" s="12">
        <v>2026</v>
      </c>
      <c r="C144" s="12" t="s">
        <v>160</v>
      </c>
      <c r="D144" s="12" t="s">
        <v>162</v>
      </c>
      <c r="E144" s="12" t="s">
        <v>88</v>
      </c>
      <c r="F144" s="12" t="s">
        <v>80</v>
      </c>
      <c r="G144" s="83">
        <v>46218</v>
      </c>
      <c r="H144" s="93">
        <v>3864</v>
      </c>
      <c r="I144" s="12" t="s">
        <v>148</v>
      </c>
      <c r="J144" s="8" t="str">
        <f>IFERROR(VLOOKUP(I144,Map!$F$18:$G$56,2,0),"Add in Map")</f>
        <v>3P</v>
      </c>
      <c r="K144" s="8" t="str">
        <f>VLOOKUP(L144,Map!$C$18:$D$29,2,0)</f>
        <v>GTT</v>
      </c>
      <c r="L144" s="12" t="s">
        <v>48</v>
      </c>
      <c r="M144" s="52">
        <v>265010.56474051718</v>
      </c>
      <c r="N144" s="56">
        <f t="shared" ref="N144:N175" si="57">IF(L144="TOTAL",(M144*0.19),0)</f>
        <v>0</v>
      </c>
      <c r="O144" s="56">
        <f t="shared" ref="O144:O175" si="58">M144*1.19</f>
        <v>315362.57204121543</v>
      </c>
      <c r="P144" s="31">
        <f t="shared" ref="P144:P175" si="59">M144/S144</f>
        <v>287.11870502764589</v>
      </c>
      <c r="Q144" s="31">
        <f t="shared" ref="Q144:Q175" si="60">IF(L144="TOTAL",(P144*0.19),0)</f>
        <v>0</v>
      </c>
      <c r="R144" s="60">
        <f t="shared" si="51"/>
        <v>341.67125898289856</v>
      </c>
      <c r="S144" s="45">
        <f>INDEX(FX!$D$3:$O$19,MATCH(B144,FX!$B$3:$B$32,0),MATCH(D144,FX!$D$2:$O$2,0))</f>
        <v>923</v>
      </c>
      <c r="T144" s="12" t="s">
        <v>142</v>
      </c>
      <c r="U144" s="12" t="s">
        <v>32</v>
      </c>
      <c r="V144" s="12" t="s">
        <v>83</v>
      </c>
      <c r="W144" s="8" t="str">
        <f>VLOOKUP(I144,Map!$F$18:$H$51,3,0)</f>
        <v>Variable</v>
      </c>
      <c r="X144" s="88" t="s">
        <v>149</v>
      </c>
      <c r="Y144" s="107" t="str">
        <f>VLOOKUP(L144,Map!$C$18:$D$29,2,0)</f>
        <v>GTT</v>
      </c>
      <c r="Z144" s="52"/>
      <c r="AA144" s="56">
        <f t="shared" si="52"/>
        <v>0</v>
      </c>
      <c r="AB144" s="56">
        <f t="shared" si="53"/>
        <v>0</v>
      </c>
      <c r="AC144" s="31">
        <f t="shared" si="54"/>
        <v>0</v>
      </c>
      <c r="AD144" s="31">
        <f t="shared" si="55"/>
        <v>0</v>
      </c>
      <c r="AE144" s="60">
        <f t="shared" si="56"/>
        <v>0</v>
      </c>
      <c r="AF144" s="8"/>
    </row>
    <row r="145" spans="2:32" s="1" customFormat="1" ht="13" hidden="1" x14ac:dyDescent="0.3">
      <c r="B145" s="12">
        <v>2026</v>
      </c>
      <c r="C145" s="12" t="s">
        <v>160</v>
      </c>
      <c r="D145" s="12" t="s">
        <v>162</v>
      </c>
      <c r="E145" s="12" t="s">
        <v>88</v>
      </c>
      <c r="F145" s="12" t="s">
        <v>80</v>
      </c>
      <c r="G145" s="83">
        <v>46218</v>
      </c>
      <c r="H145" s="93">
        <v>3864</v>
      </c>
      <c r="I145" s="12" t="s">
        <v>148</v>
      </c>
      <c r="J145" s="8" t="str">
        <f>IFERROR(VLOOKUP(I145,Map!$F$18:$G$56,2,0),"Add in Map")</f>
        <v>3P</v>
      </c>
      <c r="K145" s="8" t="str">
        <f>VLOOKUP(L145,Map!$C$18:$D$29,2,0)</f>
        <v>DGT</v>
      </c>
      <c r="L145" s="12" t="s">
        <v>50</v>
      </c>
      <c r="M145" s="52">
        <v>236101.12501960227</v>
      </c>
      <c r="N145" s="56">
        <f t="shared" si="57"/>
        <v>0</v>
      </c>
      <c r="O145" s="56">
        <f t="shared" si="58"/>
        <v>280960.33877332672</v>
      </c>
      <c r="P145" s="31">
        <f t="shared" si="59"/>
        <v>255.79753523250517</v>
      </c>
      <c r="Q145" s="31">
        <f t="shared" si="60"/>
        <v>0</v>
      </c>
      <c r="R145" s="60">
        <f t="shared" si="51"/>
        <v>304.39906692668114</v>
      </c>
      <c r="S145" s="45">
        <f>INDEX(FX!$D$3:$O$19,MATCH(B145,FX!$B$3:$B$32,0),MATCH(D145,FX!$D$2:$O$2,0))</f>
        <v>923</v>
      </c>
      <c r="T145" s="12" t="s">
        <v>142</v>
      </c>
      <c r="U145" s="12" t="s">
        <v>32</v>
      </c>
      <c r="V145" s="12" t="s">
        <v>83</v>
      </c>
      <c r="W145" s="8" t="str">
        <f>VLOOKUP(I145,Map!$F$18:$H$51,3,0)</f>
        <v>Variable</v>
      </c>
      <c r="X145" s="88" t="s">
        <v>149</v>
      </c>
      <c r="Y145" s="107" t="str">
        <f>VLOOKUP(L145,Map!$C$18:$D$29,2,0)</f>
        <v>DGT</v>
      </c>
      <c r="Z145" s="52"/>
      <c r="AA145" s="56">
        <f t="shared" si="52"/>
        <v>0</v>
      </c>
      <c r="AB145" s="56">
        <f t="shared" si="53"/>
        <v>0</v>
      </c>
      <c r="AC145" s="31">
        <f t="shared" si="54"/>
        <v>0</v>
      </c>
      <c r="AD145" s="31">
        <f t="shared" si="55"/>
        <v>0</v>
      </c>
      <c r="AE145" s="60">
        <f t="shared" si="56"/>
        <v>0</v>
      </c>
      <c r="AF145" s="8"/>
    </row>
    <row r="146" spans="2:32" s="1" customFormat="1" ht="13" hidden="1" x14ac:dyDescent="0.3">
      <c r="B146" s="12">
        <v>2026</v>
      </c>
      <c r="C146" s="12" t="s">
        <v>160</v>
      </c>
      <c r="D146" s="12" t="s">
        <v>162</v>
      </c>
      <c r="E146" s="12" t="s">
        <v>88</v>
      </c>
      <c r="F146" s="12" t="s">
        <v>80</v>
      </c>
      <c r="G146" s="83">
        <v>46218</v>
      </c>
      <c r="H146" s="93">
        <v>3864</v>
      </c>
      <c r="I146" s="12" t="s">
        <v>148</v>
      </c>
      <c r="J146" s="8" t="str">
        <f>IFERROR(VLOOKUP(I146,Map!$F$18:$G$56,2,0),"Add in Map")</f>
        <v>3P</v>
      </c>
      <c r="K146" s="8" t="str">
        <f>VLOOKUP(L146,Map!$C$18:$D$29,2,0)</f>
        <v>DLT</v>
      </c>
      <c r="L146" s="12" t="s">
        <v>52</v>
      </c>
      <c r="M146" s="52">
        <v>53335.390890329931</v>
      </c>
      <c r="N146" s="56">
        <f t="shared" si="57"/>
        <v>0</v>
      </c>
      <c r="O146" s="56">
        <f t="shared" si="58"/>
        <v>63469.115159492612</v>
      </c>
      <c r="P146" s="31">
        <f t="shared" si="59"/>
        <v>57.784822199707399</v>
      </c>
      <c r="Q146" s="31">
        <f t="shared" si="60"/>
        <v>0</v>
      </c>
      <c r="R146" s="60">
        <f t="shared" si="51"/>
        <v>68.763938417651801</v>
      </c>
      <c r="S146" s="45">
        <f>INDEX(FX!$D$3:$O$19,MATCH(B146,FX!$B$3:$B$32,0),MATCH(D146,FX!$D$2:$O$2,0))</f>
        <v>923</v>
      </c>
      <c r="T146" s="12" t="s">
        <v>142</v>
      </c>
      <c r="U146" s="12" t="s">
        <v>32</v>
      </c>
      <c r="V146" s="12" t="s">
        <v>83</v>
      </c>
      <c r="W146" s="8" t="str">
        <f>VLOOKUP(I146,Map!$F$18:$H$51,3,0)</f>
        <v>Variable</v>
      </c>
      <c r="X146" s="88" t="s">
        <v>149</v>
      </c>
      <c r="Y146" s="107" t="str">
        <f>VLOOKUP(L146,Map!$C$18:$D$29,2,0)</f>
        <v>DLT</v>
      </c>
      <c r="Z146" s="52"/>
      <c r="AA146" s="56">
        <f t="shared" si="52"/>
        <v>0</v>
      </c>
      <c r="AB146" s="56">
        <f t="shared" si="53"/>
        <v>0</v>
      </c>
      <c r="AC146" s="31">
        <f t="shared" si="54"/>
        <v>0</v>
      </c>
      <c r="AD146" s="31">
        <f t="shared" si="55"/>
        <v>0</v>
      </c>
      <c r="AE146" s="60">
        <f t="shared" si="56"/>
        <v>0</v>
      </c>
      <c r="AF146" s="8"/>
    </row>
    <row r="147" spans="2:32" s="1" customFormat="1" ht="13" hidden="1" x14ac:dyDescent="0.3">
      <c r="B147" s="12">
        <v>2026</v>
      </c>
      <c r="C147" s="12" t="s">
        <v>160</v>
      </c>
      <c r="D147" s="12" t="s">
        <v>162</v>
      </c>
      <c r="E147" s="12" t="s">
        <v>88</v>
      </c>
      <c r="F147" s="12" t="s">
        <v>80</v>
      </c>
      <c r="G147" s="83">
        <v>46218</v>
      </c>
      <c r="H147" s="93">
        <v>3864</v>
      </c>
      <c r="I147" s="12" t="s">
        <v>148</v>
      </c>
      <c r="J147" s="8" t="str">
        <f>IFERROR(VLOOKUP(I147,Map!$F$18:$G$56,2,0),"Add in Map")</f>
        <v>3P</v>
      </c>
      <c r="K147" s="8" t="str">
        <f>VLOOKUP(L147,Map!$C$18:$D$29,2,0)</f>
        <v>DMT</v>
      </c>
      <c r="L147" s="12" t="s">
        <v>54</v>
      </c>
      <c r="M147" s="52">
        <v>0</v>
      </c>
      <c r="N147" s="56">
        <f t="shared" si="57"/>
        <v>0</v>
      </c>
      <c r="O147" s="56">
        <f t="shared" si="58"/>
        <v>0</v>
      </c>
      <c r="P147" s="48">
        <f t="shared" si="59"/>
        <v>0</v>
      </c>
      <c r="Q147" s="31">
        <f t="shared" si="60"/>
        <v>0</v>
      </c>
      <c r="R147" s="60">
        <f t="shared" si="51"/>
        <v>0</v>
      </c>
      <c r="S147" s="45">
        <f>INDEX(FX!$D$3:$O$19,MATCH(B147,FX!$B$3:$B$32,0),MATCH(D147,FX!$D$2:$O$2,0))</f>
        <v>923</v>
      </c>
      <c r="T147" s="12" t="s">
        <v>142</v>
      </c>
      <c r="U147" s="12" t="s">
        <v>32</v>
      </c>
      <c r="V147" s="12" t="s">
        <v>83</v>
      </c>
      <c r="W147" s="8" t="str">
        <f>VLOOKUP(I147,Map!$F$18:$H$51,3,0)</f>
        <v>Variable</v>
      </c>
      <c r="X147" s="88" t="s">
        <v>149</v>
      </c>
      <c r="Y147" s="107" t="str">
        <f>VLOOKUP(L147,Map!$C$18:$D$29,2,0)</f>
        <v>DMT</v>
      </c>
      <c r="Z147" s="52"/>
      <c r="AA147" s="56">
        <f t="shared" si="52"/>
        <v>0</v>
      </c>
      <c r="AB147" s="56">
        <f t="shared" si="53"/>
        <v>0</v>
      </c>
      <c r="AC147" s="48">
        <f t="shared" si="54"/>
        <v>0</v>
      </c>
      <c r="AD147" s="31">
        <f t="shared" si="55"/>
        <v>0</v>
      </c>
      <c r="AE147" s="60">
        <f t="shared" si="56"/>
        <v>0</v>
      </c>
      <c r="AF147" s="8"/>
    </row>
    <row r="148" spans="2:32" s="37" customFormat="1" hidden="1" x14ac:dyDescent="0.35">
      <c r="B148" s="13">
        <v>2026</v>
      </c>
      <c r="C148" s="13" t="s">
        <v>160</v>
      </c>
      <c r="D148" s="13" t="s">
        <v>162</v>
      </c>
      <c r="E148" s="13" t="s">
        <v>88</v>
      </c>
      <c r="F148" s="13" t="s">
        <v>80</v>
      </c>
      <c r="G148" s="85">
        <v>46218</v>
      </c>
      <c r="H148" s="94">
        <v>3864</v>
      </c>
      <c r="I148" s="13" t="s">
        <v>148</v>
      </c>
      <c r="J148" s="29" t="str">
        <f>IFERROR(VLOOKUP(I148,Map!$F$18:$G$56,2,0),"Add in Map")</f>
        <v>3P</v>
      </c>
      <c r="K148" s="29" t="str">
        <f>VLOOKUP(L148,Map!$C$18:$D$29,2,0)</f>
        <v>TOTAL</v>
      </c>
      <c r="L148" s="13" t="s">
        <v>56</v>
      </c>
      <c r="M148" s="57">
        <f>SUM(M137:M147)</f>
        <v>14193627.644579403</v>
      </c>
      <c r="N148" s="57">
        <f t="shared" si="57"/>
        <v>2696789.2524700868</v>
      </c>
      <c r="O148" s="57">
        <f t="shared" si="58"/>
        <v>16890416.89704949</v>
      </c>
      <c r="P148" s="11">
        <f t="shared" si="59"/>
        <v>15377.711424246374</v>
      </c>
      <c r="Q148" s="11">
        <f t="shared" si="60"/>
        <v>2921.7651706068109</v>
      </c>
      <c r="R148" s="61">
        <f t="shared" si="51"/>
        <v>18299.476594853186</v>
      </c>
      <c r="S148" s="46">
        <f>INDEX(FX!$D$3:$O$19,MATCH(B148,FX!$B$3:$B$32,0),MATCH(D148,FX!$D$2:$O$2,0))</f>
        <v>923</v>
      </c>
      <c r="T148" s="13" t="s">
        <v>142</v>
      </c>
      <c r="U148" s="13" t="s">
        <v>32</v>
      </c>
      <c r="V148" s="13" t="s">
        <v>83</v>
      </c>
      <c r="W148" s="29" t="str">
        <f>VLOOKUP(I148,Map!$F$18:$H$51,3,0)</f>
        <v>Variable</v>
      </c>
      <c r="X148" s="90" t="s">
        <v>149</v>
      </c>
      <c r="Y148" s="109" t="str">
        <f>VLOOKUP(L148,Map!$C$18:$D$29,2,0)</f>
        <v>TOTAL</v>
      </c>
      <c r="Z148" s="53"/>
      <c r="AA148" s="57">
        <f t="shared" si="52"/>
        <v>0</v>
      </c>
      <c r="AB148" s="57">
        <f t="shared" si="53"/>
        <v>0</v>
      </c>
      <c r="AC148" s="11">
        <f t="shared" si="54"/>
        <v>0</v>
      </c>
      <c r="AD148" s="11">
        <f t="shared" si="55"/>
        <v>0</v>
      </c>
      <c r="AE148" s="61">
        <f t="shared" si="56"/>
        <v>0</v>
      </c>
      <c r="AF148" s="87"/>
    </row>
    <row r="149" spans="2:32" s="1" customFormat="1" ht="13" hidden="1" x14ac:dyDescent="0.3">
      <c r="B149" s="12">
        <v>2026</v>
      </c>
      <c r="C149" s="12" t="s">
        <v>160</v>
      </c>
      <c r="D149" s="12" t="s">
        <v>162</v>
      </c>
      <c r="E149" s="12" t="s">
        <v>88</v>
      </c>
      <c r="F149" s="12" t="s">
        <v>80</v>
      </c>
      <c r="G149" s="83">
        <v>46218</v>
      </c>
      <c r="H149" s="93">
        <v>3865</v>
      </c>
      <c r="I149" s="12" t="s">
        <v>147</v>
      </c>
      <c r="J149" s="8" t="str">
        <f>IFERROR(VLOOKUP(I149,Map!$F$18:$G$56,2,0),"Add in Map")</f>
        <v>3P</v>
      </c>
      <c r="K149" s="8" t="str">
        <f>VLOOKUP(L149,Map!$C$18:$D$29,2,0)</f>
        <v>CNT</v>
      </c>
      <c r="L149" s="12" t="s">
        <v>31</v>
      </c>
      <c r="M149" s="52">
        <v>5535770.1671148753</v>
      </c>
      <c r="N149" s="56">
        <f t="shared" si="57"/>
        <v>0</v>
      </c>
      <c r="O149" s="56">
        <f t="shared" si="58"/>
        <v>6587566.4988667015</v>
      </c>
      <c r="P149" s="31">
        <f t="shared" si="59"/>
        <v>5997.5841463866473</v>
      </c>
      <c r="Q149" s="31">
        <f t="shared" si="60"/>
        <v>0</v>
      </c>
      <c r="R149" s="60">
        <f t="shared" ref="R149:R160" si="61">P149*1.19</f>
        <v>7137.1251342001096</v>
      </c>
      <c r="S149" s="45">
        <f>INDEX(FX!$D$3:$O$19,MATCH(B149,FX!$B$3:$B$32,0),MATCH(D149,FX!$D$2:$O$2,0))</f>
        <v>923</v>
      </c>
      <c r="T149" s="12" t="s">
        <v>144</v>
      </c>
      <c r="U149" s="12" t="s">
        <v>32</v>
      </c>
      <c r="V149" s="12" t="s">
        <v>83</v>
      </c>
      <c r="W149" s="8" t="str">
        <f>VLOOKUP(I149,Map!$F$18:$H$51,3,0)</f>
        <v>Variable</v>
      </c>
      <c r="X149" s="88" t="s">
        <v>149</v>
      </c>
      <c r="Y149" s="107" t="str">
        <f>VLOOKUP(L149,Map!$C$18:$D$29,2,0)</f>
        <v>CNT</v>
      </c>
      <c r="Z149" s="52"/>
      <c r="AA149" s="56">
        <f t="shared" ref="AA149:AA160" si="62">IF(Y149="TOTAL",(Z149*0.19),0)</f>
        <v>0</v>
      </c>
      <c r="AB149" s="56">
        <f t="shared" ref="AB149:AB160" si="63">Z149*1.19</f>
        <v>0</v>
      </c>
      <c r="AC149" s="31">
        <f t="shared" ref="AC149:AC160" si="64">Z149/S149</f>
        <v>0</v>
      </c>
      <c r="AD149" s="31">
        <f t="shared" ref="AD149:AD160" si="65">IF(Y149="TOTAL",(AC149*0.19),0)</f>
        <v>0</v>
      </c>
      <c r="AE149" s="60">
        <f t="shared" ref="AE149:AE160" si="66">AC149*1.19</f>
        <v>0</v>
      </c>
      <c r="AF149" s="8"/>
    </row>
    <row r="150" spans="2:32" s="1" customFormat="1" ht="13" hidden="1" x14ac:dyDescent="0.3">
      <c r="B150" s="12">
        <v>2026</v>
      </c>
      <c r="C150" s="12" t="s">
        <v>160</v>
      </c>
      <c r="D150" s="12" t="s">
        <v>162</v>
      </c>
      <c r="E150" s="12" t="s">
        <v>88</v>
      </c>
      <c r="F150" s="12" t="s">
        <v>80</v>
      </c>
      <c r="G150" s="83">
        <v>46218</v>
      </c>
      <c r="H150" s="93">
        <v>3865</v>
      </c>
      <c r="I150" s="12" t="s">
        <v>147</v>
      </c>
      <c r="J150" s="8" t="str">
        <f>IFERROR(VLOOKUP(I150,Map!$F$18:$G$56,2,0),"Add in Map")</f>
        <v>3P</v>
      </c>
      <c r="K150" s="8" t="str">
        <f>VLOOKUP(L150,Map!$C$18:$D$29,2,0)</f>
        <v>CVT</v>
      </c>
      <c r="L150" s="12" t="s">
        <v>36</v>
      </c>
      <c r="M150" s="52">
        <v>106927.54384855067</v>
      </c>
      <c r="N150" s="56">
        <f t="shared" si="57"/>
        <v>0</v>
      </c>
      <c r="O150" s="56">
        <f t="shared" si="58"/>
        <v>127243.77717977529</v>
      </c>
      <c r="P150" s="31">
        <f t="shared" si="59"/>
        <v>115.84782648813724</v>
      </c>
      <c r="Q150" s="31">
        <f t="shared" si="60"/>
        <v>0</v>
      </c>
      <c r="R150" s="60">
        <f t="shared" si="61"/>
        <v>137.85891352088331</v>
      </c>
      <c r="S150" s="45">
        <f>INDEX(FX!$D$3:$O$19,MATCH(B150,FX!$B$3:$B$32,0),MATCH(D150,FX!$D$2:$O$2,0))</f>
        <v>923</v>
      </c>
      <c r="T150" s="12" t="s">
        <v>144</v>
      </c>
      <c r="U150" s="12" t="s">
        <v>32</v>
      </c>
      <c r="V150" s="12" t="s">
        <v>83</v>
      </c>
      <c r="W150" s="8" t="str">
        <f>VLOOKUP(I150,Map!$F$18:$H$51,3,0)</f>
        <v>Variable</v>
      </c>
      <c r="X150" s="88" t="s">
        <v>149</v>
      </c>
      <c r="Y150" s="107" t="str">
        <f>VLOOKUP(L150,Map!$C$18:$D$29,2,0)</f>
        <v>CVT</v>
      </c>
      <c r="Z150" s="52"/>
      <c r="AA150" s="56">
        <f t="shared" si="62"/>
        <v>0</v>
      </c>
      <c r="AB150" s="56">
        <f t="shared" si="63"/>
        <v>0</v>
      </c>
      <c r="AC150" s="31">
        <f t="shared" si="64"/>
        <v>0</v>
      </c>
      <c r="AD150" s="31">
        <f t="shared" si="65"/>
        <v>0</v>
      </c>
      <c r="AE150" s="60">
        <f t="shared" si="66"/>
        <v>0</v>
      </c>
      <c r="AF150" s="8"/>
    </row>
    <row r="151" spans="2:32" s="1" customFormat="1" ht="13" hidden="1" x14ac:dyDescent="0.3">
      <c r="B151" s="12">
        <v>2026</v>
      </c>
      <c r="C151" s="12" t="s">
        <v>160</v>
      </c>
      <c r="D151" s="12" t="s">
        <v>162</v>
      </c>
      <c r="E151" s="12" t="s">
        <v>88</v>
      </c>
      <c r="F151" s="12" t="s">
        <v>80</v>
      </c>
      <c r="G151" s="83">
        <v>46218</v>
      </c>
      <c r="H151" s="93">
        <v>3865</v>
      </c>
      <c r="I151" s="12" t="s">
        <v>147</v>
      </c>
      <c r="J151" s="8" t="str">
        <f>IFERROR(VLOOKUP(I151,Map!$F$18:$G$56,2,0),"Add in Map")</f>
        <v>3P</v>
      </c>
      <c r="K151" s="8" t="str">
        <f>VLOOKUP(L151,Map!$C$18:$D$29,2,0)</f>
        <v>CDT</v>
      </c>
      <c r="L151" s="12" t="s">
        <v>38</v>
      </c>
      <c r="M151" s="52">
        <v>185605.88752124683</v>
      </c>
      <c r="N151" s="56">
        <f t="shared" si="57"/>
        <v>0</v>
      </c>
      <c r="O151" s="56">
        <f t="shared" si="58"/>
        <v>220871.00615028371</v>
      </c>
      <c r="P151" s="31">
        <f t="shared" si="59"/>
        <v>201.08980229820892</v>
      </c>
      <c r="Q151" s="31">
        <f t="shared" si="60"/>
        <v>0</v>
      </c>
      <c r="R151" s="60">
        <f t="shared" si="61"/>
        <v>239.29686473486862</v>
      </c>
      <c r="S151" s="45">
        <f>INDEX(FX!$D$3:$O$19,MATCH(B151,FX!$B$3:$B$32,0),MATCH(D151,FX!$D$2:$O$2,0))</f>
        <v>923</v>
      </c>
      <c r="T151" s="12" t="s">
        <v>144</v>
      </c>
      <c r="U151" s="12" t="s">
        <v>32</v>
      </c>
      <c r="V151" s="12" t="s">
        <v>83</v>
      </c>
      <c r="W151" s="8" t="str">
        <f>VLOOKUP(I151,Map!$F$18:$H$51,3,0)</f>
        <v>Variable</v>
      </c>
      <c r="X151" s="88" t="s">
        <v>149</v>
      </c>
      <c r="Y151" s="107" t="str">
        <f>VLOOKUP(L151,Map!$C$18:$D$29,2,0)</f>
        <v>CDT</v>
      </c>
      <c r="Z151" s="52"/>
      <c r="AA151" s="56">
        <f t="shared" si="62"/>
        <v>0</v>
      </c>
      <c r="AB151" s="56">
        <f t="shared" si="63"/>
        <v>0</v>
      </c>
      <c r="AC151" s="31">
        <f t="shared" si="64"/>
        <v>0</v>
      </c>
      <c r="AD151" s="31">
        <f t="shared" si="65"/>
        <v>0</v>
      </c>
      <c r="AE151" s="60">
        <f t="shared" si="66"/>
        <v>0</v>
      </c>
      <c r="AF151" s="8"/>
    </row>
    <row r="152" spans="2:32" s="1" customFormat="1" ht="13" hidden="1" x14ac:dyDescent="0.3">
      <c r="B152" s="12">
        <v>2026</v>
      </c>
      <c r="C152" s="12" t="s">
        <v>160</v>
      </c>
      <c r="D152" s="12" t="s">
        <v>162</v>
      </c>
      <c r="E152" s="12" t="s">
        <v>88</v>
      </c>
      <c r="F152" s="12" t="s">
        <v>80</v>
      </c>
      <c r="G152" s="83">
        <v>46218</v>
      </c>
      <c r="H152" s="93">
        <v>3865</v>
      </c>
      <c r="I152" s="12" t="s">
        <v>147</v>
      </c>
      <c r="J152" s="8" t="str">
        <f>IFERROR(VLOOKUP(I152,Map!$F$18:$G$56,2,0),"Add in Map")</f>
        <v>3P</v>
      </c>
      <c r="K152" s="8" t="str">
        <f>VLOOKUP(L152,Map!$C$18:$D$29,2,0)</f>
        <v>DFT</v>
      </c>
      <c r="L152" s="12" t="s">
        <v>40</v>
      </c>
      <c r="M152" s="52">
        <v>10390084.153111497</v>
      </c>
      <c r="N152" s="56">
        <f t="shared" si="57"/>
        <v>0</v>
      </c>
      <c r="O152" s="56">
        <f t="shared" si="58"/>
        <v>12364200.142202681</v>
      </c>
      <c r="P152" s="31">
        <f t="shared" si="59"/>
        <v>11256.862571085045</v>
      </c>
      <c r="Q152" s="31">
        <f t="shared" si="60"/>
        <v>0</v>
      </c>
      <c r="R152" s="60">
        <f t="shared" si="61"/>
        <v>13395.666459591203</v>
      </c>
      <c r="S152" s="45">
        <f>INDEX(FX!$D$3:$O$19,MATCH(B152,FX!$B$3:$B$32,0),MATCH(D152,FX!$D$2:$O$2,0))</f>
        <v>923</v>
      </c>
      <c r="T152" s="12" t="s">
        <v>144</v>
      </c>
      <c r="U152" s="12" t="s">
        <v>32</v>
      </c>
      <c r="V152" s="12" t="s">
        <v>83</v>
      </c>
      <c r="W152" s="8" t="str">
        <f>VLOOKUP(I152,Map!$F$18:$H$51,3,0)</f>
        <v>Variable</v>
      </c>
      <c r="X152" s="88" t="s">
        <v>149</v>
      </c>
      <c r="Y152" s="107" t="str">
        <f>VLOOKUP(L152,Map!$C$18:$D$29,2,0)</f>
        <v>DFT</v>
      </c>
      <c r="Z152" s="52"/>
      <c r="AA152" s="56">
        <f t="shared" si="62"/>
        <v>0</v>
      </c>
      <c r="AB152" s="56">
        <f t="shared" si="63"/>
        <v>0</v>
      </c>
      <c r="AC152" s="31">
        <f t="shared" si="64"/>
        <v>0</v>
      </c>
      <c r="AD152" s="31">
        <f t="shared" si="65"/>
        <v>0</v>
      </c>
      <c r="AE152" s="60">
        <f t="shared" si="66"/>
        <v>0</v>
      </c>
      <c r="AF152" s="8"/>
    </row>
    <row r="153" spans="2:32" s="1" customFormat="1" ht="13" hidden="1" x14ac:dyDescent="0.3">
      <c r="B153" s="12">
        <v>2026</v>
      </c>
      <c r="C153" s="12" t="s">
        <v>160</v>
      </c>
      <c r="D153" s="12" t="s">
        <v>162</v>
      </c>
      <c r="E153" s="12" t="s">
        <v>88</v>
      </c>
      <c r="F153" s="12" t="s">
        <v>80</v>
      </c>
      <c r="G153" s="83">
        <v>46218</v>
      </c>
      <c r="H153" s="93">
        <v>3865</v>
      </c>
      <c r="I153" s="12" t="s">
        <v>147</v>
      </c>
      <c r="J153" s="8" t="str">
        <f>IFERROR(VLOOKUP(I153,Map!$F$18:$G$56,2,0),"Add in Map")</f>
        <v>3P</v>
      </c>
      <c r="K153" s="8" t="str">
        <f>VLOOKUP(L153,Map!$C$18:$D$29,2,0)</f>
        <v>DVT</v>
      </c>
      <c r="L153" s="12" t="s">
        <v>42</v>
      </c>
      <c r="M153" s="52">
        <v>57361.613020384815</v>
      </c>
      <c r="N153" s="56">
        <f t="shared" si="57"/>
        <v>0</v>
      </c>
      <c r="O153" s="56">
        <f t="shared" si="58"/>
        <v>68260.319494257928</v>
      </c>
      <c r="P153" s="31">
        <f t="shared" si="59"/>
        <v>62.146926349279326</v>
      </c>
      <c r="Q153" s="31">
        <f t="shared" si="60"/>
        <v>0</v>
      </c>
      <c r="R153" s="60">
        <f t="shared" si="61"/>
        <v>73.954842355642398</v>
      </c>
      <c r="S153" s="45">
        <f>INDEX(FX!$D$3:$O$19,MATCH(B153,FX!$B$3:$B$32,0),MATCH(D153,FX!$D$2:$O$2,0))</f>
        <v>923</v>
      </c>
      <c r="T153" s="12" t="s">
        <v>144</v>
      </c>
      <c r="U153" s="12" t="s">
        <v>32</v>
      </c>
      <c r="V153" s="12" t="s">
        <v>83</v>
      </c>
      <c r="W153" s="8" t="str">
        <f>VLOOKUP(I153,Map!$F$18:$H$51,3,0)</f>
        <v>Variable</v>
      </c>
      <c r="X153" s="88" t="s">
        <v>149</v>
      </c>
      <c r="Y153" s="107" t="str">
        <f>VLOOKUP(L153,Map!$C$18:$D$29,2,0)</f>
        <v>DVT</v>
      </c>
      <c r="Z153" s="52"/>
      <c r="AA153" s="56">
        <f t="shared" si="62"/>
        <v>0</v>
      </c>
      <c r="AB153" s="56">
        <f t="shared" si="63"/>
        <v>0</v>
      </c>
      <c r="AC153" s="31">
        <f t="shared" si="64"/>
        <v>0</v>
      </c>
      <c r="AD153" s="31">
        <f t="shared" si="65"/>
        <v>0</v>
      </c>
      <c r="AE153" s="60">
        <f t="shared" si="66"/>
        <v>0</v>
      </c>
      <c r="AF153" s="8"/>
    </row>
    <row r="154" spans="2:32" s="1" customFormat="1" ht="13" hidden="1" x14ac:dyDescent="0.3">
      <c r="B154" s="12">
        <v>2026</v>
      </c>
      <c r="C154" s="12" t="s">
        <v>160</v>
      </c>
      <c r="D154" s="12" t="s">
        <v>162</v>
      </c>
      <c r="E154" s="12" t="s">
        <v>88</v>
      </c>
      <c r="F154" s="12" t="s">
        <v>80</v>
      </c>
      <c r="G154" s="83">
        <v>46218</v>
      </c>
      <c r="H154" s="93">
        <v>3865</v>
      </c>
      <c r="I154" s="12" t="s">
        <v>147</v>
      </c>
      <c r="J154" s="8" t="str">
        <f>IFERROR(VLOOKUP(I154,Map!$F$18:$G$56,2,0),"Add in Map")</f>
        <v>3P</v>
      </c>
      <c r="K154" s="8" t="str">
        <f>VLOOKUP(L154,Map!$C$18:$D$29,2,0)</f>
        <v>GLT</v>
      </c>
      <c r="L154" s="12" t="s">
        <v>44</v>
      </c>
      <c r="M154" s="52">
        <v>9889401.0582665373</v>
      </c>
      <c r="N154" s="56">
        <f t="shared" si="57"/>
        <v>0</v>
      </c>
      <c r="O154" s="56">
        <f t="shared" si="58"/>
        <v>11768387.259337179</v>
      </c>
      <c r="P154" s="31">
        <f t="shared" si="59"/>
        <v>10714.410680678806</v>
      </c>
      <c r="Q154" s="31">
        <f t="shared" si="60"/>
        <v>0</v>
      </c>
      <c r="R154" s="60">
        <f t="shared" si="61"/>
        <v>12750.148710007779</v>
      </c>
      <c r="S154" s="45">
        <f>INDEX(FX!$D$3:$O$19,MATCH(B154,FX!$B$3:$B$32,0),MATCH(D154,FX!$D$2:$O$2,0))</f>
        <v>923</v>
      </c>
      <c r="T154" s="12" t="s">
        <v>144</v>
      </c>
      <c r="U154" s="12" t="s">
        <v>32</v>
      </c>
      <c r="V154" s="12" t="s">
        <v>83</v>
      </c>
      <c r="W154" s="8" t="str">
        <f>VLOOKUP(I154,Map!$F$18:$H$51,3,0)</f>
        <v>Variable</v>
      </c>
      <c r="X154" s="88" t="s">
        <v>149</v>
      </c>
      <c r="Y154" s="107" t="str">
        <f>VLOOKUP(L154,Map!$C$18:$D$29,2,0)</f>
        <v>GLT</v>
      </c>
      <c r="Z154" s="52"/>
      <c r="AA154" s="56">
        <f t="shared" si="62"/>
        <v>0</v>
      </c>
      <c r="AB154" s="56">
        <f t="shared" si="63"/>
        <v>0</v>
      </c>
      <c r="AC154" s="31">
        <f t="shared" si="64"/>
        <v>0</v>
      </c>
      <c r="AD154" s="31">
        <f t="shared" si="65"/>
        <v>0</v>
      </c>
      <c r="AE154" s="60">
        <f t="shared" si="66"/>
        <v>0</v>
      </c>
      <c r="AF154" s="8"/>
    </row>
    <row r="155" spans="2:32" s="1" customFormat="1" ht="13" hidden="1" x14ac:dyDescent="0.3">
      <c r="B155" s="12">
        <v>2026</v>
      </c>
      <c r="C155" s="12" t="s">
        <v>160</v>
      </c>
      <c r="D155" s="12" t="s">
        <v>162</v>
      </c>
      <c r="E155" s="12" t="s">
        <v>88</v>
      </c>
      <c r="F155" s="12" t="s">
        <v>80</v>
      </c>
      <c r="G155" s="83">
        <v>46218</v>
      </c>
      <c r="H155" s="93">
        <v>3865</v>
      </c>
      <c r="I155" s="12" t="s">
        <v>147</v>
      </c>
      <c r="J155" s="8" t="str">
        <f>IFERROR(VLOOKUP(I155,Map!$F$18:$G$56,2,0),"Add in Map")</f>
        <v>3P</v>
      </c>
      <c r="K155" s="8" t="str">
        <f>VLOOKUP(L155,Map!$C$18:$D$29,2,0)</f>
        <v>PNT</v>
      </c>
      <c r="L155" s="12" t="s">
        <v>46</v>
      </c>
      <c r="M155" s="52">
        <v>311789.6952255927</v>
      </c>
      <c r="N155" s="56">
        <f t="shared" si="57"/>
        <v>0</v>
      </c>
      <c r="O155" s="56">
        <f t="shared" si="58"/>
        <v>371029.7373184553</v>
      </c>
      <c r="P155" s="31">
        <f t="shared" si="59"/>
        <v>337.80031985437995</v>
      </c>
      <c r="Q155" s="31">
        <f t="shared" si="60"/>
        <v>0</v>
      </c>
      <c r="R155" s="60">
        <f t="shared" si="61"/>
        <v>401.98238062671214</v>
      </c>
      <c r="S155" s="45">
        <f>INDEX(FX!$D$3:$O$19,MATCH(B155,FX!$B$3:$B$32,0),MATCH(D155,FX!$D$2:$O$2,0))</f>
        <v>923</v>
      </c>
      <c r="T155" s="12" t="s">
        <v>144</v>
      </c>
      <c r="U155" s="12" t="s">
        <v>32</v>
      </c>
      <c r="V155" s="12" t="s">
        <v>83</v>
      </c>
      <c r="W155" s="8" t="str">
        <f>VLOOKUP(I155,Map!$F$18:$H$51,3,0)</f>
        <v>Variable</v>
      </c>
      <c r="X155" s="88" t="s">
        <v>149</v>
      </c>
      <c r="Y155" s="107" t="str">
        <f>VLOOKUP(L155,Map!$C$18:$D$29,2,0)</f>
        <v>PNT</v>
      </c>
      <c r="Z155" s="52"/>
      <c r="AA155" s="56">
        <f t="shared" si="62"/>
        <v>0</v>
      </c>
      <c r="AB155" s="56">
        <f t="shared" si="63"/>
        <v>0</v>
      </c>
      <c r="AC155" s="31">
        <f t="shared" si="64"/>
        <v>0</v>
      </c>
      <c r="AD155" s="31">
        <f t="shared" si="65"/>
        <v>0</v>
      </c>
      <c r="AE155" s="60">
        <f t="shared" si="66"/>
        <v>0</v>
      </c>
      <c r="AF155" s="8"/>
    </row>
    <row r="156" spans="2:32" s="1" customFormat="1" ht="13" hidden="1" x14ac:dyDescent="0.3">
      <c r="B156" s="12">
        <v>2026</v>
      </c>
      <c r="C156" s="12" t="s">
        <v>160</v>
      </c>
      <c r="D156" s="12" t="s">
        <v>162</v>
      </c>
      <c r="E156" s="12" t="s">
        <v>88</v>
      </c>
      <c r="F156" s="12" t="s">
        <v>80</v>
      </c>
      <c r="G156" s="83">
        <v>46218</v>
      </c>
      <c r="H156" s="93">
        <v>3865</v>
      </c>
      <c r="I156" s="12" t="s">
        <v>147</v>
      </c>
      <c r="J156" s="8" t="str">
        <f>IFERROR(VLOOKUP(I156,Map!$F$18:$G$56,2,0),"Add in Map")</f>
        <v>3P</v>
      </c>
      <c r="K156" s="8" t="str">
        <f>VLOOKUP(L156,Map!$C$18:$D$29,2,0)</f>
        <v>GTT</v>
      </c>
      <c r="L156" s="12" t="s">
        <v>48</v>
      </c>
      <c r="M156" s="52">
        <v>430311.27154398826</v>
      </c>
      <c r="N156" s="56">
        <f t="shared" si="57"/>
        <v>0</v>
      </c>
      <c r="O156" s="56">
        <f t="shared" si="58"/>
        <v>512070.41313734598</v>
      </c>
      <c r="P156" s="31">
        <f t="shared" si="59"/>
        <v>466.20939495556689</v>
      </c>
      <c r="Q156" s="31">
        <f t="shared" si="60"/>
        <v>0</v>
      </c>
      <c r="R156" s="60">
        <f t="shared" si="61"/>
        <v>554.78917999712462</v>
      </c>
      <c r="S156" s="45">
        <f>INDEX(FX!$D$3:$O$19,MATCH(B156,FX!$B$3:$B$32,0),MATCH(D156,FX!$D$2:$O$2,0))</f>
        <v>923</v>
      </c>
      <c r="T156" s="12" t="s">
        <v>144</v>
      </c>
      <c r="U156" s="12" t="s">
        <v>32</v>
      </c>
      <c r="V156" s="12" t="s">
        <v>83</v>
      </c>
      <c r="W156" s="8" t="str">
        <f>VLOOKUP(I156,Map!$F$18:$H$51,3,0)</f>
        <v>Variable</v>
      </c>
      <c r="X156" s="88" t="s">
        <v>149</v>
      </c>
      <c r="Y156" s="107" t="str">
        <f>VLOOKUP(L156,Map!$C$18:$D$29,2,0)</f>
        <v>GTT</v>
      </c>
      <c r="Z156" s="52"/>
      <c r="AA156" s="56">
        <f t="shared" si="62"/>
        <v>0</v>
      </c>
      <c r="AB156" s="56">
        <f t="shared" si="63"/>
        <v>0</v>
      </c>
      <c r="AC156" s="31">
        <f t="shared" si="64"/>
        <v>0</v>
      </c>
      <c r="AD156" s="31">
        <f t="shared" si="65"/>
        <v>0</v>
      </c>
      <c r="AE156" s="60">
        <f t="shared" si="66"/>
        <v>0</v>
      </c>
      <c r="AF156" s="8"/>
    </row>
    <row r="157" spans="2:32" s="1" customFormat="1" ht="13" hidden="1" x14ac:dyDescent="0.3">
      <c r="B157" s="12">
        <v>2026</v>
      </c>
      <c r="C157" s="12" t="s">
        <v>160</v>
      </c>
      <c r="D157" s="12" t="s">
        <v>162</v>
      </c>
      <c r="E157" s="12" t="s">
        <v>88</v>
      </c>
      <c r="F157" s="12" t="s">
        <v>80</v>
      </c>
      <c r="G157" s="83">
        <v>46218</v>
      </c>
      <c r="H157" s="93">
        <v>3865</v>
      </c>
      <c r="I157" s="12" t="s">
        <v>147</v>
      </c>
      <c r="J157" s="8" t="str">
        <f>IFERROR(VLOOKUP(I157,Map!$F$18:$G$56,2,0),"Add in Map")</f>
        <v>3P</v>
      </c>
      <c r="K157" s="8" t="str">
        <f>VLOOKUP(L157,Map!$C$18:$D$29,2,0)</f>
        <v>DGT</v>
      </c>
      <c r="L157" s="12" t="s">
        <v>50</v>
      </c>
      <c r="M157" s="52">
        <v>254028.11985087369</v>
      </c>
      <c r="N157" s="56">
        <f t="shared" si="57"/>
        <v>0</v>
      </c>
      <c r="O157" s="56">
        <f t="shared" si="58"/>
        <v>302293.46262253966</v>
      </c>
      <c r="P157" s="31">
        <f t="shared" si="59"/>
        <v>275.22006484385014</v>
      </c>
      <c r="Q157" s="31">
        <f t="shared" si="60"/>
        <v>0</v>
      </c>
      <c r="R157" s="60">
        <f t="shared" si="61"/>
        <v>327.51187716418167</v>
      </c>
      <c r="S157" s="45">
        <f>INDEX(FX!$D$3:$O$19,MATCH(B157,FX!$B$3:$B$32,0),MATCH(D157,FX!$D$2:$O$2,0))</f>
        <v>923</v>
      </c>
      <c r="T157" s="12" t="s">
        <v>144</v>
      </c>
      <c r="U157" s="12" t="s">
        <v>32</v>
      </c>
      <c r="V157" s="12" t="s">
        <v>83</v>
      </c>
      <c r="W157" s="8" t="str">
        <f>VLOOKUP(I157,Map!$F$18:$H$51,3,0)</f>
        <v>Variable</v>
      </c>
      <c r="X157" s="88" t="s">
        <v>149</v>
      </c>
      <c r="Y157" s="107" t="str">
        <f>VLOOKUP(L157,Map!$C$18:$D$29,2,0)</f>
        <v>DGT</v>
      </c>
      <c r="Z157" s="52"/>
      <c r="AA157" s="56">
        <f t="shared" si="62"/>
        <v>0</v>
      </c>
      <c r="AB157" s="56">
        <f t="shared" si="63"/>
        <v>0</v>
      </c>
      <c r="AC157" s="31">
        <f t="shared" si="64"/>
        <v>0</v>
      </c>
      <c r="AD157" s="31">
        <f t="shared" si="65"/>
        <v>0</v>
      </c>
      <c r="AE157" s="60">
        <f t="shared" si="66"/>
        <v>0</v>
      </c>
      <c r="AF157" s="8"/>
    </row>
    <row r="158" spans="2:32" s="1" customFormat="1" ht="13" hidden="1" x14ac:dyDescent="0.3">
      <c r="B158" s="12">
        <v>2026</v>
      </c>
      <c r="C158" s="12" t="s">
        <v>160</v>
      </c>
      <c r="D158" s="12" t="s">
        <v>162</v>
      </c>
      <c r="E158" s="12" t="s">
        <v>88</v>
      </c>
      <c r="F158" s="12" t="s">
        <v>80</v>
      </c>
      <c r="G158" s="83">
        <v>46218</v>
      </c>
      <c r="H158" s="93">
        <v>3865</v>
      </c>
      <c r="I158" s="12" t="s">
        <v>147</v>
      </c>
      <c r="J158" s="8" t="str">
        <f>IFERROR(VLOOKUP(I158,Map!$F$18:$G$56,2,0),"Add in Map")</f>
        <v>3P</v>
      </c>
      <c r="K158" s="8" t="str">
        <f>VLOOKUP(L158,Map!$C$18:$D$29,2,0)</f>
        <v>DLT</v>
      </c>
      <c r="L158" s="12" t="s">
        <v>52</v>
      </c>
      <c r="M158" s="52">
        <v>100787.73408295128</v>
      </c>
      <c r="N158" s="56">
        <f t="shared" si="57"/>
        <v>0</v>
      </c>
      <c r="O158" s="56">
        <f t="shared" si="58"/>
        <v>119937.40355871202</v>
      </c>
      <c r="P158" s="31">
        <f t="shared" si="59"/>
        <v>109.19581157416174</v>
      </c>
      <c r="Q158" s="31">
        <f t="shared" si="60"/>
        <v>0</v>
      </c>
      <c r="R158" s="60">
        <f t="shared" si="61"/>
        <v>129.94301577325245</v>
      </c>
      <c r="S158" s="45">
        <f>INDEX(FX!$D$3:$O$19,MATCH(B158,FX!$B$3:$B$32,0),MATCH(D158,FX!$D$2:$O$2,0))</f>
        <v>923</v>
      </c>
      <c r="T158" s="12" t="s">
        <v>144</v>
      </c>
      <c r="U158" s="12" t="s">
        <v>32</v>
      </c>
      <c r="V158" s="12" t="s">
        <v>83</v>
      </c>
      <c r="W158" s="8" t="str">
        <f>VLOOKUP(I158,Map!$F$18:$H$51,3,0)</f>
        <v>Variable</v>
      </c>
      <c r="X158" s="88" t="s">
        <v>149</v>
      </c>
      <c r="Y158" s="107" t="str">
        <f>VLOOKUP(L158,Map!$C$18:$D$29,2,0)</f>
        <v>DLT</v>
      </c>
      <c r="Z158" s="52"/>
      <c r="AA158" s="56">
        <f t="shared" si="62"/>
        <v>0</v>
      </c>
      <c r="AB158" s="56">
        <f t="shared" si="63"/>
        <v>0</v>
      </c>
      <c r="AC158" s="31">
        <f t="shared" si="64"/>
        <v>0</v>
      </c>
      <c r="AD158" s="31">
        <f t="shared" si="65"/>
        <v>0</v>
      </c>
      <c r="AE158" s="60">
        <f t="shared" si="66"/>
        <v>0</v>
      </c>
      <c r="AF158" s="8"/>
    </row>
    <row r="159" spans="2:32" s="1" customFormat="1" ht="13" hidden="1" x14ac:dyDescent="0.3">
      <c r="B159" s="12">
        <v>2026</v>
      </c>
      <c r="C159" s="12" t="s">
        <v>160</v>
      </c>
      <c r="D159" s="12" t="s">
        <v>162</v>
      </c>
      <c r="E159" s="12" t="s">
        <v>88</v>
      </c>
      <c r="F159" s="12" t="s">
        <v>80</v>
      </c>
      <c r="G159" s="83">
        <v>46218</v>
      </c>
      <c r="H159" s="93">
        <v>3865</v>
      </c>
      <c r="I159" s="12" t="s">
        <v>147</v>
      </c>
      <c r="J159" s="8" t="str">
        <f>IFERROR(VLOOKUP(I159,Map!$F$18:$G$56,2,0),"Add in Map")</f>
        <v>3P</v>
      </c>
      <c r="K159" s="8" t="str">
        <f>VLOOKUP(L159,Map!$C$18:$D$29,2,0)</f>
        <v>DMT</v>
      </c>
      <c r="L159" s="12" t="s">
        <v>54</v>
      </c>
      <c r="M159" s="52">
        <v>0</v>
      </c>
      <c r="N159" s="56">
        <f t="shared" si="57"/>
        <v>0</v>
      </c>
      <c r="O159" s="56">
        <f t="shared" si="58"/>
        <v>0</v>
      </c>
      <c r="P159" s="48">
        <f t="shared" si="59"/>
        <v>0</v>
      </c>
      <c r="Q159" s="31">
        <f t="shared" si="60"/>
        <v>0</v>
      </c>
      <c r="R159" s="60">
        <f t="shared" si="61"/>
        <v>0</v>
      </c>
      <c r="S159" s="45">
        <f>INDEX(FX!$D$3:$O$19,MATCH(B159,FX!$B$3:$B$32,0),MATCH(D159,FX!$D$2:$O$2,0))</f>
        <v>923</v>
      </c>
      <c r="T159" s="12" t="s">
        <v>144</v>
      </c>
      <c r="U159" s="12" t="s">
        <v>32</v>
      </c>
      <c r="V159" s="12" t="s">
        <v>83</v>
      </c>
      <c r="W159" s="8" t="str">
        <f>VLOOKUP(I159,Map!$F$18:$H$51,3,0)</f>
        <v>Variable</v>
      </c>
      <c r="X159" s="88" t="s">
        <v>149</v>
      </c>
      <c r="Y159" s="107" t="str">
        <f>VLOOKUP(L159,Map!$C$18:$D$29,2,0)</f>
        <v>DMT</v>
      </c>
      <c r="Z159" s="52"/>
      <c r="AA159" s="56">
        <f t="shared" si="62"/>
        <v>0</v>
      </c>
      <c r="AB159" s="56">
        <f t="shared" si="63"/>
        <v>0</v>
      </c>
      <c r="AC159" s="48">
        <f t="shared" si="64"/>
        <v>0</v>
      </c>
      <c r="AD159" s="31">
        <f t="shared" si="65"/>
        <v>0</v>
      </c>
      <c r="AE159" s="60">
        <f t="shared" si="66"/>
        <v>0</v>
      </c>
      <c r="AF159" s="8"/>
    </row>
    <row r="160" spans="2:32" s="37" customFormat="1" hidden="1" x14ac:dyDescent="0.35">
      <c r="B160" s="13">
        <v>2026</v>
      </c>
      <c r="C160" s="13" t="s">
        <v>160</v>
      </c>
      <c r="D160" s="13" t="s">
        <v>162</v>
      </c>
      <c r="E160" s="13" t="s">
        <v>88</v>
      </c>
      <c r="F160" s="13" t="s">
        <v>80</v>
      </c>
      <c r="G160" s="85">
        <v>46218</v>
      </c>
      <c r="H160" s="94">
        <v>3865</v>
      </c>
      <c r="I160" s="13" t="s">
        <v>147</v>
      </c>
      <c r="J160" s="29" t="str">
        <f>IFERROR(VLOOKUP(I160,Map!$F$18:$G$56,2,0),"Add in Map")</f>
        <v>3P</v>
      </c>
      <c r="K160" s="29" t="str">
        <f>VLOOKUP(L160,Map!$C$18:$D$29,2,0)</f>
        <v>TOTAL</v>
      </c>
      <c r="L160" s="13" t="s">
        <v>56</v>
      </c>
      <c r="M160" s="128">
        <f>SUM(M149:M159)</f>
        <v>27262067.243586499</v>
      </c>
      <c r="N160" s="57">
        <f t="shared" si="57"/>
        <v>5179792.776281435</v>
      </c>
      <c r="O160" s="57">
        <f t="shared" si="58"/>
        <v>32441860.019867934</v>
      </c>
      <c r="P160" s="11">
        <f t="shared" si="59"/>
        <v>29536.367544514083</v>
      </c>
      <c r="Q160" s="11">
        <f t="shared" si="60"/>
        <v>5611.9098334576756</v>
      </c>
      <c r="R160" s="61">
        <f t="shared" si="61"/>
        <v>35148.277377971761</v>
      </c>
      <c r="S160" s="46">
        <f>INDEX(FX!$D$3:$O$19,MATCH(B160,FX!$B$3:$B$32,0),MATCH(D160,FX!$D$2:$O$2,0))</f>
        <v>923</v>
      </c>
      <c r="T160" s="13" t="s">
        <v>144</v>
      </c>
      <c r="U160" s="13" t="s">
        <v>32</v>
      </c>
      <c r="V160" s="13" t="s">
        <v>83</v>
      </c>
      <c r="W160" s="29" t="str">
        <f>VLOOKUP(I160,Map!$F$18:$H$51,3,0)</f>
        <v>Variable</v>
      </c>
      <c r="X160" s="90" t="s">
        <v>149</v>
      </c>
      <c r="Y160" s="109" t="str">
        <f>VLOOKUP(L160,Map!$C$18:$D$29,2,0)</f>
        <v>TOTAL</v>
      </c>
      <c r="Z160" s="53"/>
      <c r="AA160" s="57">
        <f t="shared" si="62"/>
        <v>0</v>
      </c>
      <c r="AB160" s="57">
        <f t="shared" si="63"/>
        <v>0</v>
      </c>
      <c r="AC160" s="11">
        <f t="shared" si="64"/>
        <v>0</v>
      </c>
      <c r="AD160" s="11">
        <f t="shared" si="65"/>
        <v>0</v>
      </c>
      <c r="AE160" s="61">
        <f t="shared" si="66"/>
        <v>0</v>
      </c>
      <c r="AF160" s="87"/>
    </row>
    <row r="161" spans="2:32" s="1" customFormat="1" ht="13" hidden="1" x14ac:dyDescent="0.3">
      <c r="B161" s="12">
        <v>2026</v>
      </c>
      <c r="C161" s="12" t="s">
        <v>161</v>
      </c>
      <c r="D161" s="12" t="s">
        <v>162</v>
      </c>
      <c r="E161" s="12" t="s">
        <v>88</v>
      </c>
      <c r="F161" s="12" t="s">
        <v>80</v>
      </c>
      <c r="G161" s="83">
        <v>46218</v>
      </c>
      <c r="H161" s="93">
        <v>3868</v>
      </c>
      <c r="I161" s="12" t="s">
        <v>147</v>
      </c>
      <c r="J161" s="8" t="str">
        <f>IFERROR(VLOOKUP(I161,Map!$F$18:$G$56,2,0),"Add in Map")</f>
        <v>3P</v>
      </c>
      <c r="K161" s="8" t="str">
        <f>VLOOKUP(L161,Map!$C$18:$D$29,2,0)</f>
        <v>CNT</v>
      </c>
      <c r="L161" s="12" t="s">
        <v>31</v>
      </c>
      <c r="M161" s="52">
        <v>1393215.8490377492</v>
      </c>
      <c r="N161" s="56">
        <f t="shared" si="57"/>
        <v>0</v>
      </c>
      <c r="O161" s="56">
        <f t="shared" si="58"/>
        <v>1657926.8603549215</v>
      </c>
      <c r="P161" s="31">
        <f t="shared" si="59"/>
        <v>1509.4429567039538</v>
      </c>
      <c r="Q161" s="31">
        <f t="shared" si="60"/>
        <v>0</v>
      </c>
      <c r="R161" s="60">
        <f t="shared" ref="R161:R196" si="67">P161*1.19</f>
        <v>1796.2371184777048</v>
      </c>
      <c r="S161" s="45">
        <f>INDEX(FX!$D$3:$O$19,MATCH(B161,FX!$B$3:$B$32,0),MATCH(D161,FX!$D$2:$O$2,0))</f>
        <v>923</v>
      </c>
      <c r="T161" s="12" t="s">
        <v>143</v>
      </c>
      <c r="U161" s="12" t="s">
        <v>155</v>
      </c>
      <c r="V161" s="12" t="s">
        <v>83</v>
      </c>
      <c r="W161" s="8" t="str">
        <f>VLOOKUP(I161,Map!$F$18:$H$51,3,0)</f>
        <v>Variable</v>
      </c>
      <c r="X161" s="88" t="s">
        <v>149</v>
      </c>
      <c r="Y161" s="107" t="str">
        <f>VLOOKUP(L161,Map!$C$18:$D$29,2,0)</f>
        <v>CNT</v>
      </c>
      <c r="Z161" s="52"/>
      <c r="AA161" s="56">
        <f t="shared" ref="AA161:AA196" si="68">IF(Y161="TOTAL",(Z161*0.19),0)</f>
        <v>0</v>
      </c>
      <c r="AB161" s="56">
        <f t="shared" ref="AB161:AB196" si="69">Z161*1.19</f>
        <v>0</v>
      </c>
      <c r="AC161" s="31">
        <f t="shared" ref="AC161:AC196" si="70">Z161/S161</f>
        <v>0</v>
      </c>
      <c r="AD161" s="31">
        <f t="shared" ref="AD161:AD196" si="71">IF(Y161="TOTAL",(AC161*0.19),0)</f>
        <v>0</v>
      </c>
      <c r="AE161" s="60">
        <f t="shared" ref="AE161:AE196" si="72">AC161*1.19</f>
        <v>0</v>
      </c>
      <c r="AF161" s="8"/>
    </row>
    <row r="162" spans="2:32" s="1" customFormat="1" ht="13" hidden="1" x14ac:dyDescent="0.3">
      <c r="B162" s="12">
        <v>2026</v>
      </c>
      <c r="C162" s="12" t="s">
        <v>161</v>
      </c>
      <c r="D162" s="12" t="s">
        <v>162</v>
      </c>
      <c r="E162" s="12" t="s">
        <v>88</v>
      </c>
      <c r="F162" s="12" t="s">
        <v>80</v>
      </c>
      <c r="G162" s="83">
        <v>46218</v>
      </c>
      <c r="H162" s="93">
        <v>3868</v>
      </c>
      <c r="I162" s="12" t="s">
        <v>147</v>
      </c>
      <c r="J162" s="8" t="str">
        <f>IFERROR(VLOOKUP(I162,Map!$F$18:$G$56,2,0),"Add in Map")</f>
        <v>3P</v>
      </c>
      <c r="K162" s="8" t="str">
        <f>VLOOKUP(L162,Map!$C$18:$D$29,2,0)</f>
        <v>CVT</v>
      </c>
      <c r="L162" s="12" t="s">
        <v>36</v>
      </c>
      <c r="M162" s="52">
        <v>26911.006832157069</v>
      </c>
      <c r="N162" s="56">
        <f t="shared" si="57"/>
        <v>0</v>
      </c>
      <c r="O162" s="56">
        <f t="shared" si="58"/>
        <v>32024.09813026691</v>
      </c>
      <c r="P162" s="31">
        <f t="shared" si="59"/>
        <v>29.156020403203758</v>
      </c>
      <c r="Q162" s="31">
        <f t="shared" si="60"/>
        <v>0</v>
      </c>
      <c r="R162" s="60">
        <f t="shared" si="67"/>
        <v>34.695664279812469</v>
      </c>
      <c r="S162" s="45">
        <f>INDEX(FX!$D$3:$O$19,MATCH(B162,FX!$B$3:$B$32,0),MATCH(D162,FX!$D$2:$O$2,0))</f>
        <v>923</v>
      </c>
      <c r="T162" s="12" t="s">
        <v>143</v>
      </c>
      <c r="U162" s="12" t="s">
        <v>155</v>
      </c>
      <c r="V162" s="12" t="s">
        <v>83</v>
      </c>
      <c r="W162" s="8" t="str">
        <f>VLOOKUP(I162,Map!$F$18:$H$51,3,0)</f>
        <v>Variable</v>
      </c>
      <c r="X162" s="88" t="s">
        <v>149</v>
      </c>
      <c r="Y162" s="107" t="str">
        <f>VLOOKUP(L162,Map!$C$18:$D$29,2,0)</f>
        <v>CVT</v>
      </c>
      <c r="Z162" s="52"/>
      <c r="AA162" s="56">
        <f t="shared" si="68"/>
        <v>0</v>
      </c>
      <c r="AB162" s="56">
        <f t="shared" si="69"/>
        <v>0</v>
      </c>
      <c r="AC162" s="31">
        <f t="shared" si="70"/>
        <v>0</v>
      </c>
      <c r="AD162" s="31">
        <f t="shared" si="71"/>
        <v>0</v>
      </c>
      <c r="AE162" s="60">
        <f t="shared" si="72"/>
        <v>0</v>
      </c>
      <c r="AF162" s="8"/>
    </row>
    <row r="163" spans="2:32" s="1" customFormat="1" ht="13" hidden="1" x14ac:dyDescent="0.3">
      <c r="B163" s="12">
        <v>2026</v>
      </c>
      <c r="C163" s="12" t="s">
        <v>161</v>
      </c>
      <c r="D163" s="12" t="s">
        <v>162</v>
      </c>
      <c r="E163" s="12" t="s">
        <v>88</v>
      </c>
      <c r="F163" s="12" t="s">
        <v>80</v>
      </c>
      <c r="G163" s="83">
        <v>46218</v>
      </c>
      <c r="H163" s="93">
        <v>3868</v>
      </c>
      <c r="I163" s="12" t="s">
        <v>147</v>
      </c>
      <c r="J163" s="8" t="str">
        <f>IFERROR(VLOOKUP(I163,Map!$F$18:$G$56,2,0),"Add in Map")</f>
        <v>3P</v>
      </c>
      <c r="K163" s="8" t="str">
        <f>VLOOKUP(L163,Map!$C$18:$D$29,2,0)</f>
        <v>CDT</v>
      </c>
      <c r="L163" s="12" t="s">
        <v>38</v>
      </c>
      <c r="M163" s="52">
        <v>46712.391656984197</v>
      </c>
      <c r="N163" s="56">
        <f t="shared" si="57"/>
        <v>0</v>
      </c>
      <c r="O163" s="56">
        <f t="shared" si="58"/>
        <v>55587.746071811191</v>
      </c>
      <c r="P163" s="31">
        <f t="shared" si="59"/>
        <v>50.609308404099885</v>
      </c>
      <c r="Q163" s="31">
        <f t="shared" si="60"/>
        <v>0</v>
      </c>
      <c r="R163" s="60">
        <f t="shared" si="67"/>
        <v>60.225077000878862</v>
      </c>
      <c r="S163" s="45">
        <f>INDEX(FX!$D$3:$O$19,MATCH(B163,FX!$B$3:$B$32,0),MATCH(D163,FX!$D$2:$O$2,0))</f>
        <v>923</v>
      </c>
      <c r="T163" s="12" t="s">
        <v>143</v>
      </c>
      <c r="U163" s="12" t="s">
        <v>155</v>
      </c>
      <c r="V163" s="12" t="s">
        <v>83</v>
      </c>
      <c r="W163" s="8" t="str">
        <f>VLOOKUP(I163,Map!$F$18:$H$51,3,0)</f>
        <v>Variable</v>
      </c>
      <c r="X163" s="88" t="s">
        <v>149</v>
      </c>
      <c r="Y163" s="107" t="str">
        <f>VLOOKUP(L163,Map!$C$18:$D$29,2,0)</f>
        <v>CDT</v>
      </c>
      <c r="Z163" s="52"/>
      <c r="AA163" s="56">
        <f t="shared" si="68"/>
        <v>0</v>
      </c>
      <c r="AB163" s="56">
        <f t="shared" si="69"/>
        <v>0</v>
      </c>
      <c r="AC163" s="31">
        <f t="shared" si="70"/>
        <v>0</v>
      </c>
      <c r="AD163" s="31">
        <f t="shared" si="71"/>
        <v>0</v>
      </c>
      <c r="AE163" s="60">
        <f t="shared" si="72"/>
        <v>0</v>
      </c>
      <c r="AF163" s="8"/>
    </row>
    <row r="164" spans="2:32" s="1" customFormat="1" ht="13" hidden="1" x14ac:dyDescent="0.3">
      <c r="B164" s="12">
        <v>2026</v>
      </c>
      <c r="C164" s="12" t="s">
        <v>161</v>
      </c>
      <c r="D164" s="12" t="s">
        <v>162</v>
      </c>
      <c r="E164" s="12" t="s">
        <v>88</v>
      </c>
      <c r="F164" s="12" t="s">
        <v>80</v>
      </c>
      <c r="G164" s="83">
        <v>46218</v>
      </c>
      <c r="H164" s="93">
        <v>3868</v>
      </c>
      <c r="I164" s="12" t="s">
        <v>147</v>
      </c>
      <c r="J164" s="8" t="str">
        <f>IFERROR(VLOOKUP(I164,Map!$F$18:$G$56,2,0),"Add in Map")</f>
        <v>3P</v>
      </c>
      <c r="K164" s="8" t="str">
        <f>VLOOKUP(L164,Map!$C$18:$D$29,2,0)</f>
        <v>DFT</v>
      </c>
      <c r="L164" s="12" t="s">
        <v>40</v>
      </c>
      <c r="M164" s="52">
        <v>2614926.1038586954</v>
      </c>
      <c r="N164" s="56">
        <f t="shared" si="57"/>
        <v>0</v>
      </c>
      <c r="O164" s="56">
        <f t="shared" si="58"/>
        <v>3111762.0635918472</v>
      </c>
      <c r="P164" s="31">
        <f t="shared" si="59"/>
        <v>2833.072701905412</v>
      </c>
      <c r="Q164" s="31">
        <f t="shared" si="60"/>
        <v>0</v>
      </c>
      <c r="R164" s="60">
        <f t="shared" si="67"/>
        <v>3371.35651526744</v>
      </c>
      <c r="S164" s="45">
        <f>INDEX(FX!$D$3:$O$19,MATCH(B164,FX!$B$3:$B$32,0),MATCH(D164,FX!$D$2:$O$2,0))</f>
        <v>923</v>
      </c>
      <c r="T164" s="12" t="s">
        <v>143</v>
      </c>
      <c r="U164" s="12" t="s">
        <v>155</v>
      </c>
      <c r="V164" s="12" t="s">
        <v>83</v>
      </c>
      <c r="W164" s="8" t="str">
        <f>VLOOKUP(I164,Map!$F$18:$H$51,3,0)</f>
        <v>Variable</v>
      </c>
      <c r="X164" s="88" t="s">
        <v>149</v>
      </c>
      <c r="Y164" s="107" t="str">
        <f>VLOOKUP(L164,Map!$C$18:$D$29,2,0)</f>
        <v>DFT</v>
      </c>
      <c r="Z164" s="52"/>
      <c r="AA164" s="56">
        <f t="shared" si="68"/>
        <v>0</v>
      </c>
      <c r="AB164" s="56">
        <f t="shared" si="69"/>
        <v>0</v>
      </c>
      <c r="AC164" s="31">
        <f t="shared" si="70"/>
        <v>0</v>
      </c>
      <c r="AD164" s="31">
        <f t="shared" si="71"/>
        <v>0</v>
      </c>
      <c r="AE164" s="60">
        <f t="shared" si="72"/>
        <v>0</v>
      </c>
      <c r="AF164" s="8"/>
    </row>
    <row r="165" spans="2:32" s="1" customFormat="1" ht="13" hidden="1" x14ac:dyDescent="0.3">
      <c r="B165" s="12">
        <v>2026</v>
      </c>
      <c r="C165" s="12" t="s">
        <v>161</v>
      </c>
      <c r="D165" s="12" t="s">
        <v>162</v>
      </c>
      <c r="E165" s="12" t="s">
        <v>88</v>
      </c>
      <c r="F165" s="12" t="s">
        <v>80</v>
      </c>
      <c r="G165" s="83">
        <v>46218</v>
      </c>
      <c r="H165" s="93">
        <v>3868</v>
      </c>
      <c r="I165" s="12" t="s">
        <v>147</v>
      </c>
      <c r="J165" s="8" t="str">
        <f>IFERROR(VLOOKUP(I165,Map!$F$18:$G$56,2,0),"Add in Map")</f>
        <v>3P</v>
      </c>
      <c r="K165" s="8" t="str">
        <f>VLOOKUP(L165,Map!$C$18:$D$29,2,0)</f>
        <v>DVT</v>
      </c>
      <c r="L165" s="12" t="s">
        <v>42</v>
      </c>
      <c r="M165" s="52">
        <v>14436.49320217738</v>
      </c>
      <c r="N165" s="56">
        <f t="shared" si="57"/>
        <v>0</v>
      </c>
      <c r="O165" s="56">
        <f t="shared" si="58"/>
        <v>17179.426910591083</v>
      </c>
      <c r="P165" s="31">
        <f t="shared" si="59"/>
        <v>15.640837705500953</v>
      </c>
      <c r="Q165" s="31">
        <f t="shared" si="60"/>
        <v>0</v>
      </c>
      <c r="R165" s="60">
        <f t="shared" si="67"/>
        <v>18.612596869546135</v>
      </c>
      <c r="S165" s="45">
        <f>INDEX(FX!$D$3:$O$19,MATCH(B165,FX!$B$3:$B$32,0),MATCH(D165,FX!$D$2:$O$2,0))</f>
        <v>923</v>
      </c>
      <c r="T165" s="12" t="s">
        <v>143</v>
      </c>
      <c r="U165" s="12" t="s">
        <v>155</v>
      </c>
      <c r="V165" s="12" t="s">
        <v>83</v>
      </c>
      <c r="W165" s="8" t="str">
        <f>VLOOKUP(I165,Map!$F$18:$H$51,3,0)</f>
        <v>Variable</v>
      </c>
      <c r="X165" s="88" t="s">
        <v>149</v>
      </c>
      <c r="Y165" s="107" t="str">
        <f>VLOOKUP(L165,Map!$C$18:$D$29,2,0)</f>
        <v>DVT</v>
      </c>
      <c r="Z165" s="52"/>
      <c r="AA165" s="56">
        <f t="shared" si="68"/>
        <v>0</v>
      </c>
      <c r="AB165" s="56">
        <f t="shared" si="69"/>
        <v>0</v>
      </c>
      <c r="AC165" s="31">
        <f t="shared" si="70"/>
        <v>0</v>
      </c>
      <c r="AD165" s="31">
        <f t="shared" si="71"/>
        <v>0</v>
      </c>
      <c r="AE165" s="60">
        <f t="shared" si="72"/>
        <v>0</v>
      </c>
      <c r="AF165" s="8"/>
    </row>
    <row r="166" spans="2:32" s="1" customFormat="1" ht="13" hidden="1" x14ac:dyDescent="0.3">
      <c r="B166" s="12">
        <v>2026</v>
      </c>
      <c r="C166" s="12" t="s">
        <v>161</v>
      </c>
      <c r="D166" s="12" t="s">
        <v>162</v>
      </c>
      <c r="E166" s="12" t="s">
        <v>88</v>
      </c>
      <c r="F166" s="12" t="s">
        <v>80</v>
      </c>
      <c r="G166" s="83">
        <v>46218</v>
      </c>
      <c r="H166" s="93">
        <v>3868</v>
      </c>
      <c r="I166" s="12" t="s">
        <v>147</v>
      </c>
      <c r="J166" s="8" t="str">
        <f>IFERROR(VLOOKUP(I166,Map!$F$18:$G$56,2,0),"Add in Map")</f>
        <v>3P</v>
      </c>
      <c r="K166" s="8" t="str">
        <f>VLOOKUP(L166,Map!$C$18:$D$29,2,0)</f>
        <v>GLT</v>
      </c>
      <c r="L166" s="12" t="s">
        <v>44</v>
      </c>
      <c r="M166" s="52">
        <v>2488916.6052658693</v>
      </c>
      <c r="N166" s="56">
        <f t="shared" si="57"/>
        <v>0</v>
      </c>
      <c r="O166" s="56">
        <f t="shared" si="58"/>
        <v>2961810.7602663841</v>
      </c>
      <c r="P166" s="31">
        <f t="shared" si="59"/>
        <v>2696.5510349576048</v>
      </c>
      <c r="Q166" s="31">
        <f t="shared" si="60"/>
        <v>0</v>
      </c>
      <c r="R166" s="60">
        <f t="shared" si="67"/>
        <v>3208.8957315995494</v>
      </c>
      <c r="S166" s="45">
        <f>INDEX(FX!$D$3:$O$19,MATCH(B166,FX!$B$3:$B$32,0),MATCH(D166,FX!$D$2:$O$2,0))</f>
        <v>923</v>
      </c>
      <c r="T166" s="12" t="s">
        <v>143</v>
      </c>
      <c r="U166" s="12" t="s">
        <v>155</v>
      </c>
      <c r="V166" s="12" t="s">
        <v>83</v>
      </c>
      <c r="W166" s="8" t="str">
        <f>VLOOKUP(I166,Map!$F$18:$H$51,3,0)</f>
        <v>Variable</v>
      </c>
      <c r="X166" s="88" t="s">
        <v>149</v>
      </c>
      <c r="Y166" s="107" t="str">
        <f>VLOOKUP(L166,Map!$C$18:$D$29,2,0)</f>
        <v>GLT</v>
      </c>
      <c r="Z166" s="52"/>
      <c r="AA166" s="56">
        <f t="shared" si="68"/>
        <v>0</v>
      </c>
      <c r="AB166" s="56">
        <f t="shared" si="69"/>
        <v>0</v>
      </c>
      <c r="AC166" s="31">
        <f t="shared" si="70"/>
        <v>0</v>
      </c>
      <c r="AD166" s="31">
        <f t="shared" si="71"/>
        <v>0</v>
      </c>
      <c r="AE166" s="60">
        <f t="shared" si="72"/>
        <v>0</v>
      </c>
      <c r="AF166" s="8"/>
    </row>
    <row r="167" spans="2:32" s="1" customFormat="1" ht="13" hidden="1" x14ac:dyDescent="0.3">
      <c r="B167" s="12">
        <v>2026</v>
      </c>
      <c r="C167" s="12" t="s">
        <v>161</v>
      </c>
      <c r="D167" s="12" t="s">
        <v>162</v>
      </c>
      <c r="E167" s="12" t="s">
        <v>88</v>
      </c>
      <c r="F167" s="12" t="s">
        <v>80</v>
      </c>
      <c r="G167" s="83">
        <v>46218</v>
      </c>
      <c r="H167" s="93">
        <v>3868</v>
      </c>
      <c r="I167" s="12" t="s">
        <v>147</v>
      </c>
      <c r="J167" s="8" t="str">
        <f>IFERROR(VLOOKUP(I167,Map!$F$18:$G$56,2,0),"Add in Map")</f>
        <v>3P</v>
      </c>
      <c r="K167" s="8" t="str">
        <f>VLOOKUP(L167,Map!$C$18:$D$29,2,0)</f>
        <v>PNT</v>
      </c>
      <c r="L167" s="12" t="s">
        <v>46</v>
      </c>
      <c r="M167" s="52">
        <v>78469.721798681567</v>
      </c>
      <c r="N167" s="56">
        <f t="shared" si="57"/>
        <v>0</v>
      </c>
      <c r="O167" s="56">
        <f t="shared" si="58"/>
        <v>93378.968940431063</v>
      </c>
      <c r="P167" s="31">
        <f t="shared" si="59"/>
        <v>85.015949944400404</v>
      </c>
      <c r="Q167" s="31">
        <f t="shared" si="60"/>
        <v>0</v>
      </c>
      <c r="R167" s="60">
        <f t="shared" si="67"/>
        <v>101.16898043383648</v>
      </c>
      <c r="S167" s="45">
        <f>INDEX(FX!$D$3:$O$19,MATCH(B167,FX!$B$3:$B$32,0),MATCH(D167,FX!$D$2:$O$2,0))</f>
        <v>923</v>
      </c>
      <c r="T167" s="12" t="s">
        <v>143</v>
      </c>
      <c r="U167" s="12" t="s">
        <v>155</v>
      </c>
      <c r="V167" s="12" t="s">
        <v>83</v>
      </c>
      <c r="W167" s="8" t="str">
        <f>VLOOKUP(I167,Map!$F$18:$H$51,3,0)</f>
        <v>Variable</v>
      </c>
      <c r="X167" s="88" t="s">
        <v>149</v>
      </c>
      <c r="Y167" s="107" t="str">
        <f>VLOOKUP(L167,Map!$C$18:$D$29,2,0)</f>
        <v>PNT</v>
      </c>
      <c r="Z167" s="52"/>
      <c r="AA167" s="56">
        <f t="shared" si="68"/>
        <v>0</v>
      </c>
      <c r="AB167" s="56">
        <f t="shared" si="69"/>
        <v>0</v>
      </c>
      <c r="AC167" s="31">
        <f t="shared" si="70"/>
        <v>0</v>
      </c>
      <c r="AD167" s="31">
        <f t="shared" si="71"/>
        <v>0</v>
      </c>
      <c r="AE167" s="60">
        <f t="shared" si="72"/>
        <v>0</v>
      </c>
      <c r="AF167" s="8"/>
    </row>
    <row r="168" spans="2:32" s="1" customFormat="1" ht="13" hidden="1" x14ac:dyDescent="0.3">
      <c r="B168" s="12">
        <v>2026</v>
      </c>
      <c r="C168" s="12" t="s">
        <v>161</v>
      </c>
      <c r="D168" s="12" t="s">
        <v>162</v>
      </c>
      <c r="E168" s="12" t="s">
        <v>88</v>
      </c>
      <c r="F168" s="12" t="s">
        <v>80</v>
      </c>
      <c r="G168" s="83">
        <v>46218</v>
      </c>
      <c r="H168" s="93">
        <v>3868</v>
      </c>
      <c r="I168" s="12" t="s">
        <v>147</v>
      </c>
      <c r="J168" s="8" t="str">
        <f>IFERROR(VLOOKUP(I168,Map!$F$18:$G$56,2,0),"Add in Map")</f>
        <v>3P</v>
      </c>
      <c r="K168" s="8" t="str">
        <f>VLOOKUP(L168,Map!$C$18:$D$29,2,0)</f>
        <v>GTT</v>
      </c>
      <c r="L168" s="12" t="s">
        <v>48</v>
      </c>
      <c r="M168" s="52">
        <v>108298.65862135787</v>
      </c>
      <c r="N168" s="56">
        <f t="shared" si="57"/>
        <v>0</v>
      </c>
      <c r="O168" s="56">
        <f t="shared" si="58"/>
        <v>128875.40375941586</v>
      </c>
      <c r="P168" s="31">
        <f t="shared" si="59"/>
        <v>117.33332461685576</v>
      </c>
      <c r="Q168" s="31">
        <f t="shared" si="60"/>
        <v>0</v>
      </c>
      <c r="R168" s="60">
        <f t="shared" si="67"/>
        <v>139.62665629405836</v>
      </c>
      <c r="S168" s="45">
        <f>INDEX(FX!$D$3:$O$19,MATCH(B168,FX!$B$3:$B$32,0),MATCH(D168,FX!$D$2:$O$2,0))</f>
        <v>923</v>
      </c>
      <c r="T168" s="12" t="s">
        <v>143</v>
      </c>
      <c r="U168" s="12" t="s">
        <v>155</v>
      </c>
      <c r="V168" s="12" t="s">
        <v>83</v>
      </c>
      <c r="W168" s="8" t="str">
        <f>VLOOKUP(I168,Map!$F$18:$H$51,3,0)</f>
        <v>Variable</v>
      </c>
      <c r="X168" s="88" t="s">
        <v>149</v>
      </c>
      <c r="Y168" s="107" t="str">
        <f>VLOOKUP(L168,Map!$C$18:$D$29,2,0)</f>
        <v>GTT</v>
      </c>
      <c r="Z168" s="52"/>
      <c r="AA168" s="56">
        <f t="shared" si="68"/>
        <v>0</v>
      </c>
      <c r="AB168" s="56">
        <f t="shared" si="69"/>
        <v>0</v>
      </c>
      <c r="AC168" s="31">
        <f t="shared" si="70"/>
        <v>0</v>
      </c>
      <c r="AD168" s="31">
        <f t="shared" si="71"/>
        <v>0</v>
      </c>
      <c r="AE168" s="60">
        <f t="shared" si="72"/>
        <v>0</v>
      </c>
      <c r="AF168" s="8"/>
    </row>
    <row r="169" spans="2:32" s="1" customFormat="1" ht="13" hidden="1" x14ac:dyDescent="0.3">
      <c r="B169" s="12">
        <v>2026</v>
      </c>
      <c r="C169" s="12" t="s">
        <v>161</v>
      </c>
      <c r="D169" s="12" t="s">
        <v>162</v>
      </c>
      <c r="E169" s="12" t="s">
        <v>88</v>
      </c>
      <c r="F169" s="12" t="s">
        <v>80</v>
      </c>
      <c r="G169" s="83">
        <v>46218</v>
      </c>
      <c r="H169" s="93">
        <v>3868</v>
      </c>
      <c r="I169" s="12" t="s">
        <v>147</v>
      </c>
      <c r="J169" s="8" t="str">
        <f>IFERROR(VLOOKUP(I169,Map!$F$18:$G$56,2,0),"Add in Map")</f>
        <v>3P</v>
      </c>
      <c r="K169" s="8" t="str">
        <f>VLOOKUP(L169,Map!$C$18:$D$29,2,0)</f>
        <v>DGT</v>
      </c>
      <c r="L169" s="12" t="s">
        <v>50</v>
      </c>
      <c r="M169" s="52">
        <v>63932.568006513087</v>
      </c>
      <c r="N169" s="56">
        <f t="shared" si="57"/>
        <v>0</v>
      </c>
      <c r="O169" s="56">
        <f t="shared" si="58"/>
        <v>76079.755927750564</v>
      </c>
      <c r="P169" s="31">
        <f t="shared" si="59"/>
        <v>69.266054178237368</v>
      </c>
      <c r="Q169" s="31">
        <f t="shared" si="60"/>
        <v>0</v>
      </c>
      <c r="R169" s="60">
        <f t="shared" si="67"/>
        <v>82.426604472102468</v>
      </c>
      <c r="S169" s="45">
        <f>INDEX(FX!$D$3:$O$19,MATCH(B169,FX!$B$3:$B$32,0),MATCH(D169,FX!$D$2:$O$2,0))</f>
        <v>923</v>
      </c>
      <c r="T169" s="12" t="s">
        <v>143</v>
      </c>
      <c r="U169" s="12" t="s">
        <v>155</v>
      </c>
      <c r="V169" s="12" t="s">
        <v>83</v>
      </c>
      <c r="W169" s="8" t="str">
        <f>VLOOKUP(I169,Map!$F$18:$H$51,3,0)</f>
        <v>Variable</v>
      </c>
      <c r="X169" s="88" t="s">
        <v>149</v>
      </c>
      <c r="Y169" s="107" t="str">
        <f>VLOOKUP(L169,Map!$C$18:$D$29,2,0)</f>
        <v>DGT</v>
      </c>
      <c r="Z169" s="52"/>
      <c r="AA169" s="56">
        <f t="shared" si="68"/>
        <v>0</v>
      </c>
      <c r="AB169" s="56">
        <f t="shared" si="69"/>
        <v>0</v>
      </c>
      <c r="AC169" s="31">
        <f t="shared" si="70"/>
        <v>0</v>
      </c>
      <c r="AD169" s="31">
        <f t="shared" si="71"/>
        <v>0</v>
      </c>
      <c r="AE169" s="60">
        <f t="shared" si="72"/>
        <v>0</v>
      </c>
      <c r="AF169" s="8"/>
    </row>
    <row r="170" spans="2:32" s="1" customFormat="1" ht="13" hidden="1" x14ac:dyDescent="0.3">
      <c r="B170" s="12">
        <v>2026</v>
      </c>
      <c r="C170" s="12" t="s">
        <v>161</v>
      </c>
      <c r="D170" s="12" t="s">
        <v>162</v>
      </c>
      <c r="E170" s="12" t="s">
        <v>88</v>
      </c>
      <c r="F170" s="12" t="s">
        <v>80</v>
      </c>
      <c r="G170" s="83">
        <v>46218</v>
      </c>
      <c r="H170" s="93">
        <v>3868</v>
      </c>
      <c r="I170" s="12" t="s">
        <v>147</v>
      </c>
      <c r="J170" s="8" t="str">
        <f>IFERROR(VLOOKUP(I170,Map!$F$18:$G$56,2,0),"Add in Map")</f>
        <v>3P</v>
      </c>
      <c r="K170" s="8" t="str">
        <f>VLOOKUP(L170,Map!$C$18:$D$29,2,0)</f>
        <v>DLT</v>
      </c>
      <c r="L170" s="12" t="s">
        <v>52</v>
      </c>
      <c r="M170" s="52">
        <v>25365.769219814498</v>
      </c>
      <c r="N170" s="56">
        <f t="shared" si="57"/>
        <v>0</v>
      </c>
      <c r="O170" s="56">
        <f t="shared" si="58"/>
        <v>30185.265371579251</v>
      </c>
      <c r="P170" s="31">
        <f t="shared" si="59"/>
        <v>27.481873477588838</v>
      </c>
      <c r="Q170" s="31">
        <f t="shared" si="60"/>
        <v>0</v>
      </c>
      <c r="R170" s="60">
        <f t="shared" si="67"/>
        <v>32.703429438330716</v>
      </c>
      <c r="S170" s="45">
        <f>INDEX(FX!$D$3:$O$19,MATCH(B170,FX!$B$3:$B$32,0),MATCH(D170,FX!$D$2:$O$2,0))</f>
        <v>923</v>
      </c>
      <c r="T170" s="12" t="s">
        <v>143</v>
      </c>
      <c r="U170" s="12" t="s">
        <v>155</v>
      </c>
      <c r="V170" s="12" t="s">
        <v>83</v>
      </c>
      <c r="W170" s="8" t="str">
        <f>VLOOKUP(I170,Map!$F$18:$H$51,3,0)</f>
        <v>Variable</v>
      </c>
      <c r="X170" s="88" t="s">
        <v>149</v>
      </c>
      <c r="Y170" s="107" t="str">
        <f>VLOOKUP(L170,Map!$C$18:$D$29,2,0)</f>
        <v>DLT</v>
      </c>
      <c r="Z170" s="52"/>
      <c r="AA170" s="56">
        <f t="shared" si="68"/>
        <v>0</v>
      </c>
      <c r="AB170" s="56">
        <f t="shared" si="69"/>
        <v>0</v>
      </c>
      <c r="AC170" s="31">
        <f t="shared" si="70"/>
        <v>0</v>
      </c>
      <c r="AD170" s="31">
        <f t="shared" si="71"/>
        <v>0</v>
      </c>
      <c r="AE170" s="60">
        <f t="shared" si="72"/>
        <v>0</v>
      </c>
      <c r="AF170" s="8"/>
    </row>
    <row r="171" spans="2:32" s="1" customFormat="1" ht="13" hidden="1" x14ac:dyDescent="0.3">
      <c r="B171" s="12">
        <v>2026</v>
      </c>
      <c r="C171" s="12" t="s">
        <v>161</v>
      </c>
      <c r="D171" s="12" t="s">
        <v>162</v>
      </c>
      <c r="E171" s="12" t="s">
        <v>88</v>
      </c>
      <c r="F171" s="12" t="s">
        <v>80</v>
      </c>
      <c r="G171" s="83">
        <v>46218</v>
      </c>
      <c r="H171" s="93">
        <v>3868</v>
      </c>
      <c r="I171" s="12" t="s">
        <v>147</v>
      </c>
      <c r="J171" s="8" t="str">
        <f>IFERROR(VLOOKUP(I171,Map!$F$18:$G$56,2,0),"Add in Map")</f>
        <v>3P</v>
      </c>
      <c r="K171" s="8" t="str">
        <f>VLOOKUP(L171,Map!$C$18:$D$29,2,0)</f>
        <v>DMT</v>
      </c>
      <c r="L171" s="12" t="s">
        <v>54</v>
      </c>
      <c r="M171" s="52">
        <v>0</v>
      </c>
      <c r="N171" s="56">
        <f t="shared" si="57"/>
        <v>0</v>
      </c>
      <c r="O171" s="56">
        <f t="shared" si="58"/>
        <v>0</v>
      </c>
      <c r="P171" s="48">
        <f t="shared" si="59"/>
        <v>0</v>
      </c>
      <c r="Q171" s="31">
        <f t="shared" si="60"/>
        <v>0</v>
      </c>
      <c r="R171" s="60">
        <f t="shared" si="67"/>
        <v>0</v>
      </c>
      <c r="S171" s="45">
        <f>INDEX(FX!$D$3:$O$19,MATCH(B171,FX!$B$3:$B$32,0),MATCH(D171,FX!$D$2:$O$2,0))</f>
        <v>923</v>
      </c>
      <c r="T171" s="12" t="s">
        <v>143</v>
      </c>
      <c r="U171" s="12" t="s">
        <v>155</v>
      </c>
      <c r="V171" s="12" t="s">
        <v>83</v>
      </c>
      <c r="W171" s="8" t="str">
        <f>VLOOKUP(I171,Map!$F$18:$H$51,3,0)</f>
        <v>Variable</v>
      </c>
      <c r="X171" s="88" t="s">
        <v>149</v>
      </c>
      <c r="Y171" s="107" t="str">
        <f>VLOOKUP(L171,Map!$C$18:$D$29,2,0)</f>
        <v>DMT</v>
      </c>
      <c r="Z171" s="52"/>
      <c r="AA171" s="56">
        <f t="shared" si="68"/>
        <v>0</v>
      </c>
      <c r="AB171" s="56">
        <f t="shared" si="69"/>
        <v>0</v>
      </c>
      <c r="AC171" s="48">
        <f t="shared" si="70"/>
        <v>0</v>
      </c>
      <c r="AD171" s="31">
        <f t="shared" si="71"/>
        <v>0</v>
      </c>
      <c r="AE171" s="60">
        <f t="shared" si="72"/>
        <v>0</v>
      </c>
      <c r="AF171" s="8"/>
    </row>
    <row r="172" spans="2:32" s="37" customFormat="1" hidden="1" x14ac:dyDescent="0.35">
      <c r="B172" s="13">
        <v>2026</v>
      </c>
      <c r="C172" s="13" t="s">
        <v>161</v>
      </c>
      <c r="D172" s="13" t="s">
        <v>162</v>
      </c>
      <c r="E172" s="13" t="s">
        <v>88</v>
      </c>
      <c r="F172" s="13" t="s">
        <v>80</v>
      </c>
      <c r="G172" s="85">
        <v>46218</v>
      </c>
      <c r="H172" s="94">
        <v>3868</v>
      </c>
      <c r="I172" s="13" t="s">
        <v>147</v>
      </c>
      <c r="J172" s="29" t="str">
        <f>IFERROR(VLOOKUP(I172,Map!$F$18:$G$56,2,0),"Add in Map")</f>
        <v>3P</v>
      </c>
      <c r="K172" s="29" t="str">
        <f>VLOOKUP(L172,Map!$C$18:$D$29,2,0)</f>
        <v>TOTAL</v>
      </c>
      <c r="L172" s="13" t="s">
        <v>56</v>
      </c>
      <c r="M172" s="128">
        <f>SUM(M161:M171)</f>
        <v>6861185.1674999995</v>
      </c>
      <c r="N172" s="57">
        <f t="shared" si="57"/>
        <v>1303625.1818249999</v>
      </c>
      <c r="O172" s="57">
        <f t="shared" si="58"/>
        <v>8164810.3493249994</v>
      </c>
      <c r="P172" s="11">
        <f t="shared" si="59"/>
        <v>7433.5700622968579</v>
      </c>
      <c r="Q172" s="11">
        <f t="shared" si="60"/>
        <v>1412.3783118364031</v>
      </c>
      <c r="R172" s="61">
        <f t="shared" si="67"/>
        <v>8845.9483741332606</v>
      </c>
      <c r="S172" s="46">
        <f>INDEX(FX!$D$3:$O$19,MATCH(B172,FX!$B$3:$B$32,0),MATCH(D172,FX!$D$2:$O$2,0))</f>
        <v>923</v>
      </c>
      <c r="T172" s="13" t="s">
        <v>143</v>
      </c>
      <c r="U172" s="13" t="s">
        <v>155</v>
      </c>
      <c r="V172" s="13" t="s">
        <v>83</v>
      </c>
      <c r="W172" s="29" t="str">
        <f>VLOOKUP(I172,Map!$F$18:$H$51,3,0)</f>
        <v>Variable</v>
      </c>
      <c r="X172" s="90" t="s">
        <v>149</v>
      </c>
      <c r="Y172" s="109" t="str">
        <f>VLOOKUP(L172,Map!$C$18:$D$29,2,0)</f>
        <v>TOTAL</v>
      </c>
      <c r="Z172" s="53"/>
      <c r="AA172" s="57">
        <f t="shared" si="68"/>
        <v>0</v>
      </c>
      <c r="AB172" s="57">
        <f t="shared" si="69"/>
        <v>0</v>
      </c>
      <c r="AC172" s="11">
        <f t="shared" si="70"/>
        <v>0</v>
      </c>
      <c r="AD172" s="11">
        <f t="shared" si="71"/>
        <v>0</v>
      </c>
      <c r="AE172" s="61">
        <f t="shared" si="72"/>
        <v>0</v>
      </c>
      <c r="AF172" s="87"/>
    </row>
    <row r="173" spans="2:32" s="1" customFormat="1" ht="13" hidden="1" x14ac:dyDescent="0.3">
      <c r="B173" s="12">
        <v>2026</v>
      </c>
      <c r="C173" s="12" t="s">
        <v>160</v>
      </c>
      <c r="D173" s="12" t="s">
        <v>162</v>
      </c>
      <c r="E173" s="12" t="s">
        <v>88</v>
      </c>
      <c r="F173" s="12" t="s">
        <v>80</v>
      </c>
      <c r="G173" s="83">
        <v>46218</v>
      </c>
      <c r="H173" s="93">
        <v>3865</v>
      </c>
      <c r="I173" s="12" t="s">
        <v>147</v>
      </c>
      <c r="J173" s="8" t="str">
        <f>IFERROR(VLOOKUP(I173,Map!$F$18:$G$56,2,0),"Add in Map")</f>
        <v>3P</v>
      </c>
      <c r="K173" s="8" t="str">
        <f>VLOOKUP(L173,Map!$C$18:$D$29,2,0)</f>
        <v>CNT</v>
      </c>
      <c r="L173" s="12" t="s">
        <v>31</v>
      </c>
      <c r="M173" s="52">
        <v>1667877.4898939773</v>
      </c>
      <c r="N173" s="56">
        <f t="shared" si="57"/>
        <v>0</v>
      </c>
      <c r="O173" s="56">
        <f t="shared" si="58"/>
        <v>1984774.2129738329</v>
      </c>
      <c r="P173" s="31">
        <f t="shared" si="59"/>
        <v>1807.0178655406037</v>
      </c>
      <c r="Q173" s="31">
        <f t="shared" si="60"/>
        <v>0</v>
      </c>
      <c r="R173" s="60">
        <f t="shared" si="67"/>
        <v>2150.3512599933183</v>
      </c>
      <c r="S173" s="45">
        <f>INDEX(FX!$D$3:$O$19,MATCH(B173,FX!$B$3:$B$32,0),MATCH(D173,FX!$D$2:$O$2,0))</f>
        <v>923</v>
      </c>
      <c r="T173" s="12" t="s">
        <v>142</v>
      </c>
      <c r="U173" s="12" t="s">
        <v>32</v>
      </c>
      <c r="V173" s="12" t="s">
        <v>83</v>
      </c>
      <c r="W173" s="8" t="str">
        <f>VLOOKUP(I173,Map!$F$18:$H$51,3,0)</f>
        <v>Variable</v>
      </c>
      <c r="X173" s="88" t="s">
        <v>149</v>
      </c>
      <c r="Y173" s="107" t="str">
        <f>VLOOKUP(L173,Map!$C$18:$D$29,2,0)</f>
        <v>CNT</v>
      </c>
      <c r="Z173" s="52"/>
      <c r="AA173" s="56">
        <f t="shared" si="68"/>
        <v>0</v>
      </c>
      <c r="AB173" s="56">
        <f t="shared" si="69"/>
        <v>0</v>
      </c>
      <c r="AC173" s="31">
        <f t="shared" si="70"/>
        <v>0</v>
      </c>
      <c r="AD173" s="31">
        <f t="shared" si="71"/>
        <v>0</v>
      </c>
      <c r="AE173" s="60">
        <f t="shared" si="72"/>
        <v>0</v>
      </c>
      <c r="AF173" s="8"/>
    </row>
    <row r="174" spans="2:32" s="1" customFormat="1" ht="13" hidden="1" x14ac:dyDescent="0.3">
      <c r="B174" s="12">
        <v>2026</v>
      </c>
      <c r="C174" s="12" t="s">
        <v>160</v>
      </c>
      <c r="D174" s="12" t="s">
        <v>162</v>
      </c>
      <c r="E174" s="12" t="s">
        <v>88</v>
      </c>
      <c r="F174" s="12" t="s">
        <v>80</v>
      </c>
      <c r="G174" s="83">
        <v>46218</v>
      </c>
      <c r="H174" s="93">
        <v>3865</v>
      </c>
      <c r="I174" s="12" t="s">
        <v>147</v>
      </c>
      <c r="J174" s="8" t="str">
        <f>IFERROR(VLOOKUP(I174,Map!$F$18:$G$56,2,0),"Add in Map")</f>
        <v>3P</v>
      </c>
      <c r="K174" s="8" t="str">
        <f>VLOOKUP(L174,Map!$C$18:$D$29,2,0)</f>
        <v>CVT</v>
      </c>
      <c r="L174" s="12" t="s">
        <v>36</v>
      </c>
      <c r="M174" s="52">
        <v>32216.30198704527</v>
      </c>
      <c r="N174" s="56">
        <f t="shared" si="57"/>
        <v>0</v>
      </c>
      <c r="O174" s="56">
        <f t="shared" si="58"/>
        <v>38337.399364583871</v>
      </c>
      <c r="P174" s="31">
        <f t="shared" si="59"/>
        <v>34.903902477838862</v>
      </c>
      <c r="Q174" s="31">
        <f t="shared" si="60"/>
        <v>0</v>
      </c>
      <c r="R174" s="60">
        <f t="shared" si="67"/>
        <v>41.535643948628241</v>
      </c>
      <c r="S174" s="45">
        <f>INDEX(FX!$D$3:$O$19,MATCH(B174,FX!$B$3:$B$32,0),MATCH(D174,FX!$D$2:$O$2,0))</f>
        <v>923</v>
      </c>
      <c r="T174" s="12" t="s">
        <v>142</v>
      </c>
      <c r="U174" s="12" t="s">
        <v>32</v>
      </c>
      <c r="V174" s="12" t="s">
        <v>83</v>
      </c>
      <c r="W174" s="8" t="str">
        <f>VLOOKUP(I174,Map!$F$18:$H$51,3,0)</f>
        <v>Variable</v>
      </c>
      <c r="X174" s="88" t="s">
        <v>149</v>
      </c>
      <c r="Y174" s="107" t="str">
        <f>VLOOKUP(L174,Map!$C$18:$D$29,2,0)</f>
        <v>CVT</v>
      </c>
      <c r="Z174" s="52"/>
      <c r="AA174" s="56">
        <f t="shared" si="68"/>
        <v>0</v>
      </c>
      <c r="AB174" s="56">
        <f t="shared" si="69"/>
        <v>0</v>
      </c>
      <c r="AC174" s="31">
        <f t="shared" si="70"/>
        <v>0</v>
      </c>
      <c r="AD174" s="31">
        <f t="shared" si="71"/>
        <v>0</v>
      </c>
      <c r="AE174" s="60">
        <f t="shared" si="72"/>
        <v>0</v>
      </c>
      <c r="AF174" s="8"/>
    </row>
    <row r="175" spans="2:32" s="1" customFormat="1" ht="13" hidden="1" x14ac:dyDescent="0.3">
      <c r="B175" s="12">
        <v>2026</v>
      </c>
      <c r="C175" s="12" t="s">
        <v>160</v>
      </c>
      <c r="D175" s="12" t="s">
        <v>162</v>
      </c>
      <c r="E175" s="12" t="s">
        <v>88</v>
      </c>
      <c r="F175" s="12" t="s">
        <v>80</v>
      </c>
      <c r="G175" s="83">
        <v>46218</v>
      </c>
      <c r="H175" s="93">
        <v>3865</v>
      </c>
      <c r="I175" s="12" t="s">
        <v>147</v>
      </c>
      <c r="J175" s="8" t="str">
        <f>IFERROR(VLOOKUP(I175,Map!$F$18:$G$56,2,0),"Add in Map")</f>
        <v>3P</v>
      </c>
      <c r="K175" s="8" t="str">
        <f>VLOOKUP(L175,Map!$C$18:$D$29,2,0)</f>
        <v>CDT</v>
      </c>
      <c r="L175" s="12" t="s">
        <v>38</v>
      </c>
      <c r="M175" s="52">
        <v>55921.375426216655</v>
      </c>
      <c r="N175" s="56">
        <f t="shared" si="57"/>
        <v>0</v>
      </c>
      <c r="O175" s="56">
        <f t="shared" si="58"/>
        <v>66546.436757197822</v>
      </c>
      <c r="P175" s="31">
        <f t="shared" si="59"/>
        <v>60.58653892331165</v>
      </c>
      <c r="Q175" s="31">
        <f t="shared" si="60"/>
        <v>0</v>
      </c>
      <c r="R175" s="60">
        <f t="shared" si="67"/>
        <v>72.097981318740864</v>
      </c>
      <c r="S175" s="45">
        <f>INDEX(FX!$D$3:$O$19,MATCH(B175,FX!$B$3:$B$32,0),MATCH(D175,FX!$D$2:$O$2,0))</f>
        <v>923</v>
      </c>
      <c r="T175" s="12" t="s">
        <v>142</v>
      </c>
      <c r="U175" s="12" t="s">
        <v>32</v>
      </c>
      <c r="V175" s="12" t="s">
        <v>83</v>
      </c>
      <c r="W175" s="8" t="str">
        <f>VLOOKUP(I175,Map!$F$18:$H$51,3,0)</f>
        <v>Variable</v>
      </c>
      <c r="X175" s="88" t="s">
        <v>149</v>
      </c>
      <c r="Y175" s="107" t="str">
        <f>VLOOKUP(L175,Map!$C$18:$D$29,2,0)</f>
        <v>CDT</v>
      </c>
      <c r="Z175" s="52"/>
      <c r="AA175" s="56">
        <f t="shared" si="68"/>
        <v>0</v>
      </c>
      <c r="AB175" s="56">
        <f t="shared" si="69"/>
        <v>0</v>
      </c>
      <c r="AC175" s="31">
        <f t="shared" si="70"/>
        <v>0</v>
      </c>
      <c r="AD175" s="31">
        <f t="shared" si="71"/>
        <v>0</v>
      </c>
      <c r="AE175" s="60">
        <f t="shared" si="72"/>
        <v>0</v>
      </c>
      <c r="AF175" s="8"/>
    </row>
    <row r="176" spans="2:32" s="1" customFormat="1" ht="13" hidden="1" x14ac:dyDescent="0.3">
      <c r="B176" s="12">
        <v>2026</v>
      </c>
      <c r="C176" s="12" t="s">
        <v>160</v>
      </c>
      <c r="D176" s="12" t="s">
        <v>162</v>
      </c>
      <c r="E176" s="12" t="s">
        <v>88</v>
      </c>
      <c r="F176" s="12" t="s">
        <v>80</v>
      </c>
      <c r="G176" s="83">
        <v>46218</v>
      </c>
      <c r="H176" s="93">
        <v>3865</v>
      </c>
      <c r="I176" s="12" t="s">
        <v>147</v>
      </c>
      <c r="J176" s="8" t="str">
        <f>IFERROR(VLOOKUP(I176,Map!$F$18:$G$56,2,0),"Add in Map")</f>
        <v>3P</v>
      </c>
      <c r="K176" s="8" t="str">
        <f>VLOOKUP(L176,Map!$C$18:$D$29,2,0)</f>
        <v>DFT</v>
      </c>
      <c r="L176" s="12" t="s">
        <v>40</v>
      </c>
      <c r="M176" s="52">
        <v>3130438.3950084583</v>
      </c>
      <c r="N176" s="56">
        <f t="shared" ref="N176:N184" si="73">IF(L176="TOTAL",(M176*0.19),0)</f>
        <v>0</v>
      </c>
      <c r="O176" s="56">
        <f t="shared" ref="O176:O184" si="74">M176*1.19</f>
        <v>3725221.6900600651</v>
      </c>
      <c r="P176" s="31">
        <f t="shared" ref="P176:P184" si="75">M176/S176</f>
        <v>3391.5908938336493</v>
      </c>
      <c r="Q176" s="31">
        <f t="shared" ref="Q176:Q184" si="76">IF(L176="TOTAL",(P176*0.19),0)</f>
        <v>0</v>
      </c>
      <c r="R176" s="60">
        <f t="shared" si="67"/>
        <v>4035.9931636620427</v>
      </c>
      <c r="S176" s="45">
        <f>INDEX(FX!$D$3:$O$19,MATCH(B176,FX!$B$3:$B$32,0),MATCH(D176,FX!$D$2:$O$2,0))</f>
        <v>923</v>
      </c>
      <c r="T176" s="12" t="s">
        <v>142</v>
      </c>
      <c r="U176" s="12" t="s">
        <v>32</v>
      </c>
      <c r="V176" s="12" t="s">
        <v>83</v>
      </c>
      <c r="W176" s="8" t="str">
        <f>VLOOKUP(I176,Map!$F$18:$H$51,3,0)</f>
        <v>Variable</v>
      </c>
      <c r="X176" s="88" t="s">
        <v>149</v>
      </c>
      <c r="Y176" s="107" t="str">
        <f>VLOOKUP(L176,Map!$C$18:$D$29,2,0)</f>
        <v>DFT</v>
      </c>
      <c r="Z176" s="52"/>
      <c r="AA176" s="56">
        <f t="shared" si="68"/>
        <v>0</v>
      </c>
      <c r="AB176" s="56">
        <f t="shared" si="69"/>
        <v>0</v>
      </c>
      <c r="AC176" s="31">
        <f t="shared" si="70"/>
        <v>0</v>
      </c>
      <c r="AD176" s="31">
        <f t="shared" si="71"/>
        <v>0</v>
      </c>
      <c r="AE176" s="60">
        <f t="shared" si="72"/>
        <v>0</v>
      </c>
      <c r="AF176" s="8"/>
    </row>
    <row r="177" spans="2:32" s="1" customFormat="1" ht="13" hidden="1" x14ac:dyDescent="0.3">
      <c r="B177" s="12">
        <v>2026</v>
      </c>
      <c r="C177" s="12" t="s">
        <v>160</v>
      </c>
      <c r="D177" s="12" t="s">
        <v>162</v>
      </c>
      <c r="E177" s="12" t="s">
        <v>88</v>
      </c>
      <c r="F177" s="12" t="s">
        <v>80</v>
      </c>
      <c r="G177" s="83">
        <v>46218</v>
      </c>
      <c r="H177" s="93">
        <v>3865</v>
      </c>
      <c r="I177" s="12" t="s">
        <v>147</v>
      </c>
      <c r="J177" s="8" t="str">
        <f>IFERROR(VLOOKUP(I177,Map!$F$18:$G$56,2,0),"Add in Map")</f>
        <v>3P</v>
      </c>
      <c r="K177" s="8" t="str">
        <f>VLOOKUP(L177,Map!$C$18:$D$29,2,0)</f>
        <v>DVT</v>
      </c>
      <c r="L177" s="12" t="s">
        <v>42</v>
      </c>
      <c r="M177" s="52">
        <v>17282.535266555577</v>
      </c>
      <c r="N177" s="56">
        <f t="shared" si="73"/>
        <v>0</v>
      </c>
      <c r="O177" s="56">
        <f t="shared" si="74"/>
        <v>20566.216967201137</v>
      </c>
      <c r="P177" s="31">
        <f t="shared" si="75"/>
        <v>18.72430689767668</v>
      </c>
      <c r="Q177" s="31">
        <f t="shared" si="76"/>
        <v>0</v>
      </c>
      <c r="R177" s="60">
        <f t="shared" si="67"/>
        <v>22.281925208235247</v>
      </c>
      <c r="S177" s="45">
        <f>INDEX(FX!$D$3:$O$19,MATCH(B177,FX!$B$3:$B$32,0),MATCH(D177,FX!$D$2:$O$2,0))</f>
        <v>923</v>
      </c>
      <c r="T177" s="12" t="s">
        <v>142</v>
      </c>
      <c r="U177" s="12" t="s">
        <v>32</v>
      </c>
      <c r="V177" s="12" t="s">
        <v>83</v>
      </c>
      <c r="W177" s="8" t="str">
        <f>VLOOKUP(I177,Map!$F$18:$H$51,3,0)</f>
        <v>Variable</v>
      </c>
      <c r="X177" s="88" t="s">
        <v>149</v>
      </c>
      <c r="Y177" s="107" t="str">
        <f>VLOOKUP(L177,Map!$C$18:$D$29,2,0)</f>
        <v>DVT</v>
      </c>
      <c r="Z177" s="52"/>
      <c r="AA177" s="56">
        <f t="shared" si="68"/>
        <v>0</v>
      </c>
      <c r="AB177" s="56">
        <f t="shared" si="69"/>
        <v>0</v>
      </c>
      <c r="AC177" s="31">
        <f t="shared" si="70"/>
        <v>0</v>
      </c>
      <c r="AD177" s="31">
        <f t="shared" si="71"/>
        <v>0</v>
      </c>
      <c r="AE177" s="60">
        <f t="shared" si="72"/>
        <v>0</v>
      </c>
      <c r="AF177" s="8"/>
    </row>
    <row r="178" spans="2:32" s="1" customFormat="1" ht="13" hidden="1" x14ac:dyDescent="0.3">
      <c r="B178" s="12">
        <v>2026</v>
      </c>
      <c r="C178" s="12" t="s">
        <v>160</v>
      </c>
      <c r="D178" s="12" t="s">
        <v>162</v>
      </c>
      <c r="E178" s="12" t="s">
        <v>88</v>
      </c>
      <c r="F178" s="12" t="s">
        <v>80</v>
      </c>
      <c r="G178" s="83">
        <v>46218</v>
      </c>
      <c r="H178" s="93">
        <v>3865</v>
      </c>
      <c r="I178" s="12" t="s">
        <v>147</v>
      </c>
      <c r="J178" s="8" t="str">
        <f>IFERROR(VLOOKUP(I178,Map!$F$18:$G$56,2,0),"Add in Map")</f>
        <v>3P</v>
      </c>
      <c r="K178" s="8" t="str">
        <f>VLOOKUP(L178,Map!$C$18:$D$29,2,0)</f>
        <v>GLT</v>
      </c>
      <c r="L178" s="12" t="s">
        <v>44</v>
      </c>
      <c r="M178" s="52">
        <v>2979587.1063434905</v>
      </c>
      <c r="N178" s="56">
        <f t="shared" si="73"/>
        <v>0</v>
      </c>
      <c r="O178" s="56">
        <f t="shared" si="74"/>
        <v>3545708.6565487534</v>
      </c>
      <c r="P178" s="31">
        <f t="shared" si="75"/>
        <v>3228.1550447925142</v>
      </c>
      <c r="Q178" s="31">
        <f t="shared" si="76"/>
        <v>0</v>
      </c>
      <c r="R178" s="60">
        <f t="shared" si="67"/>
        <v>3841.504503303092</v>
      </c>
      <c r="S178" s="45">
        <f>INDEX(FX!$D$3:$O$19,MATCH(B178,FX!$B$3:$B$32,0),MATCH(D178,FX!$D$2:$O$2,0))</f>
        <v>923</v>
      </c>
      <c r="T178" s="12" t="s">
        <v>142</v>
      </c>
      <c r="U178" s="12" t="s">
        <v>32</v>
      </c>
      <c r="V178" s="12" t="s">
        <v>83</v>
      </c>
      <c r="W178" s="8" t="str">
        <f>VLOOKUP(I178,Map!$F$18:$H$51,3,0)</f>
        <v>Variable</v>
      </c>
      <c r="X178" s="88" t="s">
        <v>149</v>
      </c>
      <c r="Y178" s="107" t="str">
        <f>VLOOKUP(L178,Map!$C$18:$D$29,2,0)</f>
        <v>GLT</v>
      </c>
      <c r="Z178" s="52"/>
      <c r="AA178" s="56">
        <f t="shared" si="68"/>
        <v>0</v>
      </c>
      <c r="AB178" s="56">
        <f t="shared" si="69"/>
        <v>0</v>
      </c>
      <c r="AC178" s="31">
        <f t="shared" si="70"/>
        <v>0</v>
      </c>
      <c r="AD178" s="31">
        <f t="shared" si="71"/>
        <v>0</v>
      </c>
      <c r="AE178" s="60">
        <f t="shared" si="72"/>
        <v>0</v>
      </c>
      <c r="AF178" s="8"/>
    </row>
    <row r="179" spans="2:32" s="1" customFormat="1" ht="13" hidden="1" x14ac:dyDescent="0.3">
      <c r="B179" s="12">
        <v>2026</v>
      </c>
      <c r="C179" s="12" t="s">
        <v>160</v>
      </c>
      <c r="D179" s="12" t="s">
        <v>162</v>
      </c>
      <c r="E179" s="12" t="s">
        <v>88</v>
      </c>
      <c r="F179" s="12" t="s">
        <v>80</v>
      </c>
      <c r="G179" s="83">
        <v>46218</v>
      </c>
      <c r="H179" s="93">
        <v>3865</v>
      </c>
      <c r="I179" s="12" t="s">
        <v>147</v>
      </c>
      <c r="J179" s="8" t="str">
        <f>IFERROR(VLOOKUP(I179,Map!$F$18:$G$56,2,0),"Add in Map")</f>
        <v>3P</v>
      </c>
      <c r="K179" s="8" t="str">
        <f>VLOOKUP(L179,Map!$C$18:$D$29,2,0)</f>
        <v>PNT</v>
      </c>
      <c r="L179" s="12" t="s">
        <v>46</v>
      </c>
      <c r="M179" s="52">
        <v>93939.415573442544</v>
      </c>
      <c r="N179" s="56">
        <f t="shared" si="73"/>
        <v>0</v>
      </c>
      <c r="O179" s="56">
        <f t="shared" si="74"/>
        <v>111787.90453239663</v>
      </c>
      <c r="P179" s="31">
        <f t="shared" si="75"/>
        <v>101.77618155302551</v>
      </c>
      <c r="Q179" s="31">
        <f t="shared" si="76"/>
        <v>0</v>
      </c>
      <c r="R179" s="60">
        <f t="shared" si="67"/>
        <v>121.11365604810035</v>
      </c>
      <c r="S179" s="45">
        <f>INDEX(FX!$D$3:$O$19,MATCH(B179,FX!$B$3:$B$32,0),MATCH(D179,FX!$D$2:$O$2,0))</f>
        <v>923</v>
      </c>
      <c r="T179" s="12" t="s">
        <v>142</v>
      </c>
      <c r="U179" s="12" t="s">
        <v>32</v>
      </c>
      <c r="V179" s="12" t="s">
        <v>83</v>
      </c>
      <c r="W179" s="8" t="str">
        <f>VLOOKUP(I179,Map!$F$18:$H$51,3,0)</f>
        <v>Variable</v>
      </c>
      <c r="X179" s="88" t="s">
        <v>149</v>
      </c>
      <c r="Y179" s="107" t="str">
        <f>VLOOKUP(L179,Map!$C$18:$D$29,2,0)</f>
        <v>PNT</v>
      </c>
      <c r="Z179" s="52"/>
      <c r="AA179" s="56">
        <f t="shared" si="68"/>
        <v>0</v>
      </c>
      <c r="AB179" s="56">
        <f t="shared" si="69"/>
        <v>0</v>
      </c>
      <c r="AC179" s="31">
        <f t="shared" si="70"/>
        <v>0</v>
      </c>
      <c r="AD179" s="31">
        <f t="shared" si="71"/>
        <v>0</v>
      </c>
      <c r="AE179" s="60">
        <f t="shared" si="72"/>
        <v>0</v>
      </c>
      <c r="AF179" s="8"/>
    </row>
    <row r="180" spans="2:32" s="1" customFormat="1" ht="13" hidden="1" x14ac:dyDescent="0.3">
      <c r="B180" s="12">
        <v>2026</v>
      </c>
      <c r="C180" s="12" t="s">
        <v>160</v>
      </c>
      <c r="D180" s="12" t="s">
        <v>162</v>
      </c>
      <c r="E180" s="12" t="s">
        <v>88</v>
      </c>
      <c r="F180" s="12" t="s">
        <v>80</v>
      </c>
      <c r="G180" s="83">
        <v>46218</v>
      </c>
      <c r="H180" s="93">
        <v>3865</v>
      </c>
      <c r="I180" s="12" t="s">
        <v>147</v>
      </c>
      <c r="J180" s="8" t="str">
        <f>IFERROR(VLOOKUP(I180,Map!$F$18:$G$56,2,0),"Add in Map")</f>
        <v>3P</v>
      </c>
      <c r="K180" s="8" t="str">
        <f>VLOOKUP(L180,Map!$C$18:$D$29,2,0)</f>
        <v>GTT</v>
      </c>
      <c r="L180" s="12" t="s">
        <v>48</v>
      </c>
      <c r="M180" s="52">
        <v>129648.89469569977</v>
      </c>
      <c r="N180" s="56">
        <f t="shared" si="73"/>
        <v>0</v>
      </c>
      <c r="O180" s="56">
        <f t="shared" si="74"/>
        <v>154282.18468788272</v>
      </c>
      <c r="P180" s="31">
        <f t="shared" si="75"/>
        <v>140.46467464322836</v>
      </c>
      <c r="Q180" s="31">
        <f t="shared" si="76"/>
        <v>0</v>
      </c>
      <c r="R180" s="60">
        <f t="shared" si="67"/>
        <v>167.15296282544173</v>
      </c>
      <c r="S180" s="45">
        <f>INDEX(FX!$D$3:$O$19,MATCH(B180,FX!$B$3:$B$32,0),MATCH(D180,FX!$D$2:$O$2,0))</f>
        <v>923</v>
      </c>
      <c r="T180" s="12" t="s">
        <v>142</v>
      </c>
      <c r="U180" s="12" t="s">
        <v>32</v>
      </c>
      <c r="V180" s="12" t="s">
        <v>83</v>
      </c>
      <c r="W180" s="8" t="str">
        <f>VLOOKUP(I180,Map!$F$18:$H$51,3,0)</f>
        <v>Variable</v>
      </c>
      <c r="X180" s="88" t="s">
        <v>149</v>
      </c>
      <c r="Y180" s="107" t="str">
        <f>VLOOKUP(L180,Map!$C$18:$D$29,2,0)</f>
        <v>GTT</v>
      </c>
      <c r="Z180" s="52"/>
      <c r="AA180" s="56">
        <f t="shared" si="68"/>
        <v>0</v>
      </c>
      <c r="AB180" s="56">
        <f t="shared" si="69"/>
        <v>0</v>
      </c>
      <c r="AC180" s="31">
        <f t="shared" si="70"/>
        <v>0</v>
      </c>
      <c r="AD180" s="31">
        <f t="shared" si="71"/>
        <v>0</v>
      </c>
      <c r="AE180" s="60">
        <f t="shared" si="72"/>
        <v>0</v>
      </c>
      <c r="AF180" s="8"/>
    </row>
    <row r="181" spans="2:32" s="1" customFormat="1" ht="13" hidden="1" x14ac:dyDescent="0.3">
      <c r="B181" s="12">
        <v>2026</v>
      </c>
      <c r="C181" s="12" t="s">
        <v>160</v>
      </c>
      <c r="D181" s="12" t="s">
        <v>162</v>
      </c>
      <c r="E181" s="12" t="s">
        <v>88</v>
      </c>
      <c r="F181" s="12" t="s">
        <v>80</v>
      </c>
      <c r="G181" s="83">
        <v>46218</v>
      </c>
      <c r="H181" s="93">
        <v>3865</v>
      </c>
      <c r="I181" s="12" t="s">
        <v>147</v>
      </c>
      <c r="J181" s="8" t="str">
        <f>IFERROR(VLOOKUP(I181,Map!$F$18:$G$56,2,0),"Add in Map")</f>
        <v>3P</v>
      </c>
      <c r="K181" s="8" t="str">
        <f>VLOOKUP(L181,Map!$C$18:$D$29,2,0)</f>
        <v>DGT</v>
      </c>
      <c r="L181" s="12" t="s">
        <v>50</v>
      </c>
      <c r="M181" s="52">
        <v>76536.375266493153</v>
      </c>
      <c r="N181" s="56">
        <f t="shared" si="73"/>
        <v>0</v>
      </c>
      <c r="O181" s="56">
        <f t="shared" si="74"/>
        <v>91078.286567126852</v>
      </c>
      <c r="P181" s="31">
        <f t="shared" si="75"/>
        <v>82.921316648421623</v>
      </c>
      <c r="Q181" s="31">
        <f t="shared" si="76"/>
        <v>0</v>
      </c>
      <c r="R181" s="60">
        <f t="shared" si="67"/>
        <v>98.676366811621733</v>
      </c>
      <c r="S181" s="45">
        <f>INDEX(FX!$D$3:$O$19,MATCH(B181,FX!$B$3:$B$32,0),MATCH(D181,FX!$D$2:$O$2,0))</f>
        <v>923</v>
      </c>
      <c r="T181" s="12" t="s">
        <v>142</v>
      </c>
      <c r="U181" s="12" t="s">
        <v>32</v>
      </c>
      <c r="V181" s="12" t="s">
        <v>83</v>
      </c>
      <c r="W181" s="8" t="str">
        <f>VLOOKUP(I181,Map!$F$18:$H$51,3,0)</f>
        <v>Variable</v>
      </c>
      <c r="X181" s="88" t="s">
        <v>149</v>
      </c>
      <c r="Y181" s="107" t="str">
        <f>VLOOKUP(L181,Map!$C$18:$D$29,2,0)</f>
        <v>DGT</v>
      </c>
      <c r="Z181" s="52"/>
      <c r="AA181" s="56">
        <f t="shared" si="68"/>
        <v>0</v>
      </c>
      <c r="AB181" s="56">
        <f t="shared" si="69"/>
        <v>0</v>
      </c>
      <c r="AC181" s="31">
        <f t="shared" si="70"/>
        <v>0</v>
      </c>
      <c r="AD181" s="31">
        <f t="shared" si="71"/>
        <v>0</v>
      </c>
      <c r="AE181" s="60">
        <f t="shared" si="72"/>
        <v>0</v>
      </c>
      <c r="AF181" s="8"/>
    </row>
    <row r="182" spans="2:32" s="1" customFormat="1" ht="13" hidden="1" x14ac:dyDescent="0.3">
      <c r="B182" s="12">
        <v>2026</v>
      </c>
      <c r="C182" s="12" t="s">
        <v>160</v>
      </c>
      <c r="D182" s="12" t="s">
        <v>162</v>
      </c>
      <c r="E182" s="12" t="s">
        <v>88</v>
      </c>
      <c r="F182" s="12" t="s">
        <v>80</v>
      </c>
      <c r="G182" s="83">
        <v>46218</v>
      </c>
      <c r="H182" s="93">
        <v>3865</v>
      </c>
      <c r="I182" s="12" t="s">
        <v>147</v>
      </c>
      <c r="J182" s="8" t="str">
        <f>IFERROR(VLOOKUP(I182,Map!$F$18:$G$56,2,0),"Add in Map")</f>
        <v>3P</v>
      </c>
      <c r="K182" s="8" t="str">
        <f>VLOOKUP(L182,Map!$C$18:$D$29,2,0)</f>
        <v>DLT</v>
      </c>
      <c r="L182" s="12" t="s">
        <v>52</v>
      </c>
      <c r="M182" s="52">
        <v>30366.432828620374</v>
      </c>
      <c r="N182" s="56">
        <f t="shared" si="73"/>
        <v>0</v>
      </c>
      <c r="O182" s="56">
        <f t="shared" si="74"/>
        <v>36136.055066058245</v>
      </c>
      <c r="P182" s="31">
        <f t="shared" si="75"/>
        <v>32.899710540217093</v>
      </c>
      <c r="Q182" s="31">
        <f t="shared" si="76"/>
        <v>0</v>
      </c>
      <c r="R182" s="60">
        <f t="shared" si="67"/>
        <v>39.150655542858338</v>
      </c>
      <c r="S182" s="45">
        <f>INDEX(FX!$D$3:$O$19,MATCH(B182,FX!$B$3:$B$32,0),MATCH(D182,FX!$D$2:$O$2,0))</f>
        <v>923</v>
      </c>
      <c r="T182" s="12" t="s">
        <v>142</v>
      </c>
      <c r="U182" s="12" t="s">
        <v>32</v>
      </c>
      <c r="V182" s="12" t="s">
        <v>83</v>
      </c>
      <c r="W182" s="8" t="str">
        <f>VLOOKUP(I182,Map!$F$18:$H$51,3,0)</f>
        <v>Variable</v>
      </c>
      <c r="X182" s="88" t="s">
        <v>149</v>
      </c>
      <c r="Y182" s="107" t="str">
        <f>VLOOKUP(L182,Map!$C$18:$D$29,2,0)</f>
        <v>DLT</v>
      </c>
      <c r="Z182" s="52"/>
      <c r="AA182" s="56">
        <f t="shared" si="68"/>
        <v>0</v>
      </c>
      <c r="AB182" s="56">
        <f t="shared" si="69"/>
        <v>0</v>
      </c>
      <c r="AC182" s="31">
        <f t="shared" si="70"/>
        <v>0</v>
      </c>
      <c r="AD182" s="31">
        <f t="shared" si="71"/>
        <v>0</v>
      </c>
      <c r="AE182" s="60">
        <f t="shared" si="72"/>
        <v>0</v>
      </c>
      <c r="AF182" s="8"/>
    </row>
    <row r="183" spans="2:32" s="1" customFormat="1" ht="13" hidden="1" x14ac:dyDescent="0.3">
      <c r="B183" s="12">
        <v>2026</v>
      </c>
      <c r="C183" s="12" t="s">
        <v>160</v>
      </c>
      <c r="D183" s="12" t="s">
        <v>162</v>
      </c>
      <c r="E183" s="12" t="s">
        <v>88</v>
      </c>
      <c r="F183" s="12" t="s">
        <v>80</v>
      </c>
      <c r="G183" s="83">
        <v>46218</v>
      </c>
      <c r="H183" s="93">
        <v>3865</v>
      </c>
      <c r="I183" s="12" t="s">
        <v>147</v>
      </c>
      <c r="J183" s="8" t="str">
        <f>IFERROR(VLOOKUP(I183,Map!$F$18:$G$56,2,0),"Add in Map")</f>
        <v>3P</v>
      </c>
      <c r="K183" s="8" t="str">
        <f>VLOOKUP(L183,Map!$C$18:$D$29,2,0)</f>
        <v>DMT</v>
      </c>
      <c r="L183" s="12" t="s">
        <v>54</v>
      </c>
      <c r="M183" s="52">
        <v>0</v>
      </c>
      <c r="N183" s="56">
        <f t="shared" si="73"/>
        <v>0</v>
      </c>
      <c r="O183" s="56">
        <f t="shared" si="74"/>
        <v>0</v>
      </c>
      <c r="P183" s="48">
        <f t="shared" si="75"/>
        <v>0</v>
      </c>
      <c r="Q183" s="31">
        <f t="shared" si="76"/>
        <v>0</v>
      </c>
      <c r="R183" s="60">
        <f t="shared" si="67"/>
        <v>0</v>
      </c>
      <c r="S183" s="45">
        <f>INDEX(FX!$D$3:$O$19,MATCH(B183,FX!$B$3:$B$32,0),MATCH(D183,FX!$D$2:$O$2,0))</f>
        <v>923</v>
      </c>
      <c r="T183" s="12" t="s">
        <v>142</v>
      </c>
      <c r="U183" s="12" t="s">
        <v>32</v>
      </c>
      <c r="V183" s="12" t="s">
        <v>83</v>
      </c>
      <c r="W183" s="8" t="str">
        <f>VLOOKUP(I183,Map!$F$18:$H$51,3,0)</f>
        <v>Variable</v>
      </c>
      <c r="X183" s="88" t="s">
        <v>149</v>
      </c>
      <c r="Y183" s="107" t="str">
        <f>VLOOKUP(L183,Map!$C$18:$D$29,2,0)</f>
        <v>DMT</v>
      </c>
      <c r="Z183" s="52"/>
      <c r="AA183" s="56">
        <f t="shared" si="68"/>
        <v>0</v>
      </c>
      <c r="AB183" s="56">
        <f t="shared" si="69"/>
        <v>0</v>
      </c>
      <c r="AC183" s="48">
        <f t="shared" si="70"/>
        <v>0</v>
      </c>
      <c r="AD183" s="31">
        <f t="shared" si="71"/>
        <v>0</v>
      </c>
      <c r="AE183" s="60">
        <f t="shared" si="72"/>
        <v>0</v>
      </c>
      <c r="AF183" s="8"/>
    </row>
    <row r="184" spans="2:32" s="37" customFormat="1" hidden="1" x14ac:dyDescent="0.35">
      <c r="B184" s="13">
        <v>2026</v>
      </c>
      <c r="C184" s="13" t="s">
        <v>160</v>
      </c>
      <c r="D184" s="13" t="s">
        <v>162</v>
      </c>
      <c r="E184" s="13" t="s">
        <v>88</v>
      </c>
      <c r="F184" s="13" t="s">
        <v>80</v>
      </c>
      <c r="G184" s="85">
        <v>46218</v>
      </c>
      <c r="H184" s="94">
        <v>3865</v>
      </c>
      <c r="I184" s="13" t="s">
        <v>147</v>
      </c>
      <c r="J184" s="29" t="str">
        <f>IFERROR(VLOOKUP(I184,Map!$F$18:$G$56,2,0),"Add in Map")</f>
        <v>3P</v>
      </c>
      <c r="K184" s="29" t="str">
        <f>VLOOKUP(L184,Map!$C$18:$D$29,2,0)</f>
        <v>TOTAL</v>
      </c>
      <c r="L184" s="13" t="s">
        <v>56</v>
      </c>
      <c r="M184" s="128">
        <f>SUM(M173:M183)</f>
        <v>8213814.3222899996</v>
      </c>
      <c r="N184" s="57">
        <f t="shared" si="73"/>
        <v>1560624.7212350999</v>
      </c>
      <c r="O184" s="57">
        <f t="shared" si="74"/>
        <v>9774439.0435250998</v>
      </c>
      <c r="P184" s="11">
        <f t="shared" si="75"/>
        <v>8899.0404358504875</v>
      </c>
      <c r="Q184" s="11">
        <f t="shared" si="76"/>
        <v>1690.8176828115927</v>
      </c>
      <c r="R184" s="61">
        <f t="shared" si="67"/>
        <v>10589.85811866208</v>
      </c>
      <c r="S184" s="46">
        <f>INDEX(FX!$D$3:$O$19,MATCH(B184,FX!$B$3:$B$32,0),MATCH(D184,FX!$D$2:$O$2,0))</f>
        <v>923</v>
      </c>
      <c r="T184" s="13" t="s">
        <v>142</v>
      </c>
      <c r="U184" s="13" t="s">
        <v>32</v>
      </c>
      <c r="V184" s="13" t="s">
        <v>83</v>
      </c>
      <c r="W184" s="29" t="str">
        <f>VLOOKUP(I184,Map!$F$18:$H$51,3,0)</f>
        <v>Variable</v>
      </c>
      <c r="X184" s="90" t="s">
        <v>149</v>
      </c>
      <c r="Y184" s="109" t="str">
        <f>VLOOKUP(L184,Map!$C$18:$D$29,2,0)</f>
        <v>TOTAL</v>
      </c>
      <c r="Z184" s="53"/>
      <c r="AA184" s="57">
        <f t="shared" si="68"/>
        <v>0</v>
      </c>
      <c r="AB184" s="57">
        <f t="shared" si="69"/>
        <v>0</v>
      </c>
      <c r="AC184" s="11">
        <f t="shared" si="70"/>
        <v>0</v>
      </c>
      <c r="AD184" s="11">
        <f t="shared" si="71"/>
        <v>0</v>
      </c>
      <c r="AE184" s="61">
        <f t="shared" si="72"/>
        <v>0</v>
      </c>
      <c r="AF184" s="87"/>
    </row>
    <row r="185" spans="2:32" s="5" customFormat="1" ht="13" hidden="1" x14ac:dyDescent="0.3">
      <c r="B185" s="114">
        <v>2026</v>
      </c>
      <c r="C185" s="114" t="s">
        <v>153</v>
      </c>
      <c r="D185" s="114" t="s">
        <v>80</v>
      </c>
      <c r="E185" s="114" t="s">
        <v>88</v>
      </c>
      <c r="F185" s="114" t="s">
        <v>172</v>
      </c>
      <c r="G185" s="115"/>
      <c r="H185" s="116"/>
      <c r="I185" s="114" t="s">
        <v>147</v>
      </c>
      <c r="J185" s="117" t="str">
        <f>IFERROR(VLOOKUP(I185,Map!$F$18:$G$56,2,0),"Add in Map")</f>
        <v>3P</v>
      </c>
      <c r="K185" s="117" t="str">
        <f>VLOOKUP(L185,Map!$C$18:$D$29,2,0)</f>
        <v>CNT</v>
      </c>
      <c r="L185" s="114" t="s">
        <v>31</v>
      </c>
      <c r="M185" s="118">
        <v>1478313.9149305087</v>
      </c>
      <c r="N185" s="119">
        <f t="shared" ref="N185:N196" si="77">IF(L185="TOTAL",(M185*0.19),0)</f>
        <v>0</v>
      </c>
      <c r="O185" s="119">
        <f t="shared" ref="O185:O196" si="78">M185*1.19</f>
        <v>1759193.5587673052</v>
      </c>
      <c r="P185" s="120">
        <f t="shared" ref="P185:P196" si="79">M185/S185</f>
        <v>1599.9068343403774</v>
      </c>
      <c r="Q185" s="120">
        <f t="shared" ref="Q185:Q196" si="80">IF(L185="TOTAL",(P185*0.19),0)</f>
        <v>0</v>
      </c>
      <c r="R185" s="121">
        <f t="shared" si="67"/>
        <v>1903.8891328650491</v>
      </c>
      <c r="S185" s="122">
        <f>INDEX(FX!$D$3:$O$19,MATCH(B185,FX!$B$3:$B$32,0),MATCH(D185,FX!$D$2:$O$2,0))</f>
        <v>924</v>
      </c>
      <c r="T185" s="114" t="s">
        <v>144</v>
      </c>
      <c r="U185" s="114" t="s">
        <v>155</v>
      </c>
      <c r="V185" s="114" t="s">
        <v>83</v>
      </c>
      <c r="W185" s="117" t="str">
        <f>VLOOKUP(I185,Map!$F$18:$H$51,3,0)</f>
        <v>Variable</v>
      </c>
      <c r="X185" s="123" t="s">
        <v>172</v>
      </c>
      <c r="Y185" s="124" t="str">
        <f>VLOOKUP(L185,Map!$C$18:$D$29,2,0)</f>
        <v>CNT</v>
      </c>
      <c r="Z185" s="118"/>
      <c r="AA185" s="119">
        <f t="shared" si="68"/>
        <v>0</v>
      </c>
      <c r="AB185" s="119">
        <f t="shared" si="69"/>
        <v>0</v>
      </c>
      <c r="AC185" s="120">
        <f t="shared" si="70"/>
        <v>0</v>
      </c>
      <c r="AD185" s="120">
        <f t="shared" si="71"/>
        <v>0</v>
      </c>
      <c r="AE185" s="121">
        <f t="shared" si="72"/>
        <v>0</v>
      </c>
      <c r="AF185" s="117"/>
    </row>
    <row r="186" spans="2:32" s="1" customFormat="1" ht="13" hidden="1" x14ac:dyDescent="0.3">
      <c r="B186" s="12">
        <v>2026</v>
      </c>
      <c r="C186" s="12" t="s">
        <v>153</v>
      </c>
      <c r="D186" s="12" t="s">
        <v>80</v>
      </c>
      <c r="E186" s="12" t="s">
        <v>88</v>
      </c>
      <c r="F186" s="12" t="s">
        <v>172</v>
      </c>
      <c r="G186" s="83"/>
      <c r="H186" s="93"/>
      <c r="I186" s="12" t="s">
        <v>147</v>
      </c>
      <c r="J186" s="8" t="str">
        <f>IFERROR(VLOOKUP(I186,Map!$F$18:$G$56,2,0),"Add in Map")</f>
        <v>3P</v>
      </c>
      <c r="K186" s="8" t="str">
        <f>VLOOKUP(L186,Map!$C$18:$D$29,2,0)</f>
        <v>CVT</v>
      </c>
      <c r="L186" s="12" t="s">
        <v>36</v>
      </c>
      <c r="M186" s="52">
        <v>0</v>
      </c>
      <c r="N186" s="56">
        <f t="shared" si="77"/>
        <v>0</v>
      </c>
      <c r="O186" s="56">
        <f t="shared" si="78"/>
        <v>0</v>
      </c>
      <c r="P186" s="31">
        <f t="shared" si="79"/>
        <v>0</v>
      </c>
      <c r="Q186" s="31">
        <f t="shared" si="80"/>
        <v>0</v>
      </c>
      <c r="R186" s="60">
        <f t="shared" si="67"/>
        <v>0</v>
      </c>
      <c r="S186" s="45">
        <f>INDEX(FX!$D$3:$O$19,MATCH(B186,FX!$B$3:$B$32,0),MATCH(D186,FX!$D$2:$O$2,0))</f>
        <v>924</v>
      </c>
      <c r="T186" s="12" t="s">
        <v>144</v>
      </c>
      <c r="U186" s="12" t="s">
        <v>155</v>
      </c>
      <c r="V186" s="12" t="s">
        <v>83</v>
      </c>
      <c r="W186" s="8" t="str">
        <f>VLOOKUP(I186,Map!$F$18:$H$51,3,0)</f>
        <v>Variable</v>
      </c>
      <c r="X186" s="88" t="s">
        <v>172</v>
      </c>
      <c r="Y186" s="107" t="str">
        <f>VLOOKUP(L186,Map!$C$18:$D$29,2,0)</f>
        <v>CVT</v>
      </c>
      <c r="Z186" s="52"/>
      <c r="AA186" s="56">
        <f t="shared" si="68"/>
        <v>0</v>
      </c>
      <c r="AB186" s="56">
        <f t="shared" si="69"/>
        <v>0</v>
      </c>
      <c r="AC186" s="31">
        <f t="shared" si="70"/>
        <v>0</v>
      </c>
      <c r="AD186" s="31">
        <f t="shared" si="71"/>
        <v>0</v>
      </c>
      <c r="AE186" s="60">
        <f t="shared" si="72"/>
        <v>0</v>
      </c>
      <c r="AF186" s="8"/>
    </row>
    <row r="187" spans="2:32" s="1" customFormat="1" ht="13" hidden="1" x14ac:dyDescent="0.3">
      <c r="B187" s="12">
        <v>2026</v>
      </c>
      <c r="C187" s="12" t="s">
        <v>153</v>
      </c>
      <c r="D187" s="12" t="s">
        <v>80</v>
      </c>
      <c r="E187" s="12" t="s">
        <v>88</v>
      </c>
      <c r="F187" s="12" t="s">
        <v>172</v>
      </c>
      <c r="G187" s="83"/>
      <c r="H187" s="93"/>
      <c r="I187" s="12" t="s">
        <v>147</v>
      </c>
      <c r="J187" s="8" t="str">
        <f>IFERROR(VLOOKUP(I187,Map!$F$18:$G$56,2,0),"Add in Map")</f>
        <v>3P</v>
      </c>
      <c r="K187" s="8" t="str">
        <f>VLOOKUP(L187,Map!$C$18:$D$29,2,0)</f>
        <v>CDT</v>
      </c>
      <c r="L187" s="12" t="s">
        <v>38</v>
      </c>
      <c r="M187" s="52">
        <v>0</v>
      </c>
      <c r="N187" s="56">
        <f t="shared" si="77"/>
        <v>0</v>
      </c>
      <c r="O187" s="56">
        <f t="shared" si="78"/>
        <v>0</v>
      </c>
      <c r="P187" s="31">
        <f t="shared" si="79"/>
        <v>0</v>
      </c>
      <c r="Q187" s="31">
        <f t="shared" si="80"/>
        <v>0</v>
      </c>
      <c r="R187" s="60">
        <f t="shared" si="67"/>
        <v>0</v>
      </c>
      <c r="S187" s="45">
        <f>INDEX(FX!$D$3:$O$19,MATCH(B187,FX!$B$3:$B$32,0),MATCH(D187,FX!$D$2:$O$2,0))</f>
        <v>924</v>
      </c>
      <c r="T187" s="12" t="s">
        <v>144</v>
      </c>
      <c r="U187" s="12" t="s">
        <v>155</v>
      </c>
      <c r="V187" s="12" t="s">
        <v>83</v>
      </c>
      <c r="W187" s="8" t="str">
        <f>VLOOKUP(I187,Map!$F$18:$H$51,3,0)</f>
        <v>Variable</v>
      </c>
      <c r="X187" s="88" t="s">
        <v>172</v>
      </c>
      <c r="Y187" s="107" t="str">
        <f>VLOOKUP(L187,Map!$C$18:$D$29,2,0)</f>
        <v>CDT</v>
      </c>
      <c r="Z187" s="52"/>
      <c r="AA187" s="56">
        <f t="shared" si="68"/>
        <v>0</v>
      </c>
      <c r="AB187" s="56">
        <f t="shared" si="69"/>
        <v>0</v>
      </c>
      <c r="AC187" s="31">
        <f t="shared" si="70"/>
        <v>0</v>
      </c>
      <c r="AD187" s="31">
        <f t="shared" si="71"/>
        <v>0</v>
      </c>
      <c r="AE187" s="60">
        <f t="shared" si="72"/>
        <v>0</v>
      </c>
      <c r="AF187" s="8"/>
    </row>
    <row r="188" spans="2:32" s="1" customFormat="1" ht="13" hidden="1" x14ac:dyDescent="0.3">
      <c r="B188" s="12">
        <v>2026</v>
      </c>
      <c r="C188" s="12" t="s">
        <v>153</v>
      </c>
      <c r="D188" s="12" t="s">
        <v>80</v>
      </c>
      <c r="E188" s="12" t="s">
        <v>88</v>
      </c>
      <c r="F188" s="12" t="s">
        <v>172</v>
      </c>
      <c r="G188" s="83"/>
      <c r="H188" s="93"/>
      <c r="I188" s="12" t="s">
        <v>147</v>
      </c>
      <c r="J188" s="8" t="str">
        <f>IFERROR(VLOOKUP(I188,Map!$F$18:$G$56,2,0),"Add in Map")</f>
        <v>3P</v>
      </c>
      <c r="K188" s="8" t="str">
        <f>VLOOKUP(L188,Map!$C$18:$D$29,2,0)</f>
        <v>DFT</v>
      </c>
      <c r="L188" s="12" t="s">
        <v>40</v>
      </c>
      <c r="M188" s="52">
        <v>4619730.9841578398</v>
      </c>
      <c r="N188" s="56">
        <f t="shared" si="77"/>
        <v>0</v>
      </c>
      <c r="O188" s="56">
        <f t="shared" si="78"/>
        <v>5497479.8711478291</v>
      </c>
      <c r="P188" s="31">
        <f t="shared" si="79"/>
        <v>4999.7088573136798</v>
      </c>
      <c r="Q188" s="31">
        <f t="shared" si="80"/>
        <v>0</v>
      </c>
      <c r="R188" s="60">
        <f t="shared" si="67"/>
        <v>5949.6535402032787</v>
      </c>
      <c r="S188" s="45">
        <f>INDEX(FX!$D$3:$O$19,MATCH(B188,FX!$B$3:$B$32,0),MATCH(D188,FX!$D$2:$O$2,0))</f>
        <v>924</v>
      </c>
      <c r="T188" s="12" t="s">
        <v>144</v>
      </c>
      <c r="U188" s="12" t="s">
        <v>155</v>
      </c>
      <c r="V188" s="12" t="s">
        <v>83</v>
      </c>
      <c r="W188" s="8" t="str">
        <f>VLOOKUP(I188,Map!$F$18:$H$51,3,0)</f>
        <v>Variable</v>
      </c>
      <c r="X188" s="88" t="s">
        <v>172</v>
      </c>
      <c r="Y188" s="107" t="str">
        <f>VLOOKUP(L188,Map!$C$18:$D$29,2,0)</f>
        <v>DFT</v>
      </c>
      <c r="Z188" s="52"/>
      <c r="AA188" s="56">
        <f t="shared" si="68"/>
        <v>0</v>
      </c>
      <c r="AB188" s="56">
        <f t="shared" si="69"/>
        <v>0</v>
      </c>
      <c r="AC188" s="31">
        <f t="shared" si="70"/>
        <v>0</v>
      </c>
      <c r="AD188" s="31">
        <f t="shared" si="71"/>
        <v>0</v>
      </c>
      <c r="AE188" s="60">
        <f t="shared" si="72"/>
        <v>0</v>
      </c>
      <c r="AF188" s="8"/>
    </row>
    <row r="189" spans="2:32" s="1" customFormat="1" ht="13" hidden="1" x14ac:dyDescent="0.3">
      <c r="B189" s="12">
        <v>2026</v>
      </c>
      <c r="C189" s="12" t="s">
        <v>153</v>
      </c>
      <c r="D189" s="12" t="s">
        <v>80</v>
      </c>
      <c r="E189" s="12" t="s">
        <v>88</v>
      </c>
      <c r="F189" s="12" t="s">
        <v>172</v>
      </c>
      <c r="G189" s="83"/>
      <c r="H189" s="93"/>
      <c r="I189" s="12" t="s">
        <v>147</v>
      </c>
      <c r="J189" s="8" t="str">
        <f>IFERROR(VLOOKUP(I189,Map!$F$18:$G$56,2,0),"Add in Map")</f>
        <v>3P</v>
      </c>
      <c r="K189" s="8" t="str">
        <f>VLOOKUP(L189,Map!$C$18:$D$29,2,0)</f>
        <v>DVT</v>
      </c>
      <c r="L189" s="12" t="s">
        <v>42</v>
      </c>
      <c r="M189" s="52">
        <v>0</v>
      </c>
      <c r="N189" s="56">
        <f t="shared" si="77"/>
        <v>0</v>
      </c>
      <c r="O189" s="56">
        <f t="shared" si="78"/>
        <v>0</v>
      </c>
      <c r="P189" s="31">
        <f t="shared" si="79"/>
        <v>0</v>
      </c>
      <c r="Q189" s="31">
        <f t="shared" si="80"/>
        <v>0</v>
      </c>
      <c r="R189" s="60">
        <f t="shared" si="67"/>
        <v>0</v>
      </c>
      <c r="S189" s="45">
        <f>INDEX(FX!$D$3:$O$19,MATCH(B189,FX!$B$3:$B$32,0),MATCH(D189,FX!$D$2:$O$2,0))</f>
        <v>924</v>
      </c>
      <c r="T189" s="12" t="s">
        <v>144</v>
      </c>
      <c r="U189" s="12" t="s">
        <v>155</v>
      </c>
      <c r="V189" s="12" t="s">
        <v>83</v>
      </c>
      <c r="W189" s="8" t="str">
        <f>VLOOKUP(I189,Map!$F$18:$H$51,3,0)</f>
        <v>Variable</v>
      </c>
      <c r="X189" s="88" t="s">
        <v>172</v>
      </c>
      <c r="Y189" s="107" t="str">
        <f>VLOOKUP(L189,Map!$C$18:$D$29,2,0)</f>
        <v>DVT</v>
      </c>
      <c r="Z189" s="52"/>
      <c r="AA189" s="56">
        <f t="shared" si="68"/>
        <v>0</v>
      </c>
      <c r="AB189" s="56">
        <f t="shared" si="69"/>
        <v>0</v>
      </c>
      <c r="AC189" s="31">
        <f t="shared" si="70"/>
        <v>0</v>
      </c>
      <c r="AD189" s="31">
        <f t="shared" si="71"/>
        <v>0</v>
      </c>
      <c r="AE189" s="60">
        <f t="shared" si="72"/>
        <v>0</v>
      </c>
      <c r="AF189" s="8"/>
    </row>
    <row r="190" spans="2:32" s="1" customFormat="1" ht="13" hidden="1" x14ac:dyDescent="0.3">
      <c r="B190" s="12">
        <v>2026</v>
      </c>
      <c r="C190" s="12" t="s">
        <v>153</v>
      </c>
      <c r="D190" s="12" t="s">
        <v>80</v>
      </c>
      <c r="E190" s="12" t="s">
        <v>88</v>
      </c>
      <c r="F190" s="12" t="s">
        <v>172</v>
      </c>
      <c r="G190" s="83"/>
      <c r="H190" s="93"/>
      <c r="I190" s="12" t="s">
        <v>147</v>
      </c>
      <c r="J190" s="8" t="str">
        <f>IFERROR(VLOOKUP(I190,Map!$F$18:$G$56,2,0),"Add in Map")</f>
        <v>3P</v>
      </c>
      <c r="K190" s="8" t="str">
        <f>VLOOKUP(L190,Map!$C$18:$D$29,2,0)</f>
        <v>GLT</v>
      </c>
      <c r="L190" s="12" t="s">
        <v>44</v>
      </c>
      <c r="M190" s="52">
        <v>2808796.4383679666</v>
      </c>
      <c r="N190" s="56">
        <f t="shared" si="77"/>
        <v>0</v>
      </c>
      <c r="O190" s="56">
        <f t="shared" si="78"/>
        <v>3342467.7616578802</v>
      </c>
      <c r="P190" s="31">
        <f t="shared" si="79"/>
        <v>3039.8229852467171</v>
      </c>
      <c r="Q190" s="31">
        <f t="shared" si="80"/>
        <v>0</v>
      </c>
      <c r="R190" s="60">
        <f t="shared" si="67"/>
        <v>3617.389352443593</v>
      </c>
      <c r="S190" s="45">
        <f>INDEX(FX!$D$3:$O$19,MATCH(B190,FX!$B$3:$B$32,0),MATCH(D190,FX!$D$2:$O$2,0))</f>
        <v>924</v>
      </c>
      <c r="T190" s="12" t="s">
        <v>144</v>
      </c>
      <c r="U190" s="12" t="s">
        <v>155</v>
      </c>
      <c r="V190" s="12" t="s">
        <v>83</v>
      </c>
      <c r="W190" s="8" t="str">
        <f>VLOOKUP(I190,Map!$F$18:$H$51,3,0)</f>
        <v>Variable</v>
      </c>
      <c r="X190" s="88" t="s">
        <v>172</v>
      </c>
      <c r="Y190" s="107" t="str">
        <f>VLOOKUP(L190,Map!$C$18:$D$29,2,0)</f>
        <v>GLT</v>
      </c>
      <c r="Z190" s="52"/>
      <c r="AA190" s="56">
        <f t="shared" si="68"/>
        <v>0</v>
      </c>
      <c r="AB190" s="56">
        <f t="shared" si="69"/>
        <v>0</v>
      </c>
      <c r="AC190" s="31">
        <f t="shared" si="70"/>
        <v>0</v>
      </c>
      <c r="AD190" s="31">
        <f t="shared" si="71"/>
        <v>0</v>
      </c>
      <c r="AE190" s="60">
        <f t="shared" si="72"/>
        <v>0</v>
      </c>
      <c r="AF190" s="8"/>
    </row>
    <row r="191" spans="2:32" s="1" customFormat="1" ht="13" hidden="1" x14ac:dyDescent="0.3">
      <c r="B191" s="12">
        <v>2026</v>
      </c>
      <c r="C191" s="12" t="s">
        <v>153</v>
      </c>
      <c r="D191" s="12" t="s">
        <v>80</v>
      </c>
      <c r="E191" s="12" t="s">
        <v>88</v>
      </c>
      <c r="F191" s="12" t="s">
        <v>172</v>
      </c>
      <c r="G191" s="83"/>
      <c r="H191" s="93"/>
      <c r="I191" s="12" t="s">
        <v>147</v>
      </c>
      <c r="J191" s="8" t="str">
        <f>IFERROR(VLOOKUP(I191,Map!$F$18:$G$56,2,0),"Add in Map")</f>
        <v>3P</v>
      </c>
      <c r="K191" s="8" t="str">
        <f>VLOOKUP(L191,Map!$C$18:$D$29,2,0)</f>
        <v>PNT</v>
      </c>
      <c r="L191" s="12" t="s">
        <v>46</v>
      </c>
      <c r="M191" s="52">
        <v>147831.39149305085</v>
      </c>
      <c r="N191" s="56">
        <f t="shared" si="77"/>
        <v>0</v>
      </c>
      <c r="O191" s="56">
        <f t="shared" si="78"/>
        <v>175919.35587673049</v>
      </c>
      <c r="P191" s="31">
        <f t="shared" si="79"/>
        <v>159.99068343403772</v>
      </c>
      <c r="Q191" s="31">
        <f t="shared" si="80"/>
        <v>0</v>
      </c>
      <c r="R191" s="60">
        <f t="shared" si="67"/>
        <v>190.38891328650487</v>
      </c>
      <c r="S191" s="45">
        <f>INDEX(FX!$D$3:$O$19,MATCH(B191,FX!$B$3:$B$32,0),MATCH(D191,FX!$D$2:$O$2,0))</f>
        <v>924</v>
      </c>
      <c r="T191" s="12" t="s">
        <v>144</v>
      </c>
      <c r="U191" s="12" t="s">
        <v>155</v>
      </c>
      <c r="V191" s="12" t="s">
        <v>83</v>
      </c>
      <c r="W191" s="8" t="str">
        <f>VLOOKUP(I191,Map!$F$18:$H$51,3,0)</f>
        <v>Variable</v>
      </c>
      <c r="X191" s="88" t="s">
        <v>172</v>
      </c>
      <c r="Y191" s="107" t="str">
        <f>VLOOKUP(L191,Map!$C$18:$D$29,2,0)</f>
        <v>PNT</v>
      </c>
      <c r="Z191" s="52"/>
      <c r="AA191" s="56">
        <f t="shared" si="68"/>
        <v>0</v>
      </c>
      <c r="AB191" s="56">
        <f t="shared" si="69"/>
        <v>0</v>
      </c>
      <c r="AC191" s="31">
        <f t="shared" si="70"/>
        <v>0</v>
      </c>
      <c r="AD191" s="31">
        <f t="shared" si="71"/>
        <v>0</v>
      </c>
      <c r="AE191" s="60">
        <f t="shared" si="72"/>
        <v>0</v>
      </c>
      <c r="AF191" s="8"/>
    </row>
    <row r="192" spans="2:32" s="1" customFormat="1" ht="13" hidden="1" x14ac:dyDescent="0.3">
      <c r="B192" s="12">
        <v>2026</v>
      </c>
      <c r="C192" s="12" t="s">
        <v>153</v>
      </c>
      <c r="D192" s="12" t="s">
        <v>80</v>
      </c>
      <c r="E192" s="12" t="s">
        <v>88</v>
      </c>
      <c r="F192" s="12" t="s">
        <v>172</v>
      </c>
      <c r="G192" s="83"/>
      <c r="H192" s="93"/>
      <c r="I192" s="12" t="s">
        <v>147</v>
      </c>
      <c r="J192" s="8" t="str">
        <f>IFERROR(VLOOKUP(I192,Map!$F$18:$G$56,2,0),"Add in Map")</f>
        <v>3P</v>
      </c>
      <c r="K192" s="8" t="str">
        <f>VLOOKUP(L192,Map!$C$18:$D$29,2,0)</f>
        <v>GTT</v>
      </c>
      <c r="L192" s="12" t="s">
        <v>48</v>
      </c>
      <c r="M192" s="52">
        <v>147831.39149305085</v>
      </c>
      <c r="N192" s="56">
        <f t="shared" si="77"/>
        <v>0</v>
      </c>
      <c r="O192" s="56">
        <f t="shared" si="78"/>
        <v>175919.35587673049</v>
      </c>
      <c r="P192" s="31">
        <f t="shared" si="79"/>
        <v>159.99068343403772</v>
      </c>
      <c r="Q192" s="31">
        <f t="shared" si="80"/>
        <v>0</v>
      </c>
      <c r="R192" s="60">
        <f t="shared" si="67"/>
        <v>190.38891328650487</v>
      </c>
      <c r="S192" s="45">
        <f>INDEX(FX!$D$3:$O$19,MATCH(B192,FX!$B$3:$B$32,0),MATCH(D192,FX!$D$2:$O$2,0))</f>
        <v>924</v>
      </c>
      <c r="T192" s="12" t="s">
        <v>144</v>
      </c>
      <c r="U192" s="12" t="s">
        <v>155</v>
      </c>
      <c r="V192" s="12" t="s">
        <v>83</v>
      </c>
      <c r="W192" s="8" t="str">
        <f>VLOOKUP(I192,Map!$F$18:$H$51,3,0)</f>
        <v>Variable</v>
      </c>
      <c r="X192" s="88" t="s">
        <v>172</v>
      </c>
      <c r="Y192" s="107" t="str">
        <f>VLOOKUP(L192,Map!$C$18:$D$29,2,0)</f>
        <v>GTT</v>
      </c>
      <c r="Z192" s="52"/>
      <c r="AA192" s="56">
        <f t="shared" si="68"/>
        <v>0</v>
      </c>
      <c r="AB192" s="56">
        <f t="shared" si="69"/>
        <v>0</v>
      </c>
      <c r="AC192" s="31">
        <f t="shared" si="70"/>
        <v>0</v>
      </c>
      <c r="AD192" s="31">
        <f t="shared" si="71"/>
        <v>0</v>
      </c>
      <c r="AE192" s="60">
        <f t="shared" si="72"/>
        <v>0</v>
      </c>
      <c r="AF192" s="8"/>
    </row>
    <row r="193" spans="2:32" s="1" customFormat="1" ht="13" hidden="1" x14ac:dyDescent="0.3">
      <c r="B193" s="12">
        <v>2026</v>
      </c>
      <c r="C193" s="12" t="s">
        <v>153</v>
      </c>
      <c r="D193" s="12" t="s">
        <v>80</v>
      </c>
      <c r="E193" s="12" t="s">
        <v>88</v>
      </c>
      <c r="F193" s="12" t="s">
        <v>172</v>
      </c>
      <c r="G193" s="83"/>
      <c r="H193" s="93"/>
      <c r="I193" s="12" t="s">
        <v>147</v>
      </c>
      <c r="J193" s="8" t="str">
        <f>IFERROR(VLOOKUP(I193,Map!$F$18:$G$56,2,0),"Add in Map")</f>
        <v>3P</v>
      </c>
      <c r="K193" s="8" t="str">
        <f>VLOOKUP(L193,Map!$C$18:$D$29,2,0)</f>
        <v>DGT</v>
      </c>
      <c r="L193" s="12" t="s">
        <v>50</v>
      </c>
      <c r="M193" s="52">
        <v>0</v>
      </c>
      <c r="N193" s="56">
        <f t="shared" si="77"/>
        <v>0</v>
      </c>
      <c r="O193" s="56">
        <f t="shared" si="78"/>
        <v>0</v>
      </c>
      <c r="P193" s="31">
        <f t="shared" si="79"/>
        <v>0</v>
      </c>
      <c r="Q193" s="31">
        <f t="shared" si="80"/>
        <v>0</v>
      </c>
      <c r="R193" s="60">
        <f t="shared" si="67"/>
        <v>0</v>
      </c>
      <c r="S193" s="45">
        <f>INDEX(FX!$D$3:$O$19,MATCH(B193,FX!$B$3:$B$32,0),MATCH(D193,FX!$D$2:$O$2,0))</f>
        <v>924</v>
      </c>
      <c r="T193" s="12" t="s">
        <v>144</v>
      </c>
      <c r="U193" s="12" t="s">
        <v>155</v>
      </c>
      <c r="V193" s="12" t="s">
        <v>83</v>
      </c>
      <c r="W193" s="8" t="str">
        <f>VLOOKUP(I193,Map!$F$18:$H$51,3,0)</f>
        <v>Variable</v>
      </c>
      <c r="X193" s="88" t="s">
        <v>172</v>
      </c>
      <c r="Y193" s="107" t="str">
        <f>VLOOKUP(L193,Map!$C$18:$D$29,2,0)</f>
        <v>DGT</v>
      </c>
      <c r="Z193" s="52"/>
      <c r="AA193" s="56">
        <f t="shared" si="68"/>
        <v>0</v>
      </c>
      <c r="AB193" s="56">
        <f t="shared" si="69"/>
        <v>0</v>
      </c>
      <c r="AC193" s="31">
        <f t="shared" si="70"/>
        <v>0</v>
      </c>
      <c r="AD193" s="31">
        <f t="shared" si="71"/>
        <v>0</v>
      </c>
      <c r="AE193" s="60">
        <f t="shared" si="72"/>
        <v>0</v>
      </c>
      <c r="AF193" s="8"/>
    </row>
    <row r="194" spans="2:32" s="1" customFormat="1" ht="13" hidden="1" x14ac:dyDescent="0.3">
      <c r="B194" s="12">
        <v>2026</v>
      </c>
      <c r="C194" s="12" t="s">
        <v>153</v>
      </c>
      <c r="D194" s="12" t="s">
        <v>80</v>
      </c>
      <c r="E194" s="12" t="s">
        <v>88</v>
      </c>
      <c r="F194" s="12" t="s">
        <v>172</v>
      </c>
      <c r="G194" s="83"/>
      <c r="H194" s="93"/>
      <c r="I194" s="12" t="s">
        <v>147</v>
      </c>
      <c r="J194" s="8" t="str">
        <f>IFERROR(VLOOKUP(I194,Map!$F$18:$G$56,2,0),"Add in Map")</f>
        <v>3P</v>
      </c>
      <c r="K194" s="8" t="str">
        <f>VLOOKUP(L194,Map!$C$18:$D$29,2,0)</f>
        <v>DLT</v>
      </c>
      <c r="L194" s="12" t="s">
        <v>52</v>
      </c>
      <c r="M194" s="52">
        <v>0</v>
      </c>
      <c r="N194" s="56">
        <f t="shared" si="77"/>
        <v>0</v>
      </c>
      <c r="O194" s="56">
        <f t="shared" si="78"/>
        <v>0</v>
      </c>
      <c r="P194" s="31">
        <f t="shared" si="79"/>
        <v>0</v>
      </c>
      <c r="Q194" s="31">
        <f t="shared" si="80"/>
        <v>0</v>
      </c>
      <c r="R194" s="60">
        <f t="shared" si="67"/>
        <v>0</v>
      </c>
      <c r="S194" s="45">
        <f>INDEX(FX!$D$3:$O$19,MATCH(B194,FX!$B$3:$B$32,0),MATCH(D194,FX!$D$2:$O$2,0))</f>
        <v>924</v>
      </c>
      <c r="T194" s="12" t="s">
        <v>144</v>
      </c>
      <c r="U194" s="12" t="s">
        <v>155</v>
      </c>
      <c r="V194" s="12" t="s">
        <v>83</v>
      </c>
      <c r="W194" s="8" t="str">
        <f>VLOOKUP(I194,Map!$F$18:$H$51,3,0)</f>
        <v>Variable</v>
      </c>
      <c r="X194" s="88" t="s">
        <v>172</v>
      </c>
      <c r="Y194" s="107" t="str">
        <f>VLOOKUP(L194,Map!$C$18:$D$29,2,0)</f>
        <v>DLT</v>
      </c>
      <c r="Z194" s="52"/>
      <c r="AA194" s="56">
        <f t="shared" si="68"/>
        <v>0</v>
      </c>
      <c r="AB194" s="56">
        <f t="shared" si="69"/>
        <v>0</v>
      </c>
      <c r="AC194" s="31">
        <f t="shared" si="70"/>
        <v>0</v>
      </c>
      <c r="AD194" s="31">
        <f t="shared" si="71"/>
        <v>0</v>
      </c>
      <c r="AE194" s="60">
        <f t="shared" si="72"/>
        <v>0</v>
      </c>
      <c r="AF194" s="8"/>
    </row>
    <row r="195" spans="2:32" s="1" customFormat="1" ht="13" hidden="1" x14ac:dyDescent="0.3">
      <c r="B195" s="12">
        <v>2026</v>
      </c>
      <c r="C195" s="12" t="s">
        <v>153</v>
      </c>
      <c r="D195" s="12" t="s">
        <v>80</v>
      </c>
      <c r="E195" s="12" t="s">
        <v>88</v>
      </c>
      <c r="F195" s="12" t="s">
        <v>172</v>
      </c>
      <c r="G195" s="83"/>
      <c r="H195" s="93"/>
      <c r="I195" s="12" t="s">
        <v>147</v>
      </c>
      <c r="J195" s="8" t="str">
        <f>IFERROR(VLOOKUP(I195,Map!$F$18:$G$56,2,0),"Add in Map")</f>
        <v>3P</v>
      </c>
      <c r="K195" s="8" t="str">
        <f>VLOOKUP(L195,Map!$C$18:$D$29,2,0)</f>
        <v>DMT</v>
      </c>
      <c r="L195" s="12" t="s">
        <v>54</v>
      </c>
      <c r="M195" s="52">
        <v>0</v>
      </c>
      <c r="N195" s="56">
        <f t="shared" si="77"/>
        <v>0</v>
      </c>
      <c r="O195" s="56">
        <f t="shared" si="78"/>
        <v>0</v>
      </c>
      <c r="P195" s="48">
        <f t="shared" si="79"/>
        <v>0</v>
      </c>
      <c r="Q195" s="31">
        <f t="shared" si="80"/>
        <v>0</v>
      </c>
      <c r="R195" s="60">
        <f t="shared" si="67"/>
        <v>0</v>
      </c>
      <c r="S195" s="45">
        <f>INDEX(FX!$D$3:$O$19,MATCH(B195,FX!$B$3:$B$32,0),MATCH(D195,FX!$D$2:$O$2,0))</f>
        <v>924</v>
      </c>
      <c r="T195" s="12" t="s">
        <v>144</v>
      </c>
      <c r="U195" s="12" t="s">
        <v>155</v>
      </c>
      <c r="V195" s="12" t="s">
        <v>83</v>
      </c>
      <c r="W195" s="8" t="str">
        <f>VLOOKUP(I195,Map!$F$18:$H$51,3,0)</f>
        <v>Variable</v>
      </c>
      <c r="X195" s="88" t="s">
        <v>172</v>
      </c>
      <c r="Y195" s="107" t="str">
        <f>VLOOKUP(L195,Map!$C$18:$D$29,2,0)</f>
        <v>DMT</v>
      </c>
      <c r="Z195" s="52"/>
      <c r="AA195" s="56">
        <f t="shared" si="68"/>
        <v>0</v>
      </c>
      <c r="AB195" s="56">
        <f t="shared" si="69"/>
        <v>0</v>
      </c>
      <c r="AC195" s="48">
        <f t="shared" si="70"/>
        <v>0</v>
      </c>
      <c r="AD195" s="31">
        <f t="shared" si="71"/>
        <v>0</v>
      </c>
      <c r="AE195" s="60">
        <f t="shared" si="72"/>
        <v>0</v>
      </c>
      <c r="AF195" s="8"/>
    </row>
    <row r="196" spans="2:32" s="37" customFormat="1" hidden="1" x14ac:dyDescent="0.35">
      <c r="B196" s="13">
        <v>2026</v>
      </c>
      <c r="C196" s="13" t="s">
        <v>153</v>
      </c>
      <c r="D196" s="13" t="s">
        <v>80</v>
      </c>
      <c r="E196" s="13" t="s">
        <v>88</v>
      </c>
      <c r="F196" s="13" t="s">
        <v>172</v>
      </c>
      <c r="G196" s="85"/>
      <c r="H196" s="94"/>
      <c r="I196" s="13" t="s">
        <v>147</v>
      </c>
      <c r="J196" s="29" t="str">
        <f>IFERROR(VLOOKUP(I196,Map!$F$18:$G$56,2,0),"Add in Map")</f>
        <v>3P</v>
      </c>
      <c r="K196" s="29" t="str">
        <f>VLOOKUP(L196,Map!$C$18:$D$29,2,0)</f>
        <v>TOTAL</v>
      </c>
      <c r="L196" s="13" t="s">
        <v>56</v>
      </c>
      <c r="M196" s="57">
        <f>SUM(M185:M195)</f>
        <v>9202504.1204424165</v>
      </c>
      <c r="N196" s="57">
        <f t="shared" si="77"/>
        <v>1748475.7828840592</v>
      </c>
      <c r="O196" s="57">
        <f t="shared" si="78"/>
        <v>10950979.903326476</v>
      </c>
      <c r="P196" s="11">
        <f t="shared" si="79"/>
        <v>9959.4200437688487</v>
      </c>
      <c r="Q196" s="11">
        <f t="shared" si="80"/>
        <v>1892.2898083160812</v>
      </c>
      <c r="R196" s="61">
        <f t="shared" si="67"/>
        <v>11851.709852084929</v>
      </c>
      <c r="S196" s="46">
        <f>INDEX(FX!$D$3:$O$19,MATCH(B196,FX!$B$3:$B$32,0),MATCH(D196,FX!$D$2:$O$2,0))</f>
        <v>924</v>
      </c>
      <c r="T196" s="13" t="s">
        <v>144</v>
      </c>
      <c r="U196" s="13" t="s">
        <v>155</v>
      </c>
      <c r="V196" s="13" t="s">
        <v>83</v>
      </c>
      <c r="W196" s="29" t="str">
        <f>VLOOKUP(I196,Map!$F$18:$H$51,3,0)</f>
        <v>Variable</v>
      </c>
      <c r="X196" s="90" t="s">
        <v>172</v>
      </c>
      <c r="Y196" s="109" t="str">
        <f>VLOOKUP(L196,Map!$C$18:$D$29,2,0)</f>
        <v>TOTAL</v>
      </c>
      <c r="Z196" s="53"/>
      <c r="AA196" s="57">
        <f t="shared" si="68"/>
        <v>0</v>
      </c>
      <c r="AB196" s="57">
        <f t="shared" si="69"/>
        <v>0</v>
      </c>
      <c r="AC196" s="11">
        <f t="shared" si="70"/>
        <v>0</v>
      </c>
      <c r="AD196" s="11">
        <f t="shared" si="71"/>
        <v>0</v>
      </c>
      <c r="AE196" s="61">
        <f t="shared" si="72"/>
        <v>0</v>
      </c>
      <c r="AF196" s="87"/>
    </row>
    <row r="197" spans="2:32" s="5" customFormat="1" ht="13" hidden="1" x14ac:dyDescent="0.3">
      <c r="B197" s="114">
        <v>2026</v>
      </c>
      <c r="C197" s="114" t="s">
        <v>154</v>
      </c>
      <c r="D197" s="114" t="s">
        <v>80</v>
      </c>
      <c r="E197" s="114" t="s">
        <v>88</v>
      </c>
      <c r="F197" s="114" t="s">
        <v>172</v>
      </c>
      <c r="G197" s="115"/>
      <c r="H197" s="116"/>
      <c r="I197" s="114" t="s">
        <v>147</v>
      </c>
      <c r="J197" s="117" t="str">
        <f>IFERROR(VLOOKUP(I197,Map!$F$18:$G$56,2,0),"Add in Map")</f>
        <v>3P</v>
      </c>
      <c r="K197" s="117" t="str">
        <f>VLOOKUP(L197,Map!$C$18:$D$29,2,0)</f>
        <v>CNT</v>
      </c>
      <c r="L197" s="114" t="s">
        <v>31</v>
      </c>
      <c r="M197" s="118">
        <v>1472757.2515830637</v>
      </c>
      <c r="N197" s="119">
        <f t="shared" ref="N197:N220" si="81">IF(L197="TOTAL",(M197*0.19),0)</f>
        <v>0</v>
      </c>
      <c r="O197" s="119">
        <f t="shared" ref="O197:O220" si="82">M197*1.19</f>
        <v>1752581.1293838457</v>
      </c>
      <c r="P197" s="120">
        <f t="shared" ref="P197:P220" si="83">M197/S197</f>
        <v>1593.8931294189001</v>
      </c>
      <c r="Q197" s="120">
        <f t="shared" ref="Q197:Q220" si="84">IF(L197="TOTAL",(P197*0.19),0)</f>
        <v>0</v>
      </c>
      <c r="R197" s="121">
        <f t="shared" ref="R197:R220" si="85">P197*1.19</f>
        <v>1896.732824008491</v>
      </c>
      <c r="S197" s="122">
        <f>INDEX(FX!$D$3:$O$19,MATCH(B197,FX!$B$3:$B$32,0),MATCH(D197,FX!$D$2:$O$2,0))</f>
        <v>924</v>
      </c>
      <c r="T197" s="114" t="s">
        <v>143</v>
      </c>
      <c r="U197" s="114" t="s">
        <v>155</v>
      </c>
      <c r="V197" s="114" t="s">
        <v>83</v>
      </c>
      <c r="W197" s="117" t="str">
        <f>VLOOKUP(I197,Map!$F$18:$H$51,3,0)</f>
        <v>Variable</v>
      </c>
      <c r="X197" s="123" t="s">
        <v>172</v>
      </c>
      <c r="Y197" s="124" t="str">
        <f>VLOOKUP(L197,Map!$C$18:$D$29,2,0)</f>
        <v>CNT</v>
      </c>
      <c r="Z197" s="118"/>
      <c r="AA197" s="119">
        <f t="shared" ref="AA197:AA220" si="86">IF(Y197="TOTAL",(Z197*0.19),0)</f>
        <v>0</v>
      </c>
      <c r="AB197" s="119">
        <f t="shared" ref="AB197:AB220" si="87">Z197*1.19</f>
        <v>0</v>
      </c>
      <c r="AC197" s="120">
        <f t="shared" ref="AC197:AC220" si="88">Z197/S197</f>
        <v>0</v>
      </c>
      <c r="AD197" s="120">
        <f t="shared" ref="AD197:AD220" si="89">IF(Y197="TOTAL",(AC197*0.19),0)</f>
        <v>0</v>
      </c>
      <c r="AE197" s="121">
        <f t="shared" ref="AE197:AE220" si="90">AC197*1.19</f>
        <v>0</v>
      </c>
      <c r="AF197" s="117"/>
    </row>
    <row r="198" spans="2:32" s="1" customFormat="1" ht="13" hidden="1" x14ac:dyDescent="0.3">
      <c r="B198" s="12">
        <v>2026</v>
      </c>
      <c r="C198" s="12" t="s">
        <v>154</v>
      </c>
      <c r="D198" s="12" t="s">
        <v>80</v>
      </c>
      <c r="E198" s="12" t="s">
        <v>88</v>
      </c>
      <c r="F198" s="12" t="s">
        <v>172</v>
      </c>
      <c r="G198" s="83"/>
      <c r="H198" s="93"/>
      <c r="I198" s="12" t="s">
        <v>147</v>
      </c>
      <c r="J198" s="8" t="str">
        <f>IFERROR(VLOOKUP(I198,Map!$F$18:$G$56,2,0),"Add in Map")</f>
        <v>3P</v>
      </c>
      <c r="K198" s="8" t="str">
        <f>VLOOKUP(L198,Map!$C$18:$D$29,2,0)</f>
        <v>CVT</v>
      </c>
      <c r="L198" s="12" t="s">
        <v>36</v>
      </c>
      <c r="M198" s="52">
        <v>0</v>
      </c>
      <c r="N198" s="56">
        <f t="shared" si="81"/>
        <v>0</v>
      </c>
      <c r="O198" s="56">
        <f t="shared" si="82"/>
        <v>0</v>
      </c>
      <c r="P198" s="31">
        <f t="shared" si="83"/>
        <v>0</v>
      </c>
      <c r="Q198" s="31">
        <f t="shared" si="84"/>
        <v>0</v>
      </c>
      <c r="R198" s="60">
        <f t="shared" si="85"/>
        <v>0</v>
      </c>
      <c r="S198" s="45">
        <f>INDEX(FX!$D$3:$O$19,MATCH(B198,FX!$B$3:$B$32,0),MATCH(D198,FX!$D$2:$O$2,0))</f>
        <v>924</v>
      </c>
      <c r="T198" s="12" t="s">
        <v>143</v>
      </c>
      <c r="U198" s="12" t="s">
        <v>155</v>
      </c>
      <c r="V198" s="12" t="s">
        <v>83</v>
      </c>
      <c r="W198" s="8" t="str">
        <f>VLOOKUP(I198,Map!$F$18:$H$51,3,0)</f>
        <v>Variable</v>
      </c>
      <c r="X198" s="88" t="s">
        <v>172</v>
      </c>
      <c r="Y198" s="107" t="str">
        <f>VLOOKUP(L198,Map!$C$18:$D$29,2,0)</f>
        <v>CVT</v>
      </c>
      <c r="Z198" s="52"/>
      <c r="AA198" s="56">
        <f t="shared" si="86"/>
        <v>0</v>
      </c>
      <c r="AB198" s="56">
        <f t="shared" si="87"/>
        <v>0</v>
      </c>
      <c r="AC198" s="31">
        <f t="shared" si="88"/>
        <v>0</v>
      </c>
      <c r="AD198" s="31">
        <f t="shared" si="89"/>
        <v>0</v>
      </c>
      <c r="AE198" s="60">
        <f t="shared" si="90"/>
        <v>0</v>
      </c>
      <c r="AF198" s="8"/>
    </row>
    <row r="199" spans="2:32" s="1" customFormat="1" ht="13" hidden="1" x14ac:dyDescent="0.3">
      <c r="B199" s="12">
        <v>2026</v>
      </c>
      <c r="C199" s="12" t="s">
        <v>154</v>
      </c>
      <c r="D199" s="12" t="s">
        <v>80</v>
      </c>
      <c r="E199" s="12" t="s">
        <v>88</v>
      </c>
      <c r="F199" s="12" t="s">
        <v>172</v>
      </c>
      <c r="G199" s="83"/>
      <c r="H199" s="93"/>
      <c r="I199" s="12" t="s">
        <v>147</v>
      </c>
      <c r="J199" s="8" t="str">
        <f>IFERROR(VLOOKUP(I199,Map!$F$18:$G$56,2,0),"Add in Map")</f>
        <v>3P</v>
      </c>
      <c r="K199" s="8" t="str">
        <f>VLOOKUP(L199,Map!$C$18:$D$29,2,0)</f>
        <v>CDT</v>
      </c>
      <c r="L199" s="12" t="s">
        <v>38</v>
      </c>
      <c r="M199" s="52">
        <v>0</v>
      </c>
      <c r="N199" s="56">
        <f t="shared" si="81"/>
        <v>0</v>
      </c>
      <c r="O199" s="56">
        <f t="shared" si="82"/>
        <v>0</v>
      </c>
      <c r="P199" s="31">
        <f t="shared" si="83"/>
        <v>0</v>
      </c>
      <c r="Q199" s="31">
        <f t="shared" si="84"/>
        <v>0</v>
      </c>
      <c r="R199" s="60">
        <f t="shared" si="85"/>
        <v>0</v>
      </c>
      <c r="S199" s="45">
        <f>INDEX(FX!$D$3:$O$19,MATCH(B199,FX!$B$3:$B$32,0),MATCH(D199,FX!$D$2:$O$2,0))</f>
        <v>924</v>
      </c>
      <c r="T199" s="12" t="s">
        <v>143</v>
      </c>
      <c r="U199" s="12" t="s">
        <v>155</v>
      </c>
      <c r="V199" s="12" t="s">
        <v>83</v>
      </c>
      <c r="W199" s="8" t="str">
        <f>VLOOKUP(I199,Map!$F$18:$H$51,3,0)</f>
        <v>Variable</v>
      </c>
      <c r="X199" s="88" t="s">
        <v>172</v>
      </c>
      <c r="Y199" s="107" t="str">
        <f>VLOOKUP(L199,Map!$C$18:$D$29,2,0)</f>
        <v>CDT</v>
      </c>
      <c r="Z199" s="52"/>
      <c r="AA199" s="56">
        <f t="shared" si="86"/>
        <v>0</v>
      </c>
      <c r="AB199" s="56">
        <f t="shared" si="87"/>
        <v>0</v>
      </c>
      <c r="AC199" s="31">
        <f t="shared" si="88"/>
        <v>0</v>
      </c>
      <c r="AD199" s="31">
        <f t="shared" si="89"/>
        <v>0</v>
      </c>
      <c r="AE199" s="60">
        <f t="shared" si="90"/>
        <v>0</v>
      </c>
      <c r="AF199" s="8"/>
    </row>
    <row r="200" spans="2:32" s="1" customFormat="1" ht="13" hidden="1" x14ac:dyDescent="0.3">
      <c r="B200" s="12">
        <v>2026</v>
      </c>
      <c r="C200" s="12" t="s">
        <v>154</v>
      </c>
      <c r="D200" s="12" t="s">
        <v>80</v>
      </c>
      <c r="E200" s="12" t="s">
        <v>88</v>
      </c>
      <c r="F200" s="12" t="s">
        <v>172</v>
      </c>
      <c r="G200" s="83"/>
      <c r="H200" s="93"/>
      <c r="I200" s="12" t="s">
        <v>147</v>
      </c>
      <c r="J200" s="8" t="str">
        <f>IFERROR(VLOOKUP(I200,Map!$F$18:$G$56,2,0),"Add in Map")</f>
        <v>3P</v>
      </c>
      <c r="K200" s="8" t="str">
        <f>VLOOKUP(L200,Map!$C$18:$D$29,2,0)</f>
        <v>DFT</v>
      </c>
      <c r="L200" s="12" t="s">
        <v>40</v>
      </c>
      <c r="M200" s="52">
        <v>4602366.4111970747</v>
      </c>
      <c r="N200" s="56">
        <f t="shared" si="81"/>
        <v>0</v>
      </c>
      <c r="O200" s="56">
        <f t="shared" si="82"/>
        <v>5476816.0293245185</v>
      </c>
      <c r="P200" s="31">
        <f t="shared" si="83"/>
        <v>4980.9160294340636</v>
      </c>
      <c r="Q200" s="31">
        <f t="shared" si="84"/>
        <v>0</v>
      </c>
      <c r="R200" s="60">
        <f t="shared" si="85"/>
        <v>5927.2900750265353</v>
      </c>
      <c r="S200" s="45">
        <f>INDEX(FX!$D$3:$O$19,MATCH(B200,FX!$B$3:$B$32,0),MATCH(D200,FX!$D$2:$O$2,0))</f>
        <v>924</v>
      </c>
      <c r="T200" s="12" t="s">
        <v>143</v>
      </c>
      <c r="U200" s="12" t="s">
        <v>155</v>
      </c>
      <c r="V200" s="12" t="s">
        <v>83</v>
      </c>
      <c r="W200" s="8" t="str">
        <f>VLOOKUP(I200,Map!$F$18:$H$51,3,0)</f>
        <v>Variable</v>
      </c>
      <c r="X200" s="88" t="s">
        <v>172</v>
      </c>
      <c r="Y200" s="107" t="str">
        <f>VLOOKUP(L200,Map!$C$18:$D$29,2,0)</f>
        <v>DFT</v>
      </c>
      <c r="Z200" s="52"/>
      <c r="AA200" s="56">
        <f t="shared" si="86"/>
        <v>0</v>
      </c>
      <c r="AB200" s="56">
        <f t="shared" si="87"/>
        <v>0</v>
      </c>
      <c r="AC200" s="31">
        <f t="shared" si="88"/>
        <v>0</v>
      </c>
      <c r="AD200" s="31">
        <f t="shared" si="89"/>
        <v>0</v>
      </c>
      <c r="AE200" s="60">
        <f t="shared" si="90"/>
        <v>0</v>
      </c>
      <c r="AF200" s="8"/>
    </row>
    <row r="201" spans="2:32" s="1" customFormat="1" ht="13" hidden="1" x14ac:dyDescent="0.3">
      <c r="B201" s="12">
        <v>2026</v>
      </c>
      <c r="C201" s="12" t="s">
        <v>154</v>
      </c>
      <c r="D201" s="12" t="s">
        <v>80</v>
      </c>
      <c r="E201" s="12" t="s">
        <v>88</v>
      </c>
      <c r="F201" s="12" t="s">
        <v>172</v>
      </c>
      <c r="G201" s="83"/>
      <c r="H201" s="93"/>
      <c r="I201" s="12" t="s">
        <v>147</v>
      </c>
      <c r="J201" s="8" t="str">
        <f>IFERROR(VLOOKUP(I201,Map!$F$18:$G$56,2,0),"Add in Map")</f>
        <v>3P</v>
      </c>
      <c r="K201" s="8" t="str">
        <f>VLOOKUP(L201,Map!$C$18:$D$29,2,0)</f>
        <v>DVT</v>
      </c>
      <c r="L201" s="12" t="s">
        <v>42</v>
      </c>
      <c r="M201" s="52">
        <v>0</v>
      </c>
      <c r="N201" s="56">
        <f t="shared" si="81"/>
        <v>0</v>
      </c>
      <c r="O201" s="56">
        <f t="shared" si="82"/>
        <v>0</v>
      </c>
      <c r="P201" s="31">
        <f t="shared" si="83"/>
        <v>0</v>
      </c>
      <c r="Q201" s="31">
        <f t="shared" si="84"/>
        <v>0</v>
      </c>
      <c r="R201" s="60">
        <f t="shared" si="85"/>
        <v>0</v>
      </c>
      <c r="S201" s="45">
        <f>INDEX(FX!$D$3:$O$19,MATCH(B201,FX!$B$3:$B$32,0),MATCH(D201,FX!$D$2:$O$2,0))</f>
        <v>924</v>
      </c>
      <c r="T201" s="12" t="s">
        <v>143</v>
      </c>
      <c r="U201" s="12" t="s">
        <v>155</v>
      </c>
      <c r="V201" s="12" t="s">
        <v>83</v>
      </c>
      <c r="W201" s="8" t="str">
        <f>VLOOKUP(I201,Map!$F$18:$H$51,3,0)</f>
        <v>Variable</v>
      </c>
      <c r="X201" s="88" t="s">
        <v>172</v>
      </c>
      <c r="Y201" s="107" t="str">
        <f>VLOOKUP(L201,Map!$C$18:$D$29,2,0)</f>
        <v>DVT</v>
      </c>
      <c r="Z201" s="52"/>
      <c r="AA201" s="56">
        <f t="shared" si="86"/>
        <v>0</v>
      </c>
      <c r="AB201" s="56">
        <f t="shared" si="87"/>
        <v>0</v>
      </c>
      <c r="AC201" s="31">
        <f t="shared" si="88"/>
        <v>0</v>
      </c>
      <c r="AD201" s="31">
        <f t="shared" si="89"/>
        <v>0</v>
      </c>
      <c r="AE201" s="60">
        <f t="shared" si="90"/>
        <v>0</v>
      </c>
      <c r="AF201" s="8"/>
    </row>
    <row r="202" spans="2:32" s="1" customFormat="1" ht="13" hidden="1" x14ac:dyDescent="0.3">
      <c r="B202" s="12">
        <v>2026</v>
      </c>
      <c r="C202" s="12" t="s">
        <v>154</v>
      </c>
      <c r="D202" s="12" t="s">
        <v>80</v>
      </c>
      <c r="E202" s="12" t="s">
        <v>88</v>
      </c>
      <c r="F202" s="12" t="s">
        <v>172</v>
      </c>
      <c r="G202" s="83"/>
      <c r="H202" s="93"/>
      <c r="I202" s="12" t="s">
        <v>147</v>
      </c>
      <c r="J202" s="8" t="str">
        <f>IFERROR(VLOOKUP(I202,Map!$F$18:$G$56,2,0),"Add in Map")</f>
        <v>3P</v>
      </c>
      <c r="K202" s="8" t="str">
        <f>VLOOKUP(L202,Map!$C$18:$D$29,2,0)</f>
        <v>GLT</v>
      </c>
      <c r="L202" s="12" t="s">
        <v>44</v>
      </c>
      <c r="M202" s="52">
        <v>2798238.7780078212</v>
      </c>
      <c r="N202" s="56">
        <f t="shared" si="81"/>
        <v>0</v>
      </c>
      <c r="O202" s="56">
        <f t="shared" si="82"/>
        <v>3329904.1458293069</v>
      </c>
      <c r="P202" s="31">
        <f t="shared" si="83"/>
        <v>3028.3969458959104</v>
      </c>
      <c r="Q202" s="31">
        <f t="shared" si="84"/>
        <v>0</v>
      </c>
      <c r="R202" s="60">
        <f t="shared" si="85"/>
        <v>3603.7923656161333</v>
      </c>
      <c r="S202" s="45">
        <f>INDEX(FX!$D$3:$O$19,MATCH(B202,FX!$B$3:$B$32,0),MATCH(D202,FX!$D$2:$O$2,0))</f>
        <v>924</v>
      </c>
      <c r="T202" s="12" t="s">
        <v>143</v>
      </c>
      <c r="U202" s="12" t="s">
        <v>155</v>
      </c>
      <c r="V202" s="12" t="s">
        <v>83</v>
      </c>
      <c r="W202" s="8" t="str">
        <f>VLOOKUP(I202,Map!$F$18:$H$51,3,0)</f>
        <v>Variable</v>
      </c>
      <c r="X202" s="88" t="s">
        <v>172</v>
      </c>
      <c r="Y202" s="107" t="str">
        <f>VLOOKUP(L202,Map!$C$18:$D$29,2,0)</f>
        <v>GLT</v>
      </c>
      <c r="Z202" s="52"/>
      <c r="AA202" s="56">
        <f t="shared" si="86"/>
        <v>0</v>
      </c>
      <c r="AB202" s="56">
        <f t="shared" si="87"/>
        <v>0</v>
      </c>
      <c r="AC202" s="31">
        <f t="shared" si="88"/>
        <v>0</v>
      </c>
      <c r="AD202" s="31">
        <f t="shared" si="89"/>
        <v>0</v>
      </c>
      <c r="AE202" s="60">
        <f t="shared" si="90"/>
        <v>0</v>
      </c>
      <c r="AF202" s="8"/>
    </row>
    <row r="203" spans="2:32" s="1" customFormat="1" ht="13" hidden="1" x14ac:dyDescent="0.3">
      <c r="B203" s="12">
        <v>2026</v>
      </c>
      <c r="C203" s="12" t="s">
        <v>154</v>
      </c>
      <c r="D203" s="12" t="s">
        <v>80</v>
      </c>
      <c r="E203" s="12" t="s">
        <v>88</v>
      </c>
      <c r="F203" s="12" t="s">
        <v>172</v>
      </c>
      <c r="G203" s="83"/>
      <c r="H203" s="93"/>
      <c r="I203" s="12" t="s">
        <v>147</v>
      </c>
      <c r="J203" s="8" t="str">
        <f>IFERROR(VLOOKUP(I203,Map!$F$18:$G$56,2,0),"Add in Map")</f>
        <v>3P</v>
      </c>
      <c r="K203" s="8" t="str">
        <f>VLOOKUP(L203,Map!$C$18:$D$29,2,0)</f>
        <v>PNT</v>
      </c>
      <c r="L203" s="12" t="s">
        <v>46</v>
      </c>
      <c r="M203" s="52">
        <v>147275.72515830636</v>
      </c>
      <c r="N203" s="56">
        <f t="shared" si="81"/>
        <v>0</v>
      </c>
      <c r="O203" s="56">
        <f t="shared" si="82"/>
        <v>175258.11293838455</v>
      </c>
      <c r="P203" s="31">
        <f t="shared" si="83"/>
        <v>159.38931294189001</v>
      </c>
      <c r="Q203" s="31">
        <f t="shared" si="84"/>
        <v>0</v>
      </c>
      <c r="R203" s="60">
        <f t="shared" si="85"/>
        <v>189.6732824008491</v>
      </c>
      <c r="S203" s="45">
        <f>INDEX(FX!$D$3:$O$19,MATCH(B203,FX!$B$3:$B$32,0),MATCH(D203,FX!$D$2:$O$2,0))</f>
        <v>924</v>
      </c>
      <c r="T203" s="12" t="s">
        <v>143</v>
      </c>
      <c r="U203" s="12" t="s">
        <v>155</v>
      </c>
      <c r="V203" s="12" t="s">
        <v>83</v>
      </c>
      <c r="W203" s="8" t="str">
        <f>VLOOKUP(I203,Map!$F$18:$H$51,3,0)</f>
        <v>Variable</v>
      </c>
      <c r="X203" s="88" t="s">
        <v>172</v>
      </c>
      <c r="Y203" s="107" t="str">
        <f>VLOOKUP(L203,Map!$C$18:$D$29,2,0)</f>
        <v>PNT</v>
      </c>
      <c r="Z203" s="52"/>
      <c r="AA203" s="56">
        <f t="shared" si="86"/>
        <v>0</v>
      </c>
      <c r="AB203" s="56">
        <f t="shared" si="87"/>
        <v>0</v>
      </c>
      <c r="AC203" s="31">
        <f t="shared" si="88"/>
        <v>0</v>
      </c>
      <c r="AD203" s="31">
        <f t="shared" si="89"/>
        <v>0</v>
      </c>
      <c r="AE203" s="60">
        <f t="shared" si="90"/>
        <v>0</v>
      </c>
      <c r="AF203" s="8"/>
    </row>
    <row r="204" spans="2:32" s="1" customFormat="1" ht="13" hidden="1" x14ac:dyDescent="0.3">
      <c r="B204" s="12">
        <v>2026</v>
      </c>
      <c r="C204" s="12" t="s">
        <v>154</v>
      </c>
      <c r="D204" s="12" t="s">
        <v>80</v>
      </c>
      <c r="E204" s="12" t="s">
        <v>88</v>
      </c>
      <c r="F204" s="12" t="s">
        <v>172</v>
      </c>
      <c r="G204" s="83"/>
      <c r="H204" s="93"/>
      <c r="I204" s="12" t="s">
        <v>147</v>
      </c>
      <c r="J204" s="8" t="str">
        <f>IFERROR(VLOOKUP(I204,Map!$F$18:$G$56,2,0),"Add in Map")</f>
        <v>3P</v>
      </c>
      <c r="K204" s="8" t="str">
        <f>VLOOKUP(L204,Map!$C$18:$D$29,2,0)</f>
        <v>GTT</v>
      </c>
      <c r="L204" s="12" t="s">
        <v>48</v>
      </c>
      <c r="M204" s="52">
        <v>147275.72515830636</v>
      </c>
      <c r="N204" s="56">
        <f t="shared" si="81"/>
        <v>0</v>
      </c>
      <c r="O204" s="56">
        <f t="shared" si="82"/>
        <v>175258.11293838455</v>
      </c>
      <c r="P204" s="31">
        <f t="shared" si="83"/>
        <v>159.38931294189001</v>
      </c>
      <c r="Q204" s="31">
        <f t="shared" si="84"/>
        <v>0</v>
      </c>
      <c r="R204" s="60">
        <f t="shared" si="85"/>
        <v>189.6732824008491</v>
      </c>
      <c r="S204" s="45">
        <f>INDEX(FX!$D$3:$O$19,MATCH(B204,FX!$B$3:$B$32,0),MATCH(D204,FX!$D$2:$O$2,0))</f>
        <v>924</v>
      </c>
      <c r="T204" s="12" t="s">
        <v>143</v>
      </c>
      <c r="U204" s="12" t="s">
        <v>155</v>
      </c>
      <c r="V204" s="12" t="s">
        <v>83</v>
      </c>
      <c r="W204" s="8" t="str">
        <f>VLOOKUP(I204,Map!$F$18:$H$51,3,0)</f>
        <v>Variable</v>
      </c>
      <c r="X204" s="88" t="s">
        <v>172</v>
      </c>
      <c r="Y204" s="107" t="str">
        <f>VLOOKUP(L204,Map!$C$18:$D$29,2,0)</f>
        <v>GTT</v>
      </c>
      <c r="Z204" s="52"/>
      <c r="AA204" s="56">
        <f t="shared" si="86"/>
        <v>0</v>
      </c>
      <c r="AB204" s="56">
        <f t="shared" si="87"/>
        <v>0</v>
      </c>
      <c r="AC204" s="31">
        <f t="shared" si="88"/>
        <v>0</v>
      </c>
      <c r="AD204" s="31">
        <f t="shared" si="89"/>
        <v>0</v>
      </c>
      <c r="AE204" s="60">
        <f t="shared" si="90"/>
        <v>0</v>
      </c>
      <c r="AF204" s="8"/>
    </row>
    <row r="205" spans="2:32" s="1" customFormat="1" ht="13" hidden="1" x14ac:dyDescent="0.3">
      <c r="B205" s="12">
        <v>2026</v>
      </c>
      <c r="C205" s="12" t="s">
        <v>154</v>
      </c>
      <c r="D205" s="12" t="s">
        <v>80</v>
      </c>
      <c r="E205" s="12" t="s">
        <v>88</v>
      </c>
      <c r="F205" s="12" t="s">
        <v>172</v>
      </c>
      <c r="G205" s="83"/>
      <c r="H205" s="93"/>
      <c r="I205" s="12" t="s">
        <v>147</v>
      </c>
      <c r="J205" s="8" t="str">
        <f>IFERROR(VLOOKUP(I205,Map!$F$18:$G$56,2,0),"Add in Map")</f>
        <v>3P</v>
      </c>
      <c r="K205" s="8" t="str">
        <f>VLOOKUP(L205,Map!$C$18:$D$29,2,0)</f>
        <v>DGT</v>
      </c>
      <c r="L205" s="12" t="s">
        <v>50</v>
      </c>
      <c r="M205" s="52">
        <v>0</v>
      </c>
      <c r="N205" s="56">
        <f t="shared" si="81"/>
        <v>0</v>
      </c>
      <c r="O205" s="56">
        <f t="shared" si="82"/>
        <v>0</v>
      </c>
      <c r="P205" s="31">
        <f t="shared" si="83"/>
        <v>0</v>
      </c>
      <c r="Q205" s="31">
        <f t="shared" si="84"/>
        <v>0</v>
      </c>
      <c r="R205" s="60">
        <f t="shared" si="85"/>
        <v>0</v>
      </c>
      <c r="S205" s="45">
        <f>INDEX(FX!$D$3:$O$19,MATCH(B205,FX!$B$3:$B$32,0),MATCH(D205,FX!$D$2:$O$2,0))</f>
        <v>924</v>
      </c>
      <c r="T205" s="12" t="s">
        <v>143</v>
      </c>
      <c r="U205" s="12" t="s">
        <v>155</v>
      </c>
      <c r="V205" s="12" t="s">
        <v>83</v>
      </c>
      <c r="W205" s="8" t="str">
        <f>VLOOKUP(I205,Map!$F$18:$H$51,3,0)</f>
        <v>Variable</v>
      </c>
      <c r="X205" s="88" t="s">
        <v>172</v>
      </c>
      <c r="Y205" s="107" t="str">
        <f>VLOOKUP(L205,Map!$C$18:$D$29,2,0)</f>
        <v>DGT</v>
      </c>
      <c r="Z205" s="52"/>
      <c r="AA205" s="56">
        <f t="shared" si="86"/>
        <v>0</v>
      </c>
      <c r="AB205" s="56">
        <f t="shared" si="87"/>
        <v>0</v>
      </c>
      <c r="AC205" s="31">
        <f t="shared" si="88"/>
        <v>0</v>
      </c>
      <c r="AD205" s="31">
        <f t="shared" si="89"/>
        <v>0</v>
      </c>
      <c r="AE205" s="60">
        <f t="shared" si="90"/>
        <v>0</v>
      </c>
      <c r="AF205" s="8"/>
    </row>
    <row r="206" spans="2:32" s="1" customFormat="1" ht="13" hidden="1" x14ac:dyDescent="0.3">
      <c r="B206" s="12">
        <v>2026</v>
      </c>
      <c r="C206" s="12" t="s">
        <v>154</v>
      </c>
      <c r="D206" s="12" t="s">
        <v>80</v>
      </c>
      <c r="E206" s="12" t="s">
        <v>88</v>
      </c>
      <c r="F206" s="12" t="s">
        <v>172</v>
      </c>
      <c r="G206" s="83"/>
      <c r="H206" s="93"/>
      <c r="I206" s="12" t="s">
        <v>147</v>
      </c>
      <c r="J206" s="8" t="str">
        <f>IFERROR(VLOOKUP(I206,Map!$F$18:$G$56,2,0),"Add in Map")</f>
        <v>3P</v>
      </c>
      <c r="K206" s="8" t="str">
        <f>VLOOKUP(L206,Map!$C$18:$D$29,2,0)</f>
        <v>DLT</v>
      </c>
      <c r="L206" s="12" t="s">
        <v>52</v>
      </c>
      <c r="M206" s="52">
        <v>0</v>
      </c>
      <c r="N206" s="56">
        <f t="shared" si="81"/>
        <v>0</v>
      </c>
      <c r="O206" s="56">
        <f t="shared" si="82"/>
        <v>0</v>
      </c>
      <c r="P206" s="31">
        <f t="shared" si="83"/>
        <v>0</v>
      </c>
      <c r="Q206" s="31">
        <f t="shared" si="84"/>
        <v>0</v>
      </c>
      <c r="R206" s="60">
        <f t="shared" si="85"/>
        <v>0</v>
      </c>
      <c r="S206" s="45">
        <f>INDEX(FX!$D$3:$O$19,MATCH(B206,FX!$B$3:$B$32,0),MATCH(D206,FX!$D$2:$O$2,0))</f>
        <v>924</v>
      </c>
      <c r="T206" s="12" t="s">
        <v>143</v>
      </c>
      <c r="U206" s="12" t="s">
        <v>155</v>
      </c>
      <c r="V206" s="12" t="s">
        <v>83</v>
      </c>
      <c r="W206" s="8" t="str">
        <f>VLOOKUP(I206,Map!$F$18:$H$51,3,0)</f>
        <v>Variable</v>
      </c>
      <c r="X206" s="88" t="s">
        <v>172</v>
      </c>
      <c r="Y206" s="107" t="str">
        <f>VLOOKUP(L206,Map!$C$18:$D$29,2,0)</f>
        <v>DLT</v>
      </c>
      <c r="Z206" s="52"/>
      <c r="AA206" s="56">
        <f t="shared" si="86"/>
        <v>0</v>
      </c>
      <c r="AB206" s="56">
        <f t="shared" si="87"/>
        <v>0</v>
      </c>
      <c r="AC206" s="31">
        <f t="shared" si="88"/>
        <v>0</v>
      </c>
      <c r="AD206" s="31">
        <f t="shared" si="89"/>
        <v>0</v>
      </c>
      <c r="AE206" s="60">
        <f t="shared" si="90"/>
        <v>0</v>
      </c>
      <c r="AF206" s="8"/>
    </row>
    <row r="207" spans="2:32" s="1" customFormat="1" ht="13" hidden="1" x14ac:dyDescent="0.3">
      <c r="B207" s="12">
        <v>2026</v>
      </c>
      <c r="C207" s="12" t="s">
        <v>154</v>
      </c>
      <c r="D207" s="12" t="s">
        <v>80</v>
      </c>
      <c r="E207" s="12" t="s">
        <v>88</v>
      </c>
      <c r="F207" s="12" t="s">
        <v>172</v>
      </c>
      <c r="G207" s="83"/>
      <c r="H207" s="93"/>
      <c r="I207" s="12" t="s">
        <v>147</v>
      </c>
      <c r="J207" s="8" t="str">
        <f>IFERROR(VLOOKUP(I207,Map!$F$18:$G$56,2,0),"Add in Map")</f>
        <v>3P</v>
      </c>
      <c r="K207" s="8" t="str">
        <f>VLOOKUP(L207,Map!$C$18:$D$29,2,0)</f>
        <v>DMT</v>
      </c>
      <c r="L207" s="12" t="s">
        <v>54</v>
      </c>
      <c r="M207" s="52">
        <v>0</v>
      </c>
      <c r="N207" s="56">
        <f t="shared" si="81"/>
        <v>0</v>
      </c>
      <c r="O207" s="56">
        <f t="shared" si="82"/>
        <v>0</v>
      </c>
      <c r="P207" s="48">
        <f t="shared" si="83"/>
        <v>0</v>
      </c>
      <c r="Q207" s="31">
        <f t="shared" si="84"/>
        <v>0</v>
      </c>
      <c r="R207" s="60">
        <f t="shared" si="85"/>
        <v>0</v>
      </c>
      <c r="S207" s="45">
        <f>INDEX(FX!$D$3:$O$19,MATCH(B207,FX!$B$3:$B$32,0),MATCH(D207,FX!$D$2:$O$2,0))</f>
        <v>924</v>
      </c>
      <c r="T207" s="12" t="s">
        <v>143</v>
      </c>
      <c r="U207" s="12" t="s">
        <v>155</v>
      </c>
      <c r="V207" s="12" t="s">
        <v>83</v>
      </c>
      <c r="W207" s="8" t="str">
        <f>VLOOKUP(I207,Map!$F$18:$H$51,3,0)</f>
        <v>Variable</v>
      </c>
      <c r="X207" s="88" t="s">
        <v>172</v>
      </c>
      <c r="Y207" s="107" t="str">
        <f>VLOOKUP(L207,Map!$C$18:$D$29,2,0)</f>
        <v>DMT</v>
      </c>
      <c r="Z207" s="52"/>
      <c r="AA207" s="56">
        <f t="shared" si="86"/>
        <v>0</v>
      </c>
      <c r="AB207" s="56">
        <f t="shared" si="87"/>
        <v>0</v>
      </c>
      <c r="AC207" s="48">
        <f t="shared" si="88"/>
        <v>0</v>
      </c>
      <c r="AD207" s="31">
        <f t="shared" si="89"/>
        <v>0</v>
      </c>
      <c r="AE207" s="60">
        <f t="shared" si="90"/>
        <v>0</v>
      </c>
      <c r="AF207" s="8"/>
    </row>
    <row r="208" spans="2:32" s="37" customFormat="1" hidden="1" x14ac:dyDescent="0.35">
      <c r="B208" s="13">
        <v>2026</v>
      </c>
      <c r="C208" s="13" t="s">
        <v>154</v>
      </c>
      <c r="D208" s="13" t="s">
        <v>80</v>
      </c>
      <c r="E208" s="13" t="s">
        <v>88</v>
      </c>
      <c r="F208" s="13" t="s">
        <v>172</v>
      </c>
      <c r="G208" s="85"/>
      <c r="H208" s="94"/>
      <c r="I208" s="13" t="s">
        <v>147</v>
      </c>
      <c r="J208" s="29" t="str">
        <f>IFERROR(VLOOKUP(I208,Map!$F$18:$G$56,2,0),"Add in Map")</f>
        <v>3P</v>
      </c>
      <c r="K208" s="29" t="str">
        <f>VLOOKUP(L208,Map!$C$18:$D$29,2,0)</f>
        <v>TOTAL</v>
      </c>
      <c r="L208" s="13" t="s">
        <v>56</v>
      </c>
      <c r="M208" s="57">
        <f>SUM(M197:M207)</f>
        <v>9167913.8911045715</v>
      </c>
      <c r="N208" s="57">
        <f t="shared" si="81"/>
        <v>1741903.6393098687</v>
      </c>
      <c r="O208" s="57">
        <f t="shared" si="82"/>
        <v>10909817.53041444</v>
      </c>
      <c r="P208" s="11">
        <f t="shared" si="83"/>
        <v>9921.9847306326537</v>
      </c>
      <c r="Q208" s="11">
        <f t="shared" si="84"/>
        <v>1885.1770988202043</v>
      </c>
      <c r="R208" s="61">
        <f t="shared" si="85"/>
        <v>11807.161829452858</v>
      </c>
      <c r="S208" s="46">
        <f>INDEX(FX!$D$3:$O$19,MATCH(B208,FX!$B$3:$B$32,0),MATCH(D208,FX!$D$2:$O$2,0))</f>
        <v>924</v>
      </c>
      <c r="T208" s="13" t="s">
        <v>143</v>
      </c>
      <c r="U208" s="13" t="s">
        <v>155</v>
      </c>
      <c r="V208" s="13" t="s">
        <v>83</v>
      </c>
      <c r="W208" s="29" t="str">
        <f>VLOOKUP(I208,Map!$F$18:$H$51,3,0)</f>
        <v>Variable</v>
      </c>
      <c r="X208" s="90" t="s">
        <v>172</v>
      </c>
      <c r="Y208" s="109" t="str">
        <f>VLOOKUP(L208,Map!$C$18:$D$29,2,0)</f>
        <v>TOTAL</v>
      </c>
      <c r="Z208" s="53"/>
      <c r="AA208" s="57">
        <f t="shared" si="86"/>
        <v>0</v>
      </c>
      <c r="AB208" s="57">
        <f t="shared" si="87"/>
        <v>0</v>
      </c>
      <c r="AC208" s="11">
        <f t="shared" si="88"/>
        <v>0</v>
      </c>
      <c r="AD208" s="11">
        <f t="shared" si="89"/>
        <v>0</v>
      </c>
      <c r="AE208" s="61">
        <f t="shared" si="90"/>
        <v>0</v>
      </c>
      <c r="AF208" s="87"/>
    </row>
    <row r="209" spans="2:32" s="5" customFormat="1" ht="13" hidden="1" x14ac:dyDescent="0.3">
      <c r="B209" s="114">
        <v>2026</v>
      </c>
      <c r="C209" s="114" t="s">
        <v>158</v>
      </c>
      <c r="D209" s="114" t="s">
        <v>159</v>
      </c>
      <c r="E209" s="114" t="s">
        <v>88</v>
      </c>
      <c r="F209" s="114" t="s">
        <v>80</v>
      </c>
      <c r="G209" s="115">
        <v>46177</v>
      </c>
      <c r="H209" s="116">
        <v>3720</v>
      </c>
      <c r="I209" s="114" t="s">
        <v>147</v>
      </c>
      <c r="J209" s="117" t="str">
        <f>IFERROR(VLOOKUP(I209,Map!$F$18:$G$56,2,0),"Add in Map")</f>
        <v>3P</v>
      </c>
      <c r="K209" s="117" t="str">
        <f>VLOOKUP(L209,Map!$C$18:$D$29,2,0)</f>
        <v>CNT</v>
      </c>
      <c r="L209" s="114" t="s">
        <v>31</v>
      </c>
      <c r="M209" s="118">
        <v>1325228.2175812337</v>
      </c>
      <c r="N209" s="119">
        <f t="shared" si="81"/>
        <v>0</v>
      </c>
      <c r="O209" s="119">
        <f t="shared" si="82"/>
        <v>1577021.578921668</v>
      </c>
      <c r="P209" s="120">
        <f t="shared" si="83"/>
        <v>1487.3492902146281</v>
      </c>
      <c r="Q209" s="120">
        <f t="shared" si="84"/>
        <v>0</v>
      </c>
      <c r="R209" s="121">
        <f t="shared" si="85"/>
        <v>1769.9456553554073</v>
      </c>
      <c r="S209" s="122">
        <f>INDEX(FX!$D$3:$O$19,MATCH(B209,FX!$B$3:$B$32,0),MATCH(D209,FX!$D$2:$O$2,0))</f>
        <v>891</v>
      </c>
      <c r="T209" s="114" t="s">
        <v>143</v>
      </c>
      <c r="U209" s="114" t="s">
        <v>155</v>
      </c>
      <c r="V209" s="114" t="s">
        <v>83</v>
      </c>
      <c r="W209" s="117" t="str">
        <f>VLOOKUP(I209,Map!$F$18:$H$51,3,0)</f>
        <v>Variable</v>
      </c>
      <c r="X209" s="123" t="s">
        <v>149</v>
      </c>
      <c r="Y209" s="124" t="str">
        <f>VLOOKUP(L209,Map!$C$18:$D$29,2,0)</f>
        <v>CNT</v>
      </c>
      <c r="Z209" s="118"/>
      <c r="AA209" s="119">
        <f t="shared" si="86"/>
        <v>0</v>
      </c>
      <c r="AB209" s="119">
        <f t="shared" si="87"/>
        <v>0</v>
      </c>
      <c r="AC209" s="120">
        <f t="shared" si="88"/>
        <v>0</v>
      </c>
      <c r="AD209" s="120">
        <f t="shared" si="89"/>
        <v>0</v>
      </c>
      <c r="AE209" s="121">
        <f t="shared" si="90"/>
        <v>0</v>
      </c>
      <c r="AF209" s="117"/>
    </row>
    <row r="210" spans="2:32" s="1" customFormat="1" ht="13" hidden="1" x14ac:dyDescent="0.3">
      <c r="B210" s="12">
        <v>2026</v>
      </c>
      <c r="C210" s="12" t="s">
        <v>158</v>
      </c>
      <c r="D210" s="12" t="s">
        <v>159</v>
      </c>
      <c r="E210" s="12" t="s">
        <v>88</v>
      </c>
      <c r="F210" s="12" t="s">
        <v>80</v>
      </c>
      <c r="G210" s="83">
        <v>46177</v>
      </c>
      <c r="H210" s="93">
        <v>3720</v>
      </c>
      <c r="I210" s="12" t="s">
        <v>147</v>
      </c>
      <c r="J210" s="8" t="str">
        <f>IFERROR(VLOOKUP(I210,Map!$F$18:$G$56,2,0),"Add in Map")</f>
        <v>3P</v>
      </c>
      <c r="K210" s="8" t="str">
        <f>VLOOKUP(L210,Map!$C$18:$D$29,2,0)</f>
        <v>CVT</v>
      </c>
      <c r="L210" s="12" t="s">
        <v>36</v>
      </c>
      <c r="M210" s="52">
        <v>50387.812733799146</v>
      </c>
      <c r="N210" s="56">
        <f t="shared" si="81"/>
        <v>0</v>
      </c>
      <c r="O210" s="56">
        <f t="shared" si="82"/>
        <v>59961.497153220982</v>
      </c>
      <c r="P210" s="31">
        <f t="shared" si="83"/>
        <v>56.551978376878949</v>
      </c>
      <c r="Q210" s="31">
        <f t="shared" si="84"/>
        <v>0</v>
      </c>
      <c r="R210" s="60">
        <f t="shared" si="85"/>
        <v>67.296854268485944</v>
      </c>
      <c r="S210" s="45">
        <f>INDEX(FX!$D$3:$O$19,MATCH(B210,FX!$B$3:$B$32,0),MATCH(D210,FX!$D$2:$O$2,0))</f>
        <v>891</v>
      </c>
      <c r="T210" s="12" t="s">
        <v>143</v>
      </c>
      <c r="U210" s="12" t="s">
        <v>155</v>
      </c>
      <c r="V210" s="12" t="s">
        <v>83</v>
      </c>
      <c r="W210" s="8" t="str">
        <f>VLOOKUP(I210,Map!$F$18:$H$51,3,0)</f>
        <v>Variable</v>
      </c>
      <c r="X210" s="88" t="s">
        <v>149</v>
      </c>
      <c r="Y210" s="107" t="str">
        <f>VLOOKUP(L210,Map!$C$18:$D$29,2,0)</f>
        <v>CVT</v>
      </c>
      <c r="Z210" s="52"/>
      <c r="AA210" s="56">
        <f t="shared" si="86"/>
        <v>0</v>
      </c>
      <c r="AB210" s="56">
        <f t="shared" si="87"/>
        <v>0</v>
      </c>
      <c r="AC210" s="31">
        <f t="shared" si="88"/>
        <v>0</v>
      </c>
      <c r="AD210" s="31">
        <f t="shared" si="89"/>
        <v>0</v>
      </c>
      <c r="AE210" s="60">
        <f t="shared" si="90"/>
        <v>0</v>
      </c>
      <c r="AF210" s="8"/>
    </row>
    <row r="211" spans="2:32" s="1" customFormat="1" ht="13" hidden="1" x14ac:dyDescent="0.3">
      <c r="B211" s="12">
        <v>2026</v>
      </c>
      <c r="C211" s="12" t="s">
        <v>158</v>
      </c>
      <c r="D211" s="12" t="s">
        <v>159</v>
      </c>
      <c r="E211" s="12" t="s">
        <v>88</v>
      </c>
      <c r="F211" s="12" t="s">
        <v>80</v>
      </c>
      <c r="G211" s="83">
        <v>46177</v>
      </c>
      <c r="H211" s="93">
        <v>3720</v>
      </c>
      <c r="I211" s="12" t="s">
        <v>147</v>
      </c>
      <c r="J211" s="8" t="str">
        <f>IFERROR(VLOOKUP(I211,Map!$F$18:$G$56,2,0),"Add in Map")</f>
        <v>3P</v>
      </c>
      <c r="K211" s="8" t="str">
        <f>VLOOKUP(L211,Map!$C$18:$D$29,2,0)</f>
        <v>CDT</v>
      </c>
      <c r="L211" s="12" t="s">
        <v>38</v>
      </c>
      <c r="M211" s="52">
        <v>0</v>
      </c>
      <c r="N211" s="56">
        <f t="shared" si="81"/>
        <v>0</v>
      </c>
      <c r="O211" s="56">
        <f t="shared" si="82"/>
        <v>0</v>
      </c>
      <c r="P211" s="31">
        <f t="shared" si="83"/>
        <v>0</v>
      </c>
      <c r="Q211" s="31">
        <f t="shared" si="84"/>
        <v>0</v>
      </c>
      <c r="R211" s="60">
        <f t="shared" si="85"/>
        <v>0</v>
      </c>
      <c r="S211" s="45">
        <f>INDEX(FX!$D$3:$O$19,MATCH(B211,FX!$B$3:$B$32,0),MATCH(D211,FX!$D$2:$O$2,0))</f>
        <v>891</v>
      </c>
      <c r="T211" s="12" t="s">
        <v>143</v>
      </c>
      <c r="U211" s="12" t="s">
        <v>155</v>
      </c>
      <c r="V211" s="12" t="s">
        <v>83</v>
      </c>
      <c r="W211" s="8" t="str">
        <f>VLOOKUP(I211,Map!$F$18:$H$51,3,0)</f>
        <v>Variable</v>
      </c>
      <c r="X211" s="88" t="s">
        <v>149</v>
      </c>
      <c r="Y211" s="107" t="str">
        <f>VLOOKUP(L211,Map!$C$18:$D$29,2,0)</f>
        <v>CDT</v>
      </c>
      <c r="Z211" s="52"/>
      <c r="AA211" s="56">
        <f t="shared" si="86"/>
        <v>0</v>
      </c>
      <c r="AB211" s="56">
        <f t="shared" si="87"/>
        <v>0</v>
      </c>
      <c r="AC211" s="31">
        <f t="shared" si="88"/>
        <v>0</v>
      </c>
      <c r="AD211" s="31">
        <f t="shared" si="89"/>
        <v>0</v>
      </c>
      <c r="AE211" s="60">
        <f t="shared" si="90"/>
        <v>0</v>
      </c>
      <c r="AF211" s="8"/>
    </row>
    <row r="212" spans="2:32" s="1" customFormat="1" ht="13" hidden="1" x14ac:dyDescent="0.3">
      <c r="B212" s="12">
        <v>2026</v>
      </c>
      <c r="C212" s="12" t="s">
        <v>158</v>
      </c>
      <c r="D212" s="12" t="s">
        <v>159</v>
      </c>
      <c r="E212" s="12" t="s">
        <v>88</v>
      </c>
      <c r="F212" s="12" t="s">
        <v>80</v>
      </c>
      <c r="G212" s="83">
        <v>46177</v>
      </c>
      <c r="H212" s="93">
        <v>3720</v>
      </c>
      <c r="I212" s="12" t="s">
        <v>147</v>
      </c>
      <c r="J212" s="8" t="str">
        <f>IFERROR(VLOOKUP(I212,Map!$F$18:$G$56,2,0),"Add in Map")</f>
        <v>3P</v>
      </c>
      <c r="K212" s="8" t="str">
        <f>VLOOKUP(L212,Map!$C$18:$D$29,2,0)</f>
        <v>DFT</v>
      </c>
      <c r="L212" s="12" t="s">
        <v>40</v>
      </c>
      <c r="M212" s="52">
        <v>3665967.1340406328</v>
      </c>
      <c r="N212" s="56">
        <f t="shared" si="81"/>
        <v>0</v>
      </c>
      <c r="O212" s="56">
        <f t="shared" si="82"/>
        <v>4362500.8895083526</v>
      </c>
      <c r="P212" s="31">
        <f t="shared" si="83"/>
        <v>4114.441227879498</v>
      </c>
      <c r="Q212" s="31">
        <f t="shared" si="84"/>
        <v>0</v>
      </c>
      <c r="R212" s="60">
        <f t="shared" si="85"/>
        <v>4896.1850611766022</v>
      </c>
      <c r="S212" s="45">
        <f>INDEX(FX!$D$3:$O$19,MATCH(B212,FX!$B$3:$B$32,0),MATCH(D212,FX!$D$2:$O$2,0))</f>
        <v>891</v>
      </c>
      <c r="T212" s="12" t="s">
        <v>143</v>
      </c>
      <c r="U212" s="12" t="s">
        <v>155</v>
      </c>
      <c r="V212" s="12" t="s">
        <v>83</v>
      </c>
      <c r="W212" s="8" t="str">
        <f>VLOOKUP(I212,Map!$F$18:$H$51,3,0)</f>
        <v>Variable</v>
      </c>
      <c r="X212" s="88" t="s">
        <v>149</v>
      </c>
      <c r="Y212" s="107" t="str">
        <f>VLOOKUP(L212,Map!$C$18:$D$29,2,0)</f>
        <v>DFT</v>
      </c>
      <c r="Z212" s="52"/>
      <c r="AA212" s="56">
        <f t="shared" si="86"/>
        <v>0</v>
      </c>
      <c r="AB212" s="56">
        <f t="shared" si="87"/>
        <v>0</v>
      </c>
      <c r="AC212" s="31">
        <f t="shared" si="88"/>
        <v>0</v>
      </c>
      <c r="AD212" s="31">
        <f t="shared" si="89"/>
        <v>0</v>
      </c>
      <c r="AE212" s="60">
        <f t="shared" si="90"/>
        <v>0</v>
      </c>
      <c r="AF212" s="8"/>
    </row>
    <row r="213" spans="2:32" s="1" customFormat="1" ht="13" hidden="1" x14ac:dyDescent="0.3">
      <c r="B213" s="12">
        <v>2026</v>
      </c>
      <c r="C213" s="12" t="s">
        <v>158</v>
      </c>
      <c r="D213" s="12" t="s">
        <v>159</v>
      </c>
      <c r="E213" s="12" t="s">
        <v>88</v>
      </c>
      <c r="F213" s="12" t="s">
        <v>80</v>
      </c>
      <c r="G213" s="83">
        <v>46177</v>
      </c>
      <c r="H213" s="93">
        <v>3720</v>
      </c>
      <c r="I213" s="12" t="s">
        <v>147</v>
      </c>
      <c r="J213" s="8" t="str">
        <f>IFERROR(VLOOKUP(I213,Map!$F$18:$G$56,2,0),"Add in Map")</f>
        <v>3P</v>
      </c>
      <c r="K213" s="8" t="str">
        <f>VLOOKUP(L213,Map!$C$18:$D$29,2,0)</f>
        <v>DVT</v>
      </c>
      <c r="L213" s="12" t="s">
        <v>42</v>
      </c>
      <c r="M213" s="52">
        <v>0</v>
      </c>
      <c r="N213" s="56">
        <f t="shared" si="81"/>
        <v>0</v>
      </c>
      <c r="O213" s="56">
        <f t="shared" si="82"/>
        <v>0</v>
      </c>
      <c r="P213" s="31">
        <f t="shared" si="83"/>
        <v>0</v>
      </c>
      <c r="Q213" s="31">
        <f t="shared" si="84"/>
        <v>0</v>
      </c>
      <c r="R213" s="60">
        <f t="shared" si="85"/>
        <v>0</v>
      </c>
      <c r="S213" s="45">
        <f>INDEX(FX!$D$3:$O$19,MATCH(B213,FX!$B$3:$B$32,0),MATCH(D213,FX!$D$2:$O$2,0))</f>
        <v>891</v>
      </c>
      <c r="T213" s="12" t="s">
        <v>143</v>
      </c>
      <c r="U213" s="12" t="s">
        <v>155</v>
      </c>
      <c r="V213" s="12" t="s">
        <v>83</v>
      </c>
      <c r="W213" s="8" t="str">
        <f>VLOOKUP(I213,Map!$F$18:$H$51,3,0)</f>
        <v>Variable</v>
      </c>
      <c r="X213" s="88" t="s">
        <v>149</v>
      </c>
      <c r="Y213" s="107" t="str">
        <f>VLOOKUP(L213,Map!$C$18:$D$29,2,0)</f>
        <v>DVT</v>
      </c>
      <c r="Z213" s="52"/>
      <c r="AA213" s="56">
        <f t="shared" si="86"/>
        <v>0</v>
      </c>
      <c r="AB213" s="56">
        <f t="shared" si="87"/>
        <v>0</v>
      </c>
      <c r="AC213" s="31">
        <f t="shared" si="88"/>
        <v>0</v>
      </c>
      <c r="AD213" s="31">
        <f t="shared" si="89"/>
        <v>0</v>
      </c>
      <c r="AE213" s="60">
        <f t="shared" si="90"/>
        <v>0</v>
      </c>
      <c r="AF213" s="8"/>
    </row>
    <row r="214" spans="2:32" s="1" customFormat="1" ht="13" hidden="1" x14ac:dyDescent="0.3">
      <c r="B214" s="12">
        <v>2026</v>
      </c>
      <c r="C214" s="12" t="s">
        <v>158</v>
      </c>
      <c r="D214" s="12" t="s">
        <v>159</v>
      </c>
      <c r="E214" s="12" t="s">
        <v>88</v>
      </c>
      <c r="F214" s="12" t="s">
        <v>80</v>
      </c>
      <c r="G214" s="83">
        <v>46177</v>
      </c>
      <c r="H214" s="93">
        <v>3720</v>
      </c>
      <c r="I214" s="12" t="s">
        <v>147</v>
      </c>
      <c r="J214" s="8" t="str">
        <f>IFERROR(VLOOKUP(I214,Map!$F$18:$G$56,2,0),"Add in Map")</f>
        <v>3P</v>
      </c>
      <c r="K214" s="8" t="str">
        <f>VLOOKUP(L214,Map!$C$18:$D$29,2,0)</f>
        <v>GLT</v>
      </c>
      <c r="L214" s="12" t="s">
        <v>44</v>
      </c>
      <c r="M214" s="52">
        <v>2025456.3030721142</v>
      </c>
      <c r="N214" s="56">
        <f t="shared" si="81"/>
        <v>0</v>
      </c>
      <c r="O214" s="56">
        <f t="shared" si="82"/>
        <v>2410293.0006558159</v>
      </c>
      <c r="P214" s="31">
        <f t="shared" si="83"/>
        <v>2273.2393973873336</v>
      </c>
      <c r="Q214" s="31">
        <f t="shared" si="84"/>
        <v>0</v>
      </c>
      <c r="R214" s="60">
        <f t="shared" si="85"/>
        <v>2705.1548828909267</v>
      </c>
      <c r="S214" s="45">
        <f>INDEX(FX!$D$3:$O$19,MATCH(B214,FX!$B$3:$B$32,0),MATCH(D214,FX!$D$2:$O$2,0))</f>
        <v>891</v>
      </c>
      <c r="T214" s="12" t="s">
        <v>143</v>
      </c>
      <c r="U214" s="12" t="s">
        <v>155</v>
      </c>
      <c r="V214" s="12" t="s">
        <v>83</v>
      </c>
      <c r="W214" s="8" t="str">
        <f>VLOOKUP(I214,Map!$F$18:$H$51,3,0)</f>
        <v>Variable</v>
      </c>
      <c r="X214" s="88" t="s">
        <v>149</v>
      </c>
      <c r="Y214" s="107" t="str">
        <f>VLOOKUP(L214,Map!$C$18:$D$29,2,0)</f>
        <v>GLT</v>
      </c>
      <c r="Z214" s="52"/>
      <c r="AA214" s="56">
        <f t="shared" si="86"/>
        <v>0</v>
      </c>
      <c r="AB214" s="56">
        <f t="shared" si="87"/>
        <v>0</v>
      </c>
      <c r="AC214" s="31">
        <f t="shared" si="88"/>
        <v>0</v>
      </c>
      <c r="AD214" s="31">
        <f t="shared" si="89"/>
        <v>0</v>
      </c>
      <c r="AE214" s="60">
        <f t="shared" si="90"/>
        <v>0</v>
      </c>
      <c r="AF214" s="8"/>
    </row>
    <row r="215" spans="2:32" s="1" customFormat="1" ht="13" hidden="1" x14ac:dyDescent="0.3">
      <c r="B215" s="12">
        <v>2026</v>
      </c>
      <c r="C215" s="12" t="s">
        <v>158</v>
      </c>
      <c r="D215" s="12" t="s">
        <v>159</v>
      </c>
      <c r="E215" s="12" t="s">
        <v>88</v>
      </c>
      <c r="F215" s="12" t="s">
        <v>80</v>
      </c>
      <c r="G215" s="83">
        <v>46177</v>
      </c>
      <c r="H215" s="93">
        <v>3720</v>
      </c>
      <c r="I215" s="12" t="s">
        <v>147</v>
      </c>
      <c r="J215" s="8" t="str">
        <f>IFERROR(VLOOKUP(I215,Map!$F$18:$G$56,2,0),"Add in Map")</f>
        <v>3P</v>
      </c>
      <c r="K215" s="8" t="str">
        <f>VLOOKUP(L215,Map!$C$18:$D$29,2,0)</f>
        <v>PNT</v>
      </c>
      <c r="L215" s="12" t="s">
        <v>46</v>
      </c>
      <c r="M215" s="52">
        <v>171815.27615723221</v>
      </c>
      <c r="N215" s="56">
        <f t="shared" si="81"/>
        <v>0</v>
      </c>
      <c r="O215" s="56">
        <f t="shared" si="82"/>
        <v>204460.1786271063</v>
      </c>
      <c r="P215" s="31">
        <f t="shared" si="83"/>
        <v>192.83420444133804</v>
      </c>
      <c r="Q215" s="31">
        <f t="shared" si="84"/>
        <v>0</v>
      </c>
      <c r="R215" s="60">
        <f t="shared" si="85"/>
        <v>229.47270328519227</v>
      </c>
      <c r="S215" s="45">
        <f>INDEX(FX!$D$3:$O$19,MATCH(B215,FX!$B$3:$B$32,0),MATCH(D215,FX!$D$2:$O$2,0))</f>
        <v>891</v>
      </c>
      <c r="T215" s="12" t="s">
        <v>143</v>
      </c>
      <c r="U215" s="12" t="s">
        <v>155</v>
      </c>
      <c r="V215" s="12" t="s">
        <v>83</v>
      </c>
      <c r="W215" s="8" t="str">
        <f>VLOOKUP(I215,Map!$F$18:$H$51,3,0)</f>
        <v>Variable</v>
      </c>
      <c r="X215" s="88" t="s">
        <v>149</v>
      </c>
      <c r="Y215" s="107" t="str">
        <f>VLOOKUP(L215,Map!$C$18:$D$29,2,0)</f>
        <v>PNT</v>
      </c>
      <c r="Z215" s="52"/>
      <c r="AA215" s="56">
        <f t="shared" si="86"/>
        <v>0</v>
      </c>
      <c r="AB215" s="56">
        <f t="shared" si="87"/>
        <v>0</v>
      </c>
      <c r="AC215" s="31">
        <f t="shared" si="88"/>
        <v>0</v>
      </c>
      <c r="AD215" s="31">
        <f t="shared" si="89"/>
        <v>0</v>
      </c>
      <c r="AE215" s="60">
        <f t="shared" si="90"/>
        <v>0</v>
      </c>
      <c r="AF215" s="8"/>
    </row>
    <row r="216" spans="2:32" s="1" customFormat="1" ht="13" hidden="1" x14ac:dyDescent="0.3">
      <c r="B216" s="12">
        <v>2026</v>
      </c>
      <c r="C216" s="12" t="s">
        <v>158</v>
      </c>
      <c r="D216" s="12" t="s">
        <v>159</v>
      </c>
      <c r="E216" s="12" t="s">
        <v>88</v>
      </c>
      <c r="F216" s="12" t="s">
        <v>80</v>
      </c>
      <c r="G216" s="83">
        <v>46177</v>
      </c>
      <c r="H216" s="93">
        <v>3720</v>
      </c>
      <c r="I216" s="12" t="s">
        <v>147</v>
      </c>
      <c r="J216" s="8" t="str">
        <f>IFERROR(VLOOKUP(I216,Map!$F$18:$G$56,2,0),"Add in Map")</f>
        <v>3P</v>
      </c>
      <c r="K216" s="8" t="str">
        <f>VLOOKUP(L216,Map!$C$18:$D$29,2,0)</f>
        <v>GTT</v>
      </c>
      <c r="L216" s="12" t="s">
        <v>48</v>
      </c>
      <c r="M216" s="52">
        <v>128072.55335994321</v>
      </c>
      <c r="N216" s="56">
        <f t="shared" si="81"/>
        <v>0</v>
      </c>
      <c r="O216" s="56">
        <f t="shared" si="82"/>
        <v>152406.33849833242</v>
      </c>
      <c r="P216" s="31">
        <f t="shared" si="83"/>
        <v>143.74023946121574</v>
      </c>
      <c r="Q216" s="31">
        <f t="shared" si="84"/>
        <v>0</v>
      </c>
      <c r="R216" s="60">
        <f t="shared" si="85"/>
        <v>171.05088495884672</v>
      </c>
      <c r="S216" s="45">
        <f>INDEX(FX!$D$3:$O$19,MATCH(B216,FX!$B$3:$B$32,0),MATCH(D216,FX!$D$2:$O$2,0))</f>
        <v>891</v>
      </c>
      <c r="T216" s="12" t="s">
        <v>143</v>
      </c>
      <c r="U216" s="12" t="s">
        <v>155</v>
      </c>
      <c r="V216" s="12" t="s">
        <v>83</v>
      </c>
      <c r="W216" s="8" t="str">
        <f>VLOOKUP(I216,Map!$F$18:$H$51,3,0)</f>
        <v>Variable</v>
      </c>
      <c r="X216" s="88" t="s">
        <v>149</v>
      </c>
      <c r="Y216" s="107" t="str">
        <f>VLOOKUP(L216,Map!$C$18:$D$29,2,0)</f>
        <v>GTT</v>
      </c>
      <c r="Z216" s="52"/>
      <c r="AA216" s="56">
        <f t="shared" si="86"/>
        <v>0</v>
      </c>
      <c r="AB216" s="56">
        <f t="shared" si="87"/>
        <v>0</v>
      </c>
      <c r="AC216" s="31">
        <f t="shared" si="88"/>
        <v>0</v>
      </c>
      <c r="AD216" s="31">
        <f t="shared" si="89"/>
        <v>0</v>
      </c>
      <c r="AE216" s="60">
        <f t="shared" si="90"/>
        <v>0</v>
      </c>
      <c r="AF216" s="8"/>
    </row>
    <row r="217" spans="2:32" s="1" customFormat="1" ht="13" hidden="1" x14ac:dyDescent="0.3">
      <c r="B217" s="12">
        <v>2026</v>
      </c>
      <c r="C217" s="12" t="s">
        <v>158</v>
      </c>
      <c r="D217" s="12" t="s">
        <v>159</v>
      </c>
      <c r="E217" s="12" t="s">
        <v>88</v>
      </c>
      <c r="F217" s="12" t="s">
        <v>80</v>
      </c>
      <c r="G217" s="83">
        <v>46177</v>
      </c>
      <c r="H217" s="93">
        <v>3720</v>
      </c>
      <c r="I217" s="12" t="s">
        <v>147</v>
      </c>
      <c r="J217" s="8" t="str">
        <f>IFERROR(VLOOKUP(I217,Map!$F$18:$G$56,2,0),"Add in Map")</f>
        <v>3P</v>
      </c>
      <c r="K217" s="8" t="str">
        <f>VLOOKUP(L217,Map!$C$18:$D$29,2,0)</f>
        <v>DGT</v>
      </c>
      <c r="L217" s="12" t="s">
        <v>50</v>
      </c>
      <c r="M217" s="52">
        <v>88185.397788631177</v>
      </c>
      <c r="N217" s="56">
        <f t="shared" si="81"/>
        <v>0</v>
      </c>
      <c r="O217" s="56">
        <f t="shared" si="82"/>
        <v>104940.62336847109</v>
      </c>
      <c r="P217" s="31">
        <f t="shared" si="83"/>
        <v>98.973510424950817</v>
      </c>
      <c r="Q217" s="31">
        <f t="shared" si="84"/>
        <v>0</v>
      </c>
      <c r="R217" s="60">
        <f t="shared" si="85"/>
        <v>117.77847740569146</v>
      </c>
      <c r="S217" s="45">
        <f>INDEX(FX!$D$3:$O$19,MATCH(B217,FX!$B$3:$B$32,0),MATCH(D217,FX!$D$2:$O$2,0))</f>
        <v>891</v>
      </c>
      <c r="T217" s="12" t="s">
        <v>143</v>
      </c>
      <c r="U217" s="12" t="s">
        <v>155</v>
      </c>
      <c r="V217" s="12" t="s">
        <v>83</v>
      </c>
      <c r="W217" s="8" t="str">
        <f>VLOOKUP(I217,Map!$F$18:$H$51,3,0)</f>
        <v>Variable</v>
      </c>
      <c r="X217" s="88" t="s">
        <v>149</v>
      </c>
      <c r="Y217" s="107" t="str">
        <f>VLOOKUP(L217,Map!$C$18:$D$29,2,0)</f>
        <v>DGT</v>
      </c>
      <c r="Z217" s="52"/>
      <c r="AA217" s="56">
        <f t="shared" si="86"/>
        <v>0</v>
      </c>
      <c r="AB217" s="56">
        <f t="shared" si="87"/>
        <v>0</v>
      </c>
      <c r="AC217" s="31">
        <f t="shared" si="88"/>
        <v>0</v>
      </c>
      <c r="AD217" s="31">
        <f t="shared" si="89"/>
        <v>0</v>
      </c>
      <c r="AE217" s="60">
        <f t="shared" si="90"/>
        <v>0</v>
      </c>
      <c r="AF217" s="8"/>
    </row>
    <row r="218" spans="2:32" s="1" customFormat="1" ht="13" hidden="1" x14ac:dyDescent="0.3">
      <c r="B218" s="12">
        <v>2026</v>
      </c>
      <c r="C218" s="12" t="s">
        <v>158</v>
      </c>
      <c r="D218" s="12" t="s">
        <v>159</v>
      </c>
      <c r="E218" s="12" t="s">
        <v>88</v>
      </c>
      <c r="F218" s="12" t="s">
        <v>80</v>
      </c>
      <c r="G218" s="83">
        <v>46177</v>
      </c>
      <c r="H218" s="93">
        <v>3720</v>
      </c>
      <c r="I218" s="12" t="s">
        <v>147</v>
      </c>
      <c r="J218" s="8" t="str">
        <f>IFERROR(VLOOKUP(I218,Map!$F$18:$G$56,2,0),"Add in Map")</f>
        <v>3P</v>
      </c>
      <c r="K218" s="8" t="str">
        <f>VLOOKUP(L218,Map!$C$18:$D$29,2,0)</f>
        <v>DLT</v>
      </c>
      <c r="L218" s="12" t="s">
        <v>52</v>
      </c>
      <c r="M218" s="52">
        <v>22395.305266414551</v>
      </c>
      <c r="N218" s="56">
        <f t="shared" si="81"/>
        <v>0</v>
      </c>
      <c r="O218" s="56">
        <f t="shared" si="82"/>
        <v>26650.413267033313</v>
      </c>
      <c r="P218" s="31">
        <f t="shared" si="83"/>
        <v>25.135022745695345</v>
      </c>
      <c r="Q218" s="31">
        <f t="shared" si="84"/>
        <v>0</v>
      </c>
      <c r="R218" s="60">
        <f t="shared" si="85"/>
        <v>29.91067706737746</v>
      </c>
      <c r="S218" s="45">
        <f>INDEX(FX!$D$3:$O$19,MATCH(B218,FX!$B$3:$B$32,0),MATCH(D218,FX!$D$2:$O$2,0))</f>
        <v>891</v>
      </c>
      <c r="T218" s="12" t="s">
        <v>143</v>
      </c>
      <c r="U218" s="12" t="s">
        <v>155</v>
      </c>
      <c r="V218" s="12" t="s">
        <v>83</v>
      </c>
      <c r="W218" s="8" t="str">
        <f>VLOOKUP(I218,Map!$F$18:$H$51,3,0)</f>
        <v>Variable</v>
      </c>
      <c r="X218" s="88" t="s">
        <v>149</v>
      </c>
      <c r="Y218" s="107" t="str">
        <f>VLOOKUP(L218,Map!$C$18:$D$29,2,0)</f>
        <v>DLT</v>
      </c>
      <c r="Z218" s="52"/>
      <c r="AA218" s="56">
        <f t="shared" si="86"/>
        <v>0</v>
      </c>
      <c r="AB218" s="56">
        <f t="shared" si="87"/>
        <v>0</v>
      </c>
      <c r="AC218" s="31">
        <f t="shared" si="88"/>
        <v>0</v>
      </c>
      <c r="AD218" s="31">
        <f t="shared" si="89"/>
        <v>0</v>
      </c>
      <c r="AE218" s="60">
        <f t="shared" si="90"/>
        <v>0</v>
      </c>
      <c r="AF218" s="8"/>
    </row>
    <row r="219" spans="2:32" s="1" customFormat="1" ht="13" hidden="1" x14ac:dyDescent="0.3">
      <c r="B219" s="12">
        <v>2026</v>
      </c>
      <c r="C219" s="12" t="s">
        <v>158</v>
      </c>
      <c r="D219" s="12" t="s">
        <v>159</v>
      </c>
      <c r="E219" s="12" t="s">
        <v>88</v>
      </c>
      <c r="F219" s="12" t="s">
        <v>80</v>
      </c>
      <c r="G219" s="83">
        <v>46177</v>
      </c>
      <c r="H219" s="93">
        <v>3720</v>
      </c>
      <c r="I219" s="12" t="s">
        <v>147</v>
      </c>
      <c r="J219" s="8" t="str">
        <f>IFERROR(VLOOKUP(I219,Map!$F$18:$G$56,2,0),"Add in Map")</f>
        <v>3P</v>
      </c>
      <c r="K219" s="8" t="str">
        <f>VLOOKUP(L219,Map!$C$18:$D$29,2,0)</f>
        <v>DMT</v>
      </c>
      <c r="L219" s="12" t="s">
        <v>54</v>
      </c>
      <c r="M219" s="52">
        <v>0</v>
      </c>
      <c r="N219" s="56">
        <f t="shared" si="81"/>
        <v>0</v>
      </c>
      <c r="O219" s="56">
        <f t="shared" si="82"/>
        <v>0</v>
      </c>
      <c r="P219" s="48">
        <f t="shared" si="83"/>
        <v>0</v>
      </c>
      <c r="Q219" s="31">
        <f t="shared" si="84"/>
        <v>0</v>
      </c>
      <c r="R219" s="60">
        <f t="shared" si="85"/>
        <v>0</v>
      </c>
      <c r="S219" s="45">
        <f>INDEX(FX!$D$3:$O$19,MATCH(B219,FX!$B$3:$B$32,0),MATCH(D219,FX!$D$2:$O$2,0))</f>
        <v>891</v>
      </c>
      <c r="T219" s="12" t="s">
        <v>143</v>
      </c>
      <c r="U219" s="12" t="s">
        <v>155</v>
      </c>
      <c r="V219" s="12" t="s">
        <v>83</v>
      </c>
      <c r="W219" s="8" t="str">
        <f>VLOOKUP(I219,Map!$F$18:$H$51,3,0)</f>
        <v>Variable</v>
      </c>
      <c r="X219" s="88" t="s">
        <v>149</v>
      </c>
      <c r="Y219" s="107" t="str">
        <f>VLOOKUP(L219,Map!$C$18:$D$29,2,0)</f>
        <v>DMT</v>
      </c>
      <c r="Z219" s="52"/>
      <c r="AA219" s="56">
        <f t="shared" si="86"/>
        <v>0</v>
      </c>
      <c r="AB219" s="56">
        <f t="shared" si="87"/>
        <v>0</v>
      </c>
      <c r="AC219" s="48">
        <f t="shared" si="88"/>
        <v>0</v>
      </c>
      <c r="AD219" s="31">
        <f t="shared" si="89"/>
        <v>0</v>
      </c>
      <c r="AE219" s="60">
        <f t="shared" si="90"/>
        <v>0</v>
      </c>
      <c r="AF219" s="8"/>
    </row>
    <row r="220" spans="2:32" s="37" customFormat="1" hidden="1" x14ac:dyDescent="0.35">
      <c r="B220" s="13">
        <v>2026</v>
      </c>
      <c r="C220" s="13" t="s">
        <v>158</v>
      </c>
      <c r="D220" s="13" t="s">
        <v>159</v>
      </c>
      <c r="E220" s="13" t="s">
        <v>88</v>
      </c>
      <c r="F220" s="13" t="s">
        <v>80</v>
      </c>
      <c r="G220" s="85">
        <v>46177</v>
      </c>
      <c r="H220" s="94">
        <v>3720</v>
      </c>
      <c r="I220" s="13" t="s">
        <v>147</v>
      </c>
      <c r="J220" s="29" t="str">
        <f>IFERROR(VLOOKUP(I220,Map!$F$18:$G$56,2,0),"Add in Map")</f>
        <v>3P</v>
      </c>
      <c r="K220" s="29" t="str">
        <f>VLOOKUP(L220,Map!$C$18:$D$29,2,0)</f>
        <v>TOTAL</v>
      </c>
      <c r="L220" s="13" t="s">
        <v>56</v>
      </c>
      <c r="M220" s="128">
        <f>SUM(M209:M219)</f>
        <v>7477508.0000000009</v>
      </c>
      <c r="N220" s="57">
        <f t="shared" si="81"/>
        <v>1420726.5200000003</v>
      </c>
      <c r="O220" s="57">
        <f t="shared" si="82"/>
        <v>8898234.5200000014</v>
      </c>
      <c r="P220" s="11">
        <f t="shared" si="83"/>
        <v>8392.2648709315381</v>
      </c>
      <c r="Q220" s="11">
        <f t="shared" si="84"/>
        <v>1594.5303254769922</v>
      </c>
      <c r="R220" s="61">
        <f t="shared" si="85"/>
        <v>9986.7951964085296</v>
      </c>
      <c r="S220" s="46">
        <f>INDEX(FX!$D$3:$O$19,MATCH(B220,FX!$B$3:$B$32,0),MATCH(D220,FX!$D$2:$O$2,0))</f>
        <v>891</v>
      </c>
      <c r="T220" s="13" t="s">
        <v>143</v>
      </c>
      <c r="U220" s="13" t="s">
        <v>155</v>
      </c>
      <c r="V220" s="13" t="s">
        <v>83</v>
      </c>
      <c r="W220" s="29" t="str">
        <f>VLOOKUP(I220,Map!$F$18:$H$51,3,0)</f>
        <v>Variable</v>
      </c>
      <c r="X220" s="90" t="s">
        <v>149</v>
      </c>
      <c r="Y220" s="109" t="str">
        <f>VLOOKUP(L220,Map!$C$18:$D$29,2,0)</f>
        <v>TOTAL</v>
      </c>
      <c r="Z220" s="53"/>
      <c r="AA220" s="57">
        <f t="shared" si="86"/>
        <v>0</v>
      </c>
      <c r="AB220" s="57">
        <f t="shared" si="87"/>
        <v>0</v>
      </c>
      <c r="AC220" s="11">
        <f t="shared" si="88"/>
        <v>0</v>
      </c>
      <c r="AD220" s="11">
        <f t="shared" si="89"/>
        <v>0</v>
      </c>
      <c r="AE220" s="61">
        <f t="shared" si="90"/>
        <v>0</v>
      </c>
      <c r="AF220" s="87"/>
    </row>
    <row r="221" spans="2:32" s="5" customFormat="1" ht="13" hidden="1" x14ac:dyDescent="0.3">
      <c r="B221" s="114">
        <v>2026</v>
      </c>
      <c r="C221" s="114" t="s">
        <v>160</v>
      </c>
      <c r="D221" s="114" t="s">
        <v>162</v>
      </c>
      <c r="E221" s="114" t="s">
        <v>88</v>
      </c>
      <c r="F221" s="114" t="s">
        <v>80</v>
      </c>
      <c r="G221" s="115">
        <v>46218</v>
      </c>
      <c r="H221" s="116">
        <v>3866</v>
      </c>
      <c r="I221" s="114" t="s">
        <v>175</v>
      </c>
      <c r="J221" s="117" t="str">
        <f>IFERROR(VLOOKUP(I221,Map!$F$18:$G$56,2,0),"Add in Map")</f>
        <v>3P</v>
      </c>
      <c r="K221" s="117" t="str">
        <f>VLOOKUP(L221,Map!$C$18:$D$29,2,0)</f>
        <v>CNT</v>
      </c>
      <c r="L221" s="114" t="s">
        <v>31</v>
      </c>
      <c r="M221" s="118">
        <v>2479513.6565157967</v>
      </c>
      <c r="N221" s="119">
        <f t="shared" ref="N221:N232" si="91">IF(L221="TOTAL",(M221*0.19),0)</f>
        <v>0</v>
      </c>
      <c r="O221" s="119">
        <f t="shared" ref="O221:O232" si="92">M221*1.19</f>
        <v>2950621.2512537977</v>
      </c>
      <c r="P221" s="120">
        <f t="shared" ref="P221:P232" si="93">M221/S221</f>
        <v>2686.3636581969627</v>
      </c>
      <c r="Q221" s="120">
        <f t="shared" ref="Q221:Q232" si="94">IF(L221="TOTAL",(P221*0.19),0)</f>
        <v>0</v>
      </c>
      <c r="R221" s="121">
        <f t="shared" ref="R221:R232" si="95">P221*1.19</f>
        <v>3196.7727532543854</v>
      </c>
      <c r="S221" s="122">
        <f>INDEX(FX!$D$3:$O$19,MATCH(B221,FX!$B$3:$B$32,0),MATCH(D221,FX!$D$2:$O$2,0))</f>
        <v>923</v>
      </c>
      <c r="T221" s="114" t="s">
        <v>144</v>
      </c>
      <c r="U221" s="114" t="s">
        <v>32</v>
      </c>
      <c r="V221" s="114" t="s">
        <v>83</v>
      </c>
      <c r="W221" s="117" t="str">
        <f>VLOOKUP(I221,Map!$F$18:$H$51,3,0)</f>
        <v>Variable</v>
      </c>
      <c r="X221" s="123" t="s">
        <v>149</v>
      </c>
      <c r="Y221" s="124" t="str">
        <f>VLOOKUP(L221,Map!$C$18:$D$29,2,0)</f>
        <v>CNT</v>
      </c>
      <c r="Z221" s="118"/>
      <c r="AA221" s="119">
        <f t="shared" ref="AA221:AA232" si="96">IF(Y221="TOTAL",(Z221*0.19),0)</f>
        <v>0</v>
      </c>
      <c r="AB221" s="119">
        <f t="shared" ref="AB221:AB232" si="97">Z221*1.19</f>
        <v>0</v>
      </c>
      <c r="AC221" s="120">
        <f t="shared" ref="AC221:AC232" si="98">Z221/S221</f>
        <v>0</v>
      </c>
      <c r="AD221" s="120">
        <f t="shared" ref="AD221:AD232" si="99">IF(Y221="TOTAL",(AC221*0.19),0)</f>
        <v>0</v>
      </c>
      <c r="AE221" s="121">
        <f t="shared" ref="AE221:AE232" si="100">AC221*1.19</f>
        <v>0</v>
      </c>
      <c r="AF221" s="117"/>
    </row>
    <row r="222" spans="2:32" s="1" customFormat="1" ht="13" hidden="1" x14ac:dyDescent="0.3">
      <c r="B222" s="12">
        <v>2026</v>
      </c>
      <c r="C222" s="12" t="s">
        <v>160</v>
      </c>
      <c r="D222" s="12" t="s">
        <v>162</v>
      </c>
      <c r="E222" s="12" t="s">
        <v>88</v>
      </c>
      <c r="F222" s="12" t="s">
        <v>80</v>
      </c>
      <c r="G222" s="83">
        <v>46218</v>
      </c>
      <c r="H222" s="93">
        <v>3866</v>
      </c>
      <c r="I222" s="12" t="s">
        <v>175</v>
      </c>
      <c r="J222" s="8" t="str">
        <f>IFERROR(VLOOKUP(I222,Map!$F$18:$G$56,2,0),"Add in Map")</f>
        <v>3P</v>
      </c>
      <c r="K222" s="8" t="str">
        <f>VLOOKUP(L222,Map!$C$18:$D$29,2,0)</f>
        <v>CVT</v>
      </c>
      <c r="L222" s="12" t="s">
        <v>36</v>
      </c>
      <c r="M222" s="52">
        <v>0</v>
      </c>
      <c r="N222" s="56">
        <f t="shared" si="91"/>
        <v>0</v>
      </c>
      <c r="O222" s="56">
        <f t="shared" si="92"/>
        <v>0</v>
      </c>
      <c r="P222" s="31">
        <f t="shared" si="93"/>
        <v>0</v>
      </c>
      <c r="Q222" s="31">
        <f t="shared" si="94"/>
        <v>0</v>
      </c>
      <c r="R222" s="60">
        <f t="shared" si="95"/>
        <v>0</v>
      </c>
      <c r="S222" s="45">
        <f>INDEX(FX!$D$3:$O$19,MATCH(B222,FX!$B$3:$B$32,0),MATCH(D222,FX!$D$2:$O$2,0))</f>
        <v>923</v>
      </c>
      <c r="T222" s="12" t="s">
        <v>144</v>
      </c>
      <c r="U222" s="12" t="s">
        <v>32</v>
      </c>
      <c r="V222" s="12" t="s">
        <v>83</v>
      </c>
      <c r="W222" s="8" t="str">
        <f>VLOOKUP(I222,Map!$F$18:$H$51,3,0)</f>
        <v>Variable</v>
      </c>
      <c r="X222" s="88" t="s">
        <v>149</v>
      </c>
      <c r="Y222" s="107" t="str">
        <f>VLOOKUP(L222,Map!$C$18:$D$29,2,0)</f>
        <v>CVT</v>
      </c>
      <c r="Z222" s="52"/>
      <c r="AA222" s="56">
        <f t="shared" si="96"/>
        <v>0</v>
      </c>
      <c r="AB222" s="56">
        <f t="shared" si="97"/>
        <v>0</v>
      </c>
      <c r="AC222" s="31">
        <f t="shared" si="98"/>
        <v>0</v>
      </c>
      <c r="AD222" s="31">
        <f t="shared" si="99"/>
        <v>0</v>
      </c>
      <c r="AE222" s="60">
        <f t="shared" si="100"/>
        <v>0</v>
      </c>
      <c r="AF222" s="8"/>
    </row>
    <row r="223" spans="2:32" s="1" customFormat="1" ht="13" hidden="1" x14ac:dyDescent="0.3">
      <c r="B223" s="12">
        <v>2026</v>
      </c>
      <c r="C223" s="12" t="s">
        <v>160</v>
      </c>
      <c r="D223" s="12" t="s">
        <v>162</v>
      </c>
      <c r="E223" s="12" t="s">
        <v>88</v>
      </c>
      <c r="F223" s="12" t="s">
        <v>80</v>
      </c>
      <c r="G223" s="83">
        <v>46218</v>
      </c>
      <c r="H223" s="93">
        <v>3866</v>
      </c>
      <c r="I223" s="12" t="s">
        <v>175</v>
      </c>
      <c r="J223" s="8" t="str">
        <f>IFERROR(VLOOKUP(I223,Map!$F$18:$G$56,2,0),"Add in Map")</f>
        <v>3P</v>
      </c>
      <c r="K223" s="8" t="str">
        <f>VLOOKUP(L223,Map!$C$18:$D$29,2,0)</f>
        <v>CDT</v>
      </c>
      <c r="L223" s="12" t="s">
        <v>38</v>
      </c>
      <c r="M223" s="52">
        <v>0</v>
      </c>
      <c r="N223" s="56">
        <f t="shared" si="91"/>
        <v>0</v>
      </c>
      <c r="O223" s="56">
        <f t="shared" si="92"/>
        <v>0</v>
      </c>
      <c r="P223" s="31">
        <f t="shared" si="93"/>
        <v>0</v>
      </c>
      <c r="Q223" s="31">
        <f t="shared" si="94"/>
        <v>0</v>
      </c>
      <c r="R223" s="60">
        <f t="shared" si="95"/>
        <v>0</v>
      </c>
      <c r="S223" s="45">
        <f>INDEX(FX!$D$3:$O$19,MATCH(B223,FX!$B$3:$B$32,0),MATCH(D223,FX!$D$2:$O$2,0))</f>
        <v>923</v>
      </c>
      <c r="T223" s="12" t="s">
        <v>144</v>
      </c>
      <c r="U223" s="12" t="s">
        <v>32</v>
      </c>
      <c r="V223" s="12" t="s">
        <v>83</v>
      </c>
      <c r="W223" s="8" t="str">
        <f>VLOOKUP(I223,Map!$F$18:$H$51,3,0)</f>
        <v>Variable</v>
      </c>
      <c r="X223" s="88" t="s">
        <v>149</v>
      </c>
      <c r="Y223" s="107" t="str">
        <f>VLOOKUP(L223,Map!$C$18:$D$29,2,0)</f>
        <v>CDT</v>
      </c>
      <c r="Z223" s="52"/>
      <c r="AA223" s="56">
        <f t="shared" si="96"/>
        <v>0</v>
      </c>
      <c r="AB223" s="56">
        <f t="shared" si="97"/>
        <v>0</v>
      </c>
      <c r="AC223" s="31">
        <f t="shared" si="98"/>
        <v>0</v>
      </c>
      <c r="AD223" s="31">
        <f t="shared" si="99"/>
        <v>0</v>
      </c>
      <c r="AE223" s="60">
        <f t="shared" si="100"/>
        <v>0</v>
      </c>
      <c r="AF223" s="8"/>
    </row>
    <row r="224" spans="2:32" s="1" customFormat="1" ht="13" hidden="1" x14ac:dyDescent="0.3">
      <c r="B224" s="12">
        <v>2026</v>
      </c>
      <c r="C224" s="12" t="s">
        <v>160</v>
      </c>
      <c r="D224" s="12" t="s">
        <v>162</v>
      </c>
      <c r="E224" s="12" t="s">
        <v>88</v>
      </c>
      <c r="F224" s="12" t="s">
        <v>80</v>
      </c>
      <c r="G224" s="83">
        <v>46218</v>
      </c>
      <c r="H224" s="93">
        <v>3866</v>
      </c>
      <c r="I224" s="12" t="s">
        <v>175</v>
      </c>
      <c r="J224" s="8" t="str">
        <f>IFERROR(VLOOKUP(I224,Map!$F$18:$G$56,2,0),"Add in Map")</f>
        <v>3P</v>
      </c>
      <c r="K224" s="8" t="str">
        <f>VLOOKUP(L224,Map!$C$18:$D$29,2,0)</f>
        <v>DFT</v>
      </c>
      <c r="L224" s="12" t="s">
        <v>40</v>
      </c>
      <c r="M224" s="52">
        <v>1772858.6374671436</v>
      </c>
      <c r="N224" s="56">
        <f t="shared" si="91"/>
        <v>0</v>
      </c>
      <c r="O224" s="56">
        <f t="shared" si="92"/>
        <v>2109701.7785859006</v>
      </c>
      <c r="P224" s="31">
        <f t="shared" si="93"/>
        <v>1920.7569203327666</v>
      </c>
      <c r="Q224" s="31">
        <f t="shared" si="94"/>
        <v>0</v>
      </c>
      <c r="R224" s="60">
        <f t="shared" si="95"/>
        <v>2285.7007351959924</v>
      </c>
      <c r="S224" s="45">
        <f>INDEX(FX!$D$3:$O$19,MATCH(B224,FX!$B$3:$B$32,0),MATCH(D224,FX!$D$2:$O$2,0))</f>
        <v>923</v>
      </c>
      <c r="T224" s="12" t="s">
        <v>144</v>
      </c>
      <c r="U224" s="12" t="s">
        <v>32</v>
      </c>
      <c r="V224" s="12" t="s">
        <v>83</v>
      </c>
      <c r="W224" s="8" t="str">
        <f>VLOOKUP(I224,Map!$F$18:$H$51,3,0)</f>
        <v>Variable</v>
      </c>
      <c r="X224" s="88" t="s">
        <v>149</v>
      </c>
      <c r="Y224" s="107" t="str">
        <f>VLOOKUP(L224,Map!$C$18:$D$29,2,0)</f>
        <v>DFT</v>
      </c>
      <c r="Z224" s="52"/>
      <c r="AA224" s="56">
        <f t="shared" si="96"/>
        <v>0</v>
      </c>
      <c r="AB224" s="56">
        <f t="shared" si="97"/>
        <v>0</v>
      </c>
      <c r="AC224" s="31">
        <f t="shared" si="98"/>
        <v>0</v>
      </c>
      <c r="AD224" s="31">
        <f t="shared" si="99"/>
        <v>0</v>
      </c>
      <c r="AE224" s="60">
        <f t="shared" si="100"/>
        <v>0</v>
      </c>
      <c r="AF224" s="8"/>
    </row>
    <row r="225" spans="2:32" s="1" customFormat="1" ht="13" hidden="1" x14ac:dyDescent="0.3">
      <c r="B225" s="12">
        <v>2026</v>
      </c>
      <c r="C225" s="12" t="s">
        <v>160</v>
      </c>
      <c r="D225" s="12" t="s">
        <v>162</v>
      </c>
      <c r="E225" s="12" t="s">
        <v>88</v>
      </c>
      <c r="F225" s="12" t="s">
        <v>80</v>
      </c>
      <c r="G225" s="83">
        <v>46218</v>
      </c>
      <c r="H225" s="93">
        <v>3866</v>
      </c>
      <c r="I225" s="12" t="s">
        <v>175</v>
      </c>
      <c r="J225" s="8" t="str">
        <f>IFERROR(VLOOKUP(I225,Map!$F$18:$G$56,2,0),"Add in Map")</f>
        <v>3P</v>
      </c>
      <c r="K225" s="8" t="str">
        <f>VLOOKUP(L225,Map!$C$18:$D$29,2,0)</f>
        <v>DVT</v>
      </c>
      <c r="L225" s="12" t="s">
        <v>42</v>
      </c>
      <c r="M225" s="52">
        <v>0</v>
      </c>
      <c r="N225" s="56">
        <f t="shared" si="91"/>
        <v>0</v>
      </c>
      <c r="O225" s="56">
        <f t="shared" si="92"/>
        <v>0</v>
      </c>
      <c r="P225" s="31">
        <f t="shared" si="93"/>
        <v>0</v>
      </c>
      <c r="Q225" s="31">
        <f t="shared" si="94"/>
        <v>0</v>
      </c>
      <c r="R225" s="60">
        <f t="shared" si="95"/>
        <v>0</v>
      </c>
      <c r="S225" s="45">
        <f>INDEX(FX!$D$3:$O$19,MATCH(B225,FX!$B$3:$B$32,0),MATCH(D225,FX!$D$2:$O$2,0))</f>
        <v>923</v>
      </c>
      <c r="T225" s="12" t="s">
        <v>144</v>
      </c>
      <c r="U225" s="12" t="s">
        <v>32</v>
      </c>
      <c r="V225" s="12" t="s">
        <v>83</v>
      </c>
      <c r="W225" s="8" t="str">
        <f>VLOOKUP(I225,Map!$F$18:$H$51,3,0)</f>
        <v>Variable</v>
      </c>
      <c r="X225" s="88" t="s">
        <v>149</v>
      </c>
      <c r="Y225" s="107" t="str">
        <f>VLOOKUP(L225,Map!$C$18:$D$29,2,0)</f>
        <v>DVT</v>
      </c>
      <c r="Z225" s="52"/>
      <c r="AA225" s="56">
        <f t="shared" si="96"/>
        <v>0</v>
      </c>
      <c r="AB225" s="56">
        <f t="shared" si="97"/>
        <v>0</v>
      </c>
      <c r="AC225" s="31">
        <f t="shared" si="98"/>
        <v>0</v>
      </c>
      <c r="AD225" s="31">
        <f t="shared" si="99"/>
        <v>0</v>
      </c>
      <c r="AE225" s="60">
        <f t="shared" si="100"/>
        <v>0</v>
      </c>
      <c r="AF225" s="8"/>
    </row>
    <row r="226" spans="2:32" s="1" customFormat="1" ht="13" hidden="1" x14ac:dyDescent="0.3">
      <c r="B226" s="12">
        <v>2026</v>
      </c>
      <c r="C226" s="12" t="s">
        <v>160</v>
      </c>
      <c r="D226" s="12" t="s">
        <v>162</v>
      </c>
      <c r="E226" s="12" t="s">
        <v>88</v>
      </c>
      <c r="F226" s="12" t="s">
        <v>80</v>
      </c>
      <c r="G226" s="83">
        <v>46218</v>
      </c>
      <c r="H226" s="93">
        <v>3866</v>
      </c>
      <c r="I226" s="12" t="s">
        <v>175</v>
      </c>
      <c r="J226" s="8" t="str">
        <f>IFERROR(VLOOKUP(I226,Map!$F$18:$G$56,2,0),"Add in Map")</f>
        <v>3P</v>
      </c>
      <c r="K226" s="8" t="str">
        <f>VLOOKUP(L226,Map!$C$18:$D$29,2,0)</f>
        <v>GLT</v>
      </c>
      <c r="L226" s="12" t="s">
        <v>44</v>
      </c>
      <c r="M226" s="52">
        <v>1528449.7476718083</v>
      </c>
      <c r="N226" s="56">
        <f t="shared" si="91"/>
        <v>0</v>
      </c>
      <c r="O226" s="56">
        <f t="shared" si="92"/>
        <v>1818855.1997294519</v>
      </c>
      <c r="P226" s="31">
        <f t="shared" si="93"/>
        <v>1655.9585565241694</v>
      </c>
      <c r="Q226" s="31">
        <f t="shared" si="94"/>
        <v>0</v>
      </c>
      <c r="R226" s="60">
        <f t="shared" si="95"/>
        <v>1970.5906822637614</v>
      </c>
      <c r="S226" s="45">
        <f>INDEX(FX!$D$3:$O$19,MATCH(B226,FX!$B$3:$B$32,0),MATCH(D226,FX!$D$2:$O$2,0))</f>
        <v>923</v>
      </c>
      <c r="T226" s="12" t="s">
        <v>144</v>
      </c>
      <c r="U226" s="12" t="s">
        <v>32</v>
      </c>
      <c r="V226" s="12" t="s">
        <v>83</v>
      </c>
      <c r="W226" s="8" t="str">
        <f>VLOOKUP(I226,Map!$F$18:$H$51,3,0)</f>
        <v>Variable</v>
      </c>
      <c r="X226" s="88" t="s">
        <v>149</v>
      </c>
      <c r="Y226" s="107" t="str">
        <f>VLOOKUP(L226,Map!$C$18:$D$29,2,0)</f>
        <v>GLT</v>
      </c>
      <c r="Z226" s="52"/>
      <c r="AA226" s="56">
        <f t="shared" si="96"/>
        <v>0</v>
      </c>
      <c r="AB226" s="56">
        <f t="shared" si="97"/>
        <v>0</v>
      </c>
      <c r="AC226" s="31">
        <f t="shared" si="98"/>
        <v>0</v>
      </c>
      <c r="AD226" s="31">
        <f t="shared" si="99"/>
        <v>0</v>
      </c>
      <c r="AE226" s="60">
        <f t="shared" si="100"/>
        <v>0</v>
      </c>
      <c r="AF226" s="8"/>
    </row>
    <row r="227" spans="2:32" s="1" customFormat="1" ht="13" hidden="1" x14ac:dyDescent="0.3">
      <c r="B227" s="12">
        <v>2026</v>
      </c>
      <c r="C227" s="12" t="s">
        <v>160</v>
      </c>
      <c r="D227" s="12" t="s">
        <v>162</v>
      </c>
      <c r="E227" s="12" t="s">
        <v>88</v>
      </c>
      <c r="F227" s="12" t="s">
        <v>80</v>
      </c>
      <c r="G227" s="83">
        <v>46218</v>
      </c>
      <c r="H227" s="93">
        <v>3866</v>
      </c>
      <c r="I227" s="12" t="s">
        <v>175</v>
      </c>
      <c r="J227" s="8" t="str">
        <f>IFERROR(VLOOKUP(I227,Map!$F$18:$G$56,2,0),"Add in Map")</f>
        <v>3P</v>
      </c>
      <c r="K227" s="8" t="str">
        <f>VLOOKUP(L227,Map!$C$18:$D$29,2,0)</f>
        <v>PNT</v>
      </c>
      <c r="L227" s="12" t="s">
        <v>46</v>
      </c>
      <c r="M227" s="52">
        <v>0</v>
      </c>
      <c r="N227" s="56">
        <f t="shared" si="91"/>
        <v>0</v>
      </c>
      <c r="O227" s="56">
        <f t="shared" si="92"/>
        <v>0</v>
      </c>
      <c r="P227" s="31">
        <f t="shared" si="93"/>
        <v>0</v>
      </c>
      <c r="Q227" s="31">
        <f t="shared" si="94"/>
        <v>0</v>
      </c>
      <c r="R227" s="60">
        <f t="shared" si="95"/>
        <v>0</v>
      </c>
      <c r="S227" s="45">
        <f>INDEX(FX!$D$3:$O$19,MATCH(B227,FX!$B$3:$B$32,0),MATCH(D227,FX!$D$2:$O$2,0))</f>
        <v>923</v>
      </c>
      <c r="T227" s="12" t="s">
        <v>144</v>
      </c>
      <c r="U227" s="12" t="s">
        <v>32</v>
      </c>
      <c r="V227" s="12" t="s">
        <v>83</v>
      </c>
      <c r="W227" s="8" t="str">
        <f>VLOOKUP(I227,Map!$F$18:$H$51,3,0)</f>
        <v>Variable</v>
      </c>
      <c r="X227" s="88" t="s">
        <v>149</v>
      </c>
      <c r="Y227" s="107" t="str">
        <f>VLOOKUP(L227,Map!$C$18:$D$29,2,0)</f>
        <v>PNT</v>
      </c>
      <c r="Z227" s="52"/>
      <c r="AA227" s="56">
        <f t="shared" si="96"/>
        <v>0</v>
      </c>
      <c r="AB227" s="56">
        <f t="shared" si="97"/>
        <v>0</v>
      </c>
      <c r="AC227" s="31">
        <f t="shared" si="98"/>
        <v>0</v>
      </c>
      <c r="AD227" s="31">
        <f t="shared" si="99"/>
        <v>0</v>
      </c>
      <c r="AE227" s="60">
        <f t="shared" si="100"/>
        <v>0</v>
      </c>
      <c r="AF227" s="8"/>
    </row>
    <row r="228" spans="2:32" s="1" customFormat="1" ht="13" hidden="1" x14ac:dyDescent="0.3">
      <c r="B228" s="12">
        <v>2026</v>
      </c>
      <c r="C228" s="12" t="s">
        <v>160</v>
      </c>
      <c r="D228" s="12" t="s">
        <v>162</v>
      </c>
      <c r="E228" s="12" t="s">
        <v>88</v>
      </c>
      <c r="F228" s="12" t="s">
        <v>80</v>
      </c>
      <c r="G228" s="83">
        <v>46218</v>
      </c>
      <c r="H228" s="93">
        <v>3866</v>
      </c>
      <c r="I228" s="12" t="s">
        <v>175</v>
      </c>
      <c r="J228" s="8" t="str">
        <f>IFERROR(VLOOKUP(I228,Map!$F$18:$G$56,2,0),"Add in Map")</f>
        <v>3P</v>
      </c>
      <c r="K228" s="8" t="str">
        <f>VLOOKUP(L228,Map!$C$18:$D$29,2,0)</f>
        <v>GTT</v>
      </c>
      <c r="L228" s="12" t="s">
        <v>48</v>
      </c>
      <c r="M228" s="52">
        <v>24197.86609313593</v>
      </c>
      <c r="N228" s="56">
        <f t="shared" si="91"/>
        <v>0</v>
      </c>
      <c r="O228" s="56">
        <f t="shared" si="92"/>
        <v>28795.460650831756</v>
      </c>
      <c r="P228" s="31">
        <f t="shared" si="93"/>
        <v>26.216539645867748</v>
      </c>
      <c r="Q228" s="31">
        <f t="shared" si="94"/>
        <v>0</v>
      </c>
      <c r="R228" s="60">
        <f t="shared" si="95"/>
        <v>31.197682178582617</v>
      </c>
      <c r="S228" s="45">
        <f>INDEX(FX!$D$3:$O$19,MATCH(B228,FX!$B$3:$B$32,0),MATCH(D228,FX!$D$2:$O$2,0))</f>
        <v>923</v>
      </c>
      <c r="T228" s="12" t="s">
        <v>144</v>
      </c>
      <c r="U228" s="12" t="s">
        <v>32</v>
      </c>
      <c r="V228" s="12" t="s">
        <v>83</v>
      </c>
      <c r="W228" s="8" t="str">
        <f>VLOOKUP(I228,Map!$F$18:$H$51,3,0)</f>
        <v>Variable</v>
      </c>
      <c r="X228" s="88" t="s">
        <v>149</v>
      </c>
      <c r="Y228" s="107" t="str">
        <f>VLOOKUP(L228,Map!$C$18:$D$29,2,0)</f>
        <v>GTT</v>
      </c>
      <c r="Z228" s="52"/>
      <c r="AA228" s="56">
        <f t="shared" si="96"/>
        <v>0</v>
      </c>
      <c r="AB228" s="56">
        <f t="shared" si="97"/>
        <v>0</v>
      </c>
      <c r="AC228" s="31">
        <f t="shared" si="98"/>
        <v>0</v>
      </c>
      <c r="AD228" s="31">
        <f t="shared" si="99"/>
        <v>0</v>
      </c>
      <c r="AE228" s="60">
        <f t="shared" si="100"/>
        <v>0</v>
      </c>
      <c r="AF228" s="8"/>
    </row>
    <row r="229" spans="2:32" s="1" customFormat="1" ht="13" hidden="1" x14ac:dyDescent="0.3">
      <c r="B229" s="12">
        <v>2026</v>
      </c>
      <c r="C229" s="12" t="s">
        <v>160</v>
      </c>
      <c r="D229" s="12" t="s">
        <v>162</v>
      </c>
      <c r="E229" s="12" t="s">
        <v>88</v>
      </c>
      <c r="F229" s="12" t="s">
        <v>80</v>
      </c>
      <c r="G229" s="83">
        <v>46218</v>
      </c>
      <c r="H229" s="93">
        <v>3866</v>
      </c>
      <c r="I229" s="12" t="s">
        <v>175</v>
      </c>
      <c r="J229" s="8" t="str">
        <f>IFERROR(VLOOKUP(I229,Map!$F$18:$G$56,2,0),"Add in Map")</f>
        <v>3P</v>
      </c>
      <c r="K229" s="8" t="str">
        <f>VLOOKUP(L229,Map!$C$18:$D$29,2,0)</f>
        <v>DGT</v>
      </c>
      <c r="L229" s="12" t="s">
        <v>50</v>
      </c>
      <c r="M229" s="52">
        <v>0</v>
      </c>
      <c r="N229" s="56">
        <f t="shared" si="91"/>
        <v>0</v>
      </c>
      <c r="O229" s="56">
        <f t="shared" si="92"/>
        <v>0</v>
      </c>
      <c r="P229" s="31">
        <f t="shared" si="93"/>
        <v>0</v>
      </c>
      <c r="Q229" s="31">
        <f t="shared" si="94"/>
        <v>0</v>
      </c>
      <c r="R229" s="60">
        <f t="shared" si="95"/>
        <v>0</v>
      </c>
      <c r="S229" s="45">
        <f>INDEX(FX!$D$3:$O$19,MATCH(B229,FX!$B$3:$B$32,0),MATCH(D229,FX!$D$2:$O$2,0))</f>
        <v>923</v>
      </c>
      <c r="T229" s="12" t="s">
        <v>144</v>
      </c>
      <c r="U229" s="12" t="s">
        <v>32</v>
      </c>
      <c r="V229" s="12" t="s">
        <v>83</v>
      </c>
      <c r="W229" s="8" t="str">
        <f>VLOOKUP(I229,Map!$F$18:$H$51,3,0)</f>
        <v>Variable</v>
      </c>
      <c r="X229" s="88" t="s">
        <v>149</v>
      </c>
      <c r="Y229" s="107" t="str">
        <f>VLOOKUP(L229,Map!$C$18:$D$29,2,0)</f>
        <v>DGT</v>
      </c>
      <c r="Z229" s="52"/>
      <c r="AA229" s="56">
        <f t="shared" si="96"/>
        <v>0</v>
      </c>
      <c r="AB229" s="56">
        <f t="shared" si="97"/>
        <v>0</v>
      </c>
      <c r="AC229" s="31">
        <f t="shared" si="98"/>
        <v>0</v>
      </c>
      <c r="AD229" s="31">
        <f t="shared" si="99"/>
        <v>0</v>
      </c>
      <c r="AE229" s="60">
        <f t="shared" si="100"/>
        <v>0</v>
      </c>
      <c r="AF229" s="8"/>
    </row>
    <row r="230" spans="2:32" s="1" customFormat="1" ht="13" hidden="1" x14ac:dyDescent="0.3">
      <c r="B230" s="12">
        <v>2026</v>
      </c>
      <c r="C230" s="12" t="s">
        <v>160</v>
      </c>
      <c r="D230" s="12" t="s">
        <v>162</v>
      </c>
      <c r="E230" s="12" t="s">
        <v>88</v>
      </c>
      <c r="F230" s="12" t="s">
        <v>80</v>
      </c>
      <c r="G230" s="83">
        <v>46218</v>
      </c>
      <c r="H230" s="93">
        <v>3866</v>
      </c>
      <c r="I230" s="12" t="s">
        <v>175</v>
      </c>
      <c r="J230" s="8" t="str">
        <f>IFERROR(VLOOKUP(I230,Map!$F$18:$G$56,2,0),"Add in Map")</f>
        <v>3P</v>
      </c>
      <c r="K230" s="8" t="str">
        <f>VLOOKUP(L230,Map!$C$18:$D$29,2,0)</f>
        <v>DLT</v>
      </c>
      <c r="L230" s="12" t="s">
        <v>52</v>
      </c>
      <c r="M230" s="52">
        <v>6291.559225385914</v>
      </c>
      <c r="N230" s="56">
        <f t="shared" si="91"/>
        <v>0</v>
      </c>
      <c r="O230" s="56">
        <f t="shared" si="92"/>
        <v>7486.9554782092373</v>
      </c>
      <c r="P230" s="31">
        <f t="shared" si="93"/>
        <v>6.8164238628233091</v>
      </c>
      <c r="Q230" s="31">
        <f t="shared" si="94"/>
        <v>0</v>
      </c>
      <c r="R230" s="60">
        <f t="shared" si="95"/>
        <v>8.1115443967597383</v>
      </c>
      <c r="S230" s="45">
        <f>INDEX(FX!$D$3:$O$19,MATCH(B230,FX!$B$3:$B$32,0),MATCH(D230,FX!$D$2:$O$2,0))</f>
        <v>923</v>
      </c>
      <c r="T230" s="12" t="s">
        <v>144</v>
      </c>
      <c r="U230" s="12" t="s">
        <v>32</v>
      </c>
      <c r="V230" s="12" t="s">
        <v>83</v>
      </c>
      <c r="W230" s="8" t="str">
        <f>VLOOKUP(I230,Map!$F$18:$H$51,3,0)</f>
        <v>Variable</v>
      </c>
      <c r="X230" s="88" t="s">
        <v>149</v>
      </c>
      <c r="Y230" s="107" t="str">
        <f>VLOOKUP(L230,Map!$C$18:$D$29,2,0)</f>
        <v>DLT</v>
      </c>
      <c r="Z230" s="52"/>
      <c r="AA230" s="56">
        <f t="shared" si="96"/>
        <v>0</v>
      </c>
      <c r="AB230" s="56">
        <f t="shared" si="97"/>
        <v>0</v>
      </c>
      <c r="AC230" s="31">
        <f t="shared" si="98"/>
        <v>0</v>
      </c>
      <c r="AD230" s="31">
        <f t="shared" si="99"/>
        <v>0</v>
      </c>
      <c r="AE230" s="60">
        <f t="shared" si="100"/>
        <v>0</v>
      </c>
      <c r="AF230" s="8"/>
    </row>
    <row r="231" spans="2:32" s="1" customFormat="1" ht="13" hidden="1" x14ac:dyDescent="0.3">
      <c r="B231" s="12">
        <v>2026</v>
      </c>
      <c r="C231" s="12" t="s">
        <v>160</v>
      </c>
      <c r="D231" s="12" t="s">
        <v>162</v>
      </c>
      <c r="E231" s="12" t="s">
        <v>88</v>
      </c>
      <c r="F231" s="12" t="s">
        <v>80</v>
      </c>
      <c r="G231" s="83">
        <v>46218</v>
      </c>
      <c r="H231" s="93">
        <v>3866</v>
      </c>
      <c r="I231" s="12" t="s">
        <v>175</v>
      </c>
      <c r="J231" s="8" t="str">
        <f>IFERROR(VLOOKUP(I231,Map!$F$18:$G$56,2,0),"Add in Map")</f>
        <v>3P</v>
      </c>
      <c r="K231" s="8" t="str">
        <f>VLOOKUP(L231,Map!$C$18:$D$29,2,0)</f>
        <v>DMT</v>
      </c>
      <c r="L231" s="12" t="s">
        <v>54</v>
      </c>
      <c r="M231" s="52">
        <v>0</v>
      </c>
      <c r="N231" s="56">
        <f t="shared" si="91"/>
        <v>0</v>
      </c>
      <c r="O231" s="56">
        <f t="shared" si="92"/>
        <v>0</v>
      </c>
      <c r="P231" s="48">
        <f t="shared" si="93"/>
        <v>0</v>
      </c>
      <c r="Q231" s="31">
        <f t="shared" si="94"/>
        <v>0</v>
      </c>
      <c r="R231" s="60">
        <f t="shared" si="95"/>
        <v>0</v>
      </c>
      <c r="S231" s="45">
        <f>INDEX(FX!$D$3:$O$19,MATCH(B231,FX!$B$3:$B$32,0),MATCH(D231,FX!$D$2:$O$2,0))</f>
        <v>923</v>
      </c>
      <c r="T231" s="12" t="s">
        <v>144</v>
      </c>
      <c r="U231" s="12" t="s">
        <v>32</v>
      </c>
      <c r="V231" s="12" t="s">
        <v>83</v>
      </c>
      <c r="W231" s="8" t="str">
        <f>VLOOKUP(I231,Map!$F$18:$H$51,3,0)</f>
        <v>Variable</v>
      </c>
      <c r="X231" s="88" t="s">
        <v>149</v>
      </c>
      <c r="Y231" s="107" t="str">
        <f>VLOOKUP(L231,Map!$C$18:$D$29,2,0)</f>
        <v>DMT</v>
      </c>
      <c r="Z231" s="52"/>
      <c r="AA231" s="56">
        <f t="shared" si="96"/>
        <v>0</v>
      </c>
      <c r="AB231" s="56">
        <f t="shared" si="97"/>
        <v>0</v>
      </c>
      <c r="AC231" s="48">
        <f t="shared" si="98"/>
        <v>0</v>
      </c>
      <c r="AD231" s="31">
        <f t="shared" si="99"/>
        <v>0</v>
      </c>
      <c r="AE231" s="60">
        <f t="shared" si="100"/>
        <v>0</v>
      </c>
      <c r="AF231" s="8"/>
    </row>
    <row r="232" spans="2:32" s="37" customFormat="1" hidden="1" x14ac:dyDescent="0.35">
      <c r="B232" s="13">
        <v>2026</v>
      </c>
      <c r="C232" s="13" t="s">
        <v>160</v>
      </c>
      <c r="D232" s="13" t="s">
        <v>162</v>
      </c>
      <c r="E232" s="13" t="s">
        <v>88</v>
      </c>
      <c r="F232" s="13" t="s">
        <v>80</v>
      </c>
      <c r="G232" s="85">
        <v>46218</v>
      </c>
      <c r="H232" s="94">
        <v>3866</v>
      </c>
      <c r="I232" s="13" t="s">
        <v>175</v>
      </c>
      <c r="J232" s="29" t="str">
        <f>IFERROR(VLOOKUP(I232,Map!$F$18:$G$56,2,0),"Add in Map")</f>
        <v>3P</v>
      </c>
      <c r="K232" s="29" t="str">
        <f>VLOOKUP(L232,Map!$C$18:$D$29,2,0)</f>
        <v>TOTAL</v>
      </c>
      <c r="L232" s="13" t="s">
        <v>56</v>
      </c>
      <c r="M232" s="128">
        <f>SUM(M221:M231)</f>
        <v>5811311.4669732703</v>
      </c>
      <c r="N232" s="57">
        <f t="shared" si="91"/>
        <v>1104149.1787249213</v>
      </c>
      <c r="O232" s="57">
        <f t="shared" si="92"/>
        <v>6915460.6456981916</v>
      </c>
      <c r="P232" s="11">
        <f t="shared" si="93"/>
        <v>6296.1120985625894</v>
      </c>
      <c r="Q232" s="11">
        <f t="shared" si="94"/>
        <v>1196.2612987268919</v>
      </c>
      <c r="R232" s="61">
        <f t="shared" si="95"/>
        <v>7492.3733972894806</v>
      </c>
      <c r="S232" s="46">
        <f>INDEX(FX!$D$3:$O$19,MATCH(B232,FX!$B$3:$B$32,0),MATCH(D232,FX!$D$2:$O$2,0))</f>
        <v>923</v>
      </c>
      <c r="T232" s="13" t="s">
        <v>144</v>
      </c>
      <c r="U232" s="13" t="s">
        <v>32</v>
      </c>
      <c r="V232" s="13" t="s">
        <v>83</v>
      </c>
      <c r="W232" s="29" t="str">
        <f>VLOOKUP(I232,Map!$F$18:$H$51,3,0)</f>
        <v>Variable</v>
      </c>
      <c r="X232" s="90" t="s">
        <v>149</v>
      </c>
      <c r="Y232" s="109" t="str">
        <f>VLOOKUP(L232,Map!$C$18:$D$29,2,0)</f>
        <v>TOTAL</v>
      </c>
      <c r="Z232" s="53"/>
      <c r="AA232" s="57">
        <f t="shared" si="96"/>
        <v>0</v>
      </c>
      <c r="AB232" s="57">
        <f t="shared" si="97"/>
        <v>0</v>
      </c>
      <c r="AC232" s="11">
        <f t="shared" si="98"/>
        <v>0</v>
      </c>
      <c r="AD232" s="11">
        <f t="shared" si="99"/>
        <v>0</v>
      </c>
      <c r="AE232" s="61">
        <f t="shared" si="100"/>
        <v>0</v>
      </c>
      <c r="AF232" s="87"/>
    </row>
    <row r="233" spans="2:32" s="5" customFormat="1" ht="13" hidden="1" x14ac:dyDescent="0.3">
      <c r="B233" s="114">
        <v>2026</v>
      </c>
      <c r="C233" s="114" t="s">
        <v>161</v>
      </c>
      <c r="D233" s="114" t="s">
        <v>162</v>
      </c>
      <c r="E233" s="114" t="s">
        <v>88</v>
      </c>
      <c r="F233" s="114" t="s">
        <v>80</v>
      </c>
      <c r="G233" s="115">
        <v>46218</v>
      </c>
      <c r="H233" s="116">
        <v>3869</v>
      </c>
      <c r="I233" s="114" t="s">
        <v>175</v>
      </c>
      <c r="J233" s="117" t="str">
        <f>IFERROR(VLOOKUP(I233,Map!$F$18:$G$56,2,0),"Add in Map")</f>
        <v>3P</v>
      </c>
      <c r="K233" s="117" t="str">
        <f>VLOOKUP(L233,Map!$C$18:$D$29,2,0)</f>
        <v>CNT</v>
      </c>
      <c r="L233" s="114" t="s">
        <v>31</v>
      </c>
      <c r="M233" s="118">
        <v>1263305.7202933729</v>
      </c>
      <c r="N233" s="119">
        <f t="shared" ref="N233:N296" si="101">IF(L233="TOTAL",(M233*0.19),0)</f>
        <v>0</v>
      </c>
      <c r="O233" s="119">
        <f t="shared" ref="O233:O296" si="102">M233*1.19</f>
        <v>1503333.8071491136</v>
      </c>
      <c r="P233" s="120">
        <f t="shared" ref="P233:P296" si="103">M233/S233</f>
        <v>1368.6952549223975</v>
      </c>
      <c r="Q233" s="120">
        <f t="shared" ref="Q233:Q296" si="104">IF(L233="TOTAL",(P233*0.19),0)</f>
        <v>0</v>
      </c>
      <c r="R233" s="121">
        <f t="shared" ref="R233:R296" si="105">P233*1.19</f>
        <v>1628.7473533576529</v>
      </c>
      <c r="S233" s="122">
        <f>INDEX(FX!$D$3:$O$19,MATCH(B233,FX!$B$3:$B$32,0),MATCH(D233,FX!$D$2:$O$2,0))</f>
        <v>923</v>
      </c>
      <c r="T233" s="114" t="s">
        <v>143</v>
      </c>
      <c r="U233" s="114" t="s">
        <v>155</v>
      </c>
      <c r="V233" s="114" t="s">
        <v>83</v>
      </c>
      <c r="W233" s="117" t="str">
        <f>VLOOKUP(I233,Map!$F$18:$H$51,3,0)</f>
        <v>Variable</v>
      </c>
      <c r="X233" s="123" t="s">
        <v>149</v>
      </c>
      <c r="Y233" s="124" t="str">
        <f>VLOOKUP(L233,Map!$C$18:$D$29,2,0)</f>
        <v>CNT</v>
      </c>
      <c r="Z233" s="118"/>
      <c r="AA233" s="119">
        <f t="shared" ref="AA233:AA296" si="106">IF(Y233="TOTAL",(Z233*0.19),0)</f>
        <v>0</v>
      </c>
      <c r="AB233" s="119">
        <f t="shared" ref="AB233:AB296" si="107">Z233*1.19</f>
        <v>0</v>
      </c>
      <c r="AC233" s="120">
        <f t="shared" ref="AC233:AC296" si="108">Z233/S233</f>
        <v>0</v>
      </c>
      <c r="AD233" s="120">
        <f t="shared" ref="AD233:AD296" si="109">IF(Y233="TOTAL",(AC233*0.19),0)</f>
        <v>0</v>
      </c>
      <c r="AE233" s="121">
        <f t="shared" ref="AE233:AE296" si="110">AC233*1.19</f>
        <v>0</v>
      </c>
      <c r="AF233" s="117"/>
    </row>
    <row r="234" spans="2:32" s="1" customFormat="1" ht="13" hidden="1" x14ac:dyDescent="0.3">
      <c r="B234" s="12">
        <v>2026</v>
      </c>
      <c r="C234" s="12" t="s">
        <v>161</v>
      </c>
      <c r="D234" s="12" t="s">
        <v>162</v>
      </c>
      <c r="E234" s="12" t="s">
        <v>88</v>
      </c>
      <c r="F234" s="12" t="s">
        <v>80</v>
      </c>
      <c r="G234" s="83">
        <v>46218</v>
      </c>
      <c r="H234" s="93">
        <v>3869</v>
      </c>
      <c r="I234" s="12" t="s">
        <v>175</v>
      </c>
      <c r="J234" s="8" t="str">
        <f>IFERROR(VLOOKUP(I234,Map!$F$18:$G$56,2,0),"Add in Map")</f>
        <v>3P</v>
      </c>
      <c r="K234" s="8" t="str">
        <f>VLOOKUP(L234,Map!$C$18:$D$29,2,0)</f>
        <v>CVT</v>
      </c>
      <c r="L234" s="12" t="s">
        <v>36</v>
      </c>
      <c r="M234" s="52">
        <v>0</v>
      </c>
      <c r="N234" s="56">
        <f t="shared" si="101"/>
        <v>0</v>
      </c>
      <c r="O234" s="56">
        <f t="shared" si="102"/>
        <v>0</v>
      </c>
      <c r="P234" s="31">
        <f t="shared" si="103"/>
        <v>0</v>
      </c>
      <c r="Q234" s="31">
        <f t="shared" si="104"/>
        <v>0</v>
      </c>
      <c r="R234" s="60">
        <f t="shared" si="105"/>
        <v>0</v>
      </c>
      <c r="S234" s="45">
        <f>INDEX(FX!$D$3:$O$19,MATCH(B234,FX!$B$3:$B$32,0),MATCH(D234,FX!$D$2:$O$2,0))</f>
        <v>923</v>
      </c>
      <c r="T234" s="12" t="s">
        <v>143</v>
      </c>
      <c r="U234" s="12" t="s">
        <v>155</v>
      </c>
      <c r="V234" s="12" t="s">
        <v>83</v>
      </c>
      <c r="W234" s="8" t="str">
        <f>VLOOKUP(I234,Map!$F$18:$H$51,3,0)</f>
        <v>Variable</v>
      </c>
      <c r="X234" s="88" t="s">
        <v>149</v>
      </c>
      <c r="Y234" s="107" t="str">
        <f>VLOOKUP(L234,Map!$C$18:$D$29,2,0)</f>
        <v>CVT</v>
      </c>
      <c r="Z234" s="52"/>
      <c r="AA234" s="56">
        <f t="shared" si="106"/>
        <v>0</v>
      </c>
      <c r="AB234" s="56">
        <f t="shared" si="107"/>
        <v>0</v>
      </c>
      <c r="AC234" s="31">
        <f t="shared" si="108"/>
        <v>0</v>
      </c>
      <c r="AD234" s="31">
        <f t="shared" si="109"/>
        <v>0</v>
      </c>
      <c r="AE234" s="60">
        <f t="shared" si="110"/>
        <v>0</v>
      </c>
      <c r="AF234" s="8"/>
    </row>
    <row r="235" spans="2:32" s="1" customFormat="1" ht="13" hidden="1" x14ac:dyDescent="0.3">
      <c r="B235" s="12">
        <v>2026</v>
      </c>
      <c r="C235" s="12" t="s">
        <v>161</v>
      </c>
      <c r="D235" s="12" t="s">
        <v>162</v>
      </c>
      <c r="E235" s="12" t="s">
        <v>88</v>
      </c>
      <c r="F235" s="12" t="s">
        <v>80</v>
      </c>
      <c r="G235" s="83">
        <v>46218</v>
      </c>
      <c r="H235" s="93">
        <v>3869</v>
      </c>
      <c r="I235" s="12" t="s">
        <v>175</v>
      </c>
      <c r="J235" s="8" t="str">
        <f>IFERROR(VLOOKUP(I235,Map!$F$18:$G$56,2,0),"Add in Map")</f>
        <v>3P</v>
      </c>
      <c r="K235" s="8" t="str">
        <f>VLOOKUP(L235,Map!$C$18:$D$29,2,0)</f>
        <v>CDT</v>
      </c>
      <c r="L235" s="12" t="s">
        <v>38</v>
      </c>
      <c r="M235" s="52">
        <v>0</v>
      </c>
      <c r="N235" s="56">
        <f t="shared" si="101"/>
        <v>0</v>
      </c>
      <c r="O235" s="56">
        <f t="shared" si="102"/>
        <v>0</v>
      </c>
      <c r="P235" s="31">
        <f t="shared" si="103"/>
        <v>0</v>
      </c>
      <c r="Q235" s="31">
        <f t="shared" si="104"/>
        <v>0</v>
      </c>
      <c r="R235" s="60">
        <f t="shared" si="105"/>
        <v>0</v>
      </c>
      <c r="S235" s="45">
        <f>INDEX(FX!$D$3:$O$19,MATCH(B235,FX!$B$3:$B$32,0),MATCH(D235,FX!$D$2:$O$2,0))</f>
        <v>923</v>
      </c>
      <c r="T235" s="12" t="s">
        <v>143</v>
      </c>
      <c r="U235" s="12" t="s">
        <v>155</v>
      </c>
      <c r="V235" s="12" t="s">
        <v>83</v>
      </c>
      <c r="W235" s="8" t="str">
        <f>VLOOKUP(I235,Map!$F$18:$H$51,3,0)</f>
        <v>Variable</v>
      </c>
      <c r="X235" s="88" t="s">
        <v>149</v>
      </c>
      <c r="Y235" s="107" t="str">
        <f>VLOOKUP(L235,Map!$C$18:$D$29,2,0)</f>
        <v>CDT</v>
      </c>
      <c r="Z235" s="52"/>
      <c r="AA235" s="56">
        <f t="shared" si="106"/>
        <v>0</v>
      </c>
      <c r="AB235" s="56">
        <f t="shared" si="107"/>
        <v>0</v>
      </c>
      <c r="AC235" s="31">
        <f t="shared" si="108"/>
        <v>0</v>
      </c>
      <c r="AD235" s="31">
        <f t="shared" si="109"/>
        <v>0</v>
      </c>
      <c r="AE235" s="60">
        <f t="shared" si="110"/>
        <v>0</v>
      </c>
      <c r="AF235" s="8"/>
    </row>
    <row r="236" spans="2:32" s="1" customFormat="1" ht="13" hidden="1" x14ac:dyDescent="0.3">
      <c r="B236" s="12">
        <v>2026</v>
      </c>
      <c r="C236" s="12" t="s">
        <v>161</v>
      </c>
      <c r="D236" s="12" t="s">
        <v>162</v>
      </c>
      <c r="E236" s="12" t="s">
        <v>88</v>
      </c>
      <c r="F236" s="12" t="s">
        <v>80</v>
      </c>
      <c r="G236" s="83">
        <v>46218</v>
      </c>
      <c r="H236" s="93">
        <v>3869</v>
      </c>
      <c r="I236" s="12" t="s">
        <v>175</v>
      </c>
      <c r="J236" s="8" t="str">
        <f>IFERROR(VLOOKUP(I236,Map!$F$18:$G$56,2,0),"Add in Map")</f>
        <v>3P</v>
      </c>
      <c r="K236" s="8" t="str">
        <f>VLOOKUP(L236,Map!$C$18:$D$29,2,0)</f>
        <v>DFT</v>
      </c>
      <c r="L236" s="12" t="s">
        <v>40</v>
      </c>
      <c r="M236" s="52">
        <v>903266.83706631523</v>
      </c>
      <c r="N236" s="56">
        <f t="shared" si="101"/>
        <v>0</v>
      </c>
      <c r="O236" s="56">
        <f t="shared" si="102"/>
        <v>1074887.536108915</v>
      </c>
      <c r="P236" s="31">
        <f t="shared" si="103"/>
        <v>978.62062520727545</v>
      </c>
      <c r="Q236" s="31">
        <f t="shared" si="104"/>
        <v>0</v>
      </c>
      <c r="R236" s="60">
        <f t="shared" si="105"/>
        <v>1164.5585439966578</v>
      </c>
      <c r="S236" s="45">
        <f>INDEX(FX!$D$3:$O$19,MATCH(B236,FX!$B$3:$B$32,0),MATCH(D236,FX!$D$2:$O$2,0))</f>
        <v>923</v>
      </c>
      <c r="T236" s="12" t="s">
        <v>143</v>
      </c>
      <c r="U236" s="12" t="s">
        <v>155</v>
      </c>
      <c r="V236" s="12" t="s">
        <v>83</v>
      </c>
      <c r="W236" s="8" t="str">
        <f>VLOOKUP(I236,Map!$F$18:$H$51,3,0)</f>
        <v>Variable</v>
      </c>
      <c r="X236" s="88" t="s">
        <v>149</v>
      </c>
      <c r="Y236" s="107" t="str">
        <f>VLOOKUP(L236,Map!$C$18:$D$29,2,0)</f>
        <v>DFT</v>
      </c>
      <c r="Z236" s="52"/>
      <c r="AA236" s="56">
        <f t="shared" si="106"/>
        <v>0</v>
      </c>
      <c r="AB236" s="56">
        <f t="shared" si="107"/>
        <v>0</v>
      </c>
      <c r="AC236" s="31">
        <f t="shared" si="108"/>
        <v>0</v>
      </c>
      <c r="AD236" s="31">
        <f t="shared" si="109"/>
        <v>0</v>
      </c>
      <c r="AE236" s="60">
        <f t="shared" si="110"/>
        <v>0</v>
      </c>
      <c r="AF236" s="8"/>
    </row>
    <row r="237" spans="2:32" s="1" customFormat="1" ht="13" hidden="1" x14ac:dyDescent="0.3">
      <c r="B237" s="12">
        <v>2026</v>
      </c>
      <c r="C237" s="12" t="s">
        <v>161</v>
      </c>
      <c r="D237" s="12" t="s">
        <v>162</v>
      </c>
      <c r="E237" s="12" t="s">
        <v>88</v>
      </c>
      <c r="F237" s="12" t="s">
        <v>80</v>
      </c>
      <c r="G237" s="83">
        <v>46218</v>
      </c>
      <c r="H237" s="93">
        <v>3869</v>
      </c>
      <c r="I237" s="12" t="s">
        <v>175</v>
      </c>
      <c r="J237" s="8" t="str">
        <f>IFERROR(VLOOKUP(I237,Map!$F$18:$G$56,2,0),"Add in Map")</f>
        <v>3P</v>
      </c>
      <c r="K237" s="8" t="str">
        <f>VLOOKUP(L237,Map!$C$18:$D$29,2,0)</f>
        <v>DVT</v>
      </c>
      <c r="L237" s="12" t="s">
        <v>42</v>
      </c>
      <c r="M237" s="52">
        <v>0</v>
      </c>
      <c r="N237" s="56">
        <f t="shared" si="101"/>
        <v>0</v>
      </c>
      <c r="O237" s="56">
        <f t="shared" si="102"/>
        <v>0</v>
      </c>
      <c r="P237" s="31">
        <f t="shared" si="103"/>
        <v>0</v>
      </c>
      <c r="Q237" s="31">
        <f t="shared" si="104"/>
        <v>0</v>
      </c>
      <c r="R237" s="60">
        <f t="shared" si="105"/>
        <v>0</v>
      </c>
      <c r="S237" s="45">
        <f>INDEX(FX!$D$3:$O$19,MATCH(B237,FX!$B$3:$B$32,0),MATCH(D237,FX!$D$2:$O$2,0))</f>
        <v>923</v>
      </c>
      <c r="T237" s="12" t="s">
        <v>143</v>
      </c>
      <c r="U237" s="12" t="s">
        <v>155</v>
      </c>
      <c r="V237" s="12" t="s">
        <v>83</v>
      </c>
      <c r="W237" s="8" t="str">
        <f>VLOOKUP(I237,Map!$F$18:$H$51,3,0)</f>
        <v>Variable</v>
      </c>
      <c r="X237" s="88" t="s">
        <v>149</v>
      </c>
      <c r="Y237" s="107" t="str">
        <f>VLOOKUP(L237,Map!$C$18:$D$29,2,0)</f>
        <v>DVT</v>
      </c>
      <c r="Z237" s="52"/>
      <c r="AA237" s="56">
        <f t="shared" si="106"/>
        <v>0</v>
      </c>
      <c r="AB237" s="56">
        <f t="shared" si="107"/>
        <v>0</v>
      </c>
      <c r="AC237" s="31">
        <f t="shared" si="108"/>
        <v>0</v>
      </c>
      <c r="AD237" s="31">
        <f t="shared" si="109"/>
        <v>0</v>
      </c>
      <c r="AE237" s="60">
        <f t="shared" si="110"/>
        <v>0</v>
      </c>
      <c r="AF237" s="8"/>
    </row>
    <row r="238" spans="2:32" s="1" customFormat="1" ht="13" hidden="1" x14ac:dyDescent="0.3">
      <c r="B238" s="12">
        <v>2026</v>
      </c>
      <c r="C238" s="12" t="s">
        <v>161</v>
      </c>
      <c r="D238" s="12" t="s">
        <v>162</v>
      </c>
      <c r="E238" s="12" t="s">
        <v>88</v>
      </c>
      <c r="F238" s="12" t="s">
        <v>80</v>
      </c>
      <c r="G238" s="83">
        <v>46218</v>
      </c>
      <c r="H238" s="93">
        <v>3869</v>
      </c>
      <c r="I238" s="12" t="s">
        <v>175</v>
      </c>
      <c r="J238" s="8" t="str">
        <f>IFERROR(VLOOKUP(I238,Map!$F$18:$G$56,2,0),"Add in Map")</f>
        <v>3P</v>
      </c>
      <c r="K238" s="8" t="str">
        <f>VLOOKUP(L238,Map!$C$18:$D$29,2,0)</f>
        <v>GLT</v>
      </c>
      <c r="L238" s="12" t="s">
        <v>44</v>
      </c>
      <c r="M238" s="52">
        <v>778741.14721676928</v>
      </c>
      <c r="N238" s="56">
        <f t="shared" si="101"/>
        <v>0</v>
      </c>
      <c r="O238" s="56">
        <f t="shared" si="102"/>
        <v>926701.96518795541</v>
      </c>
      <c r="P238" s="31">
        <f t="shared" si="103"/>
        <v>843.70655169747488</v>
      </c>
      <c r="Q238" s="31">
        <f t="shared" si="104"/>
        <v>0</v>
      </c>
      <c r="R238" s="60">
        <f t="shared" si="105"/>
        <v>1004.0107965199951</v>
      </c>
      <c r="S238" s="45">
        <f>INDEX(FX!$D$3:$O$19,MATCH(B238,FX!$B$3:$B$32,0),MATCH(D238,FX!$D$2:$O$2,0))</f>
        <v>923</v>
      </c>
      <c r="T238" s="12" t="s">
        <v>143</v>
      </c>
      <c r="U238" s="12" t="s">
        <v>155</v>
      </c>
      <c r="V238" s="12" t="s">
        <v>83</v>
      </c>
      <c r="W238" s="8" t="str">
        <f>VLOOKUP(I238,Map!$F$18:$H$51,3,0)</f>
        <v>Variable</v>
      </c>
      <c r="X238" s="88" t="s">
        <v>149</v>
      </c>
      <c r="Y238" s="107" t="str">
        <f>VLOOKUP(L238,Map!$C$18:$D$29,2,0)</f>
        <v>GLT</v>
      </c>
      <c r="Z238" s="52"/>
      <c r="AA238" s="56">
        <f t="shared" si="106"/>
        <v>0</v>
      </c>
      <c r="AB238" s="56">
        <f t="shared" si="107"/>
        <v>0</v>
      </c>
      <c r="AC238" s="31">
        <f t="shared" si="108"/>
        <v>0</v>
      </c>
      <c r="AD238" s="31">
        <f t="shared" si="109"/>
        <v>0</v>
      </c>
      <c r="AE238" s="60">
        <f t="shared" si="110"/>
        <v>0</v>
      </c>
      <c r="AF238" s="8"/>
    </row>
    <row r="239" spans="2:32" s="1" customFormat="1" ht="13" hidden="1" x14ac:dyDescent="0.3">
      <c r="B239" s="12">
        <v>2026</v>
      </c>
      <c r="C239" s="12" t="s">
        <v>161</v>
      </c>
      <c r="D239" s="12" t="s">
        <v>162</v>
      </c>
      <c r="E239" s="12" t="s">
        <v>88</v>
      </c>
      <c r="F239" s="12" t="s">
        <v>80</v>
      </c>
      <c r="G239" s="83">
        <v>46218</v>
      </c>
      <c r="H239" s="93">
        <v>3869</v>
      </c>
      <c r="I239" s="12" t="s">
        <v>175</v>
      </c>
      <c r="J239" s="8" t="str">
        <f>IFERROR(VLOOKUP(I239,Map!$F$18:$G$56,2,0),"Add in Map")</f>
        <v>3P</v>
      </c>
      <c r="K239" s="8" t="str">
        <f>VLOOKUP(L239,Map!$C$18:$D$29,2,0)</f>
        <v>PNT</v>
      </c>
      <c r="L239" s="12" t="s">
        <v>46</v>
      </c>
      <c r="M239" s="52">
        <v>0</v>
      </c>
      <c r="N239" s="56">
        <f t="shared" si="101"/>
        <v>0</v>
      </c>
      <c r="O239" s="56">
        <f t="shared" si="102"/>
        <v>0</v>
      </c>
      <c r="P239" s="31">
        <f t="shared" si="103"/>
        <v>0</v>
      </c>
      <c r="Q239" s="31">
        <f t="shared" si="104"/>
        <v>0</v>
      </c>
      <c r="R239" s="60">
        <f t="shared" si="105"/>
        <v>0</v>
      </c>
      <c r="S239" s="45">
        <f>INDEX(FX!$D$3:$O$19,MATCH(B239,FX!$B$3:$B$32,0),MATCH(D239,FX!$D$2:$O$2,0))</f>
        <v>923</v>
      </c>
      <c r="T239" s="12" t="s">
        <v>143</v>
      </c>
      <c r="U239" s="12" t="s">
        <v>155</v>
      </c>
      <c r="V239" s="12" t="s">
        <v>83</v>
      </c>
      <c r="W239" s="8" t="str">
        <f>VLOOKUP(I239,Map!$F$18:$H$51,3,0)</f>
        <v>Variable</v>
      </c>
      <c r="X239" s="88" t="s">
        <v>149</v>
      </c>
      <c r="Y239" s="107" t="str">
        <f>VLOOKUP(L239,Map!$C$18:$D$29,2,0)</f>
        <v>PNT</v>
      </c>
      <c r="Z239" s="52"/>
      <c r="AA239" s="56">
        <f t="shared" si="106"/>
        <v>0</v>
      </c>
      <c r="AB239" s="56">
        <f t="shared" si="107"/>
        <v>0</v>
      </c>
      <c r="AC239" s="31">
        <f t="shared" si="108"/>
        <v>0</v>
      </c>
      <c r="AD239" s="31">
        <f t="shared" si="109"/>
        <v>0</v>
      </c>
      <c r="AE239" s="60">
        <f t="shared" si="110"/>
        <v>0</v>
      </c>
      <c r="AF239" s="8"/>
    </row>
    <row r="240" spans="2:32" s="1" customFormat="1" ht="13" hidden="1" x14ac:dyDescent="0.3">
      <c r="B240" s="12">
        <v>2026</v>
      </c>
      <c r="C240" s="12" t="s">
        <v>161</v>
      </c>
      <c r="D240" s="12" t="s">
        <v>162</v>
      </c>
      <c r="E240" s="12" t="s">
        <v>88</v>
      </c>
      <c r="F240" s="12" t="s">
        <v>80</v>
      </c>
      <c r="G240" s="83">
        <v>46218</v>
      </c>
      <c r="H240" s="93">
        <v>3869</v>
      </c>
      <c r="I240" s="12" t="s">
        <v>175</v>
      </c>
      <c r="J240" s="8" t="str">
        <f>IFERROR(VLOOKUP(I240,Map!$F$18:$G$56,2,0),"Add in Map")</f>
        <v>3P</v>
      </c>
      <c r="K240" s="8" t="str">
        <f>VLOOKUP(L240,Map!$C$18:$D$29,2,0)</f>
        <v>GTT</v>
      </c>
      <c r="L240" s="12" t="s">
        <v>48</v>
      </c>
      <c r="M240" s="52">
        <v>12328.749460209687</v>
      </c>
      <c r="N240" s="56">
        <f t="shared" si="101"/>
        <v>0</v>
      </c>
      <c r="O240" s="56">
        <f t="shared" si="102"/>
        <v>14671.211857649527</v>
      </c>
      <c r="P240" s="31">
        <f t="shared" si="103"/>
        <v>13.35725835342328</v>
      </c>
      <c r="Q240" s="31">
        <f t="shared" si="104"/>
        <v>0</v>
      </c>
      <c r="R240" s="60">
        <f t="shared" si="105"/>
        <v>15.895137440573702</v>
      </c>
      <c r="S240" s="45">
        <f>INDEX(FX!$D$3:$O$19,MATCH(B240,FX!$B$3:$B$32,0),MATCH(D240,FX!$D$2:$O$2,0))</f>
        <v>923</v>
      </c>
      <c r="T240" s="12" t="s">
        <v>143</v>
      </c>
      <c r="U240" s="12" t="s">
        <v>155</v>
      </c>
      <c r="V240" s="12" t="s">
        <v>83</v>
      </c>
      <c r="W240" s="8" t="str">
        <f>VLOOKUP(I240,Map!$F$18:$H$51,3,0)</f>
        <v>Variable</v>
      </c>
      <c r="X240" s="88" t="s">
        <v>149</v>
      </c>
      <c r="Y240" s="107" t="str">
        <f>VLOOKUP(L240,Map!$C$18:$D$29,2,0)</f>
        <v>GTT</v>
      </c>
      <c r="Z240" s="52"/>
      <c r="AA240" s="56">
        <f t="shared" si="106"/>
        <v>0</v>
      </c>
      <c r="AB240" s="56">
        <f t="shared" si="107"/>
        <v>0</v>
      </c>
      <c r="AC240" s="31">
        <f t="shared" si="108"/>
        <v>0</v>
      </c>
      <c r="AD240" s="31">
        <f t="shared" si="109"/>
        <v>0</v>
      </c>
      <c r="AE240" s="60">
        <f t="shared" si="110"/>
        <v>0</v>
      </c>
      <c r="AF240" s="8"/>
    </row>
    <row r="241" spans="2:32" s="1" customFormat="1" ht="13" hidden="1" x14ac:dyDescent="0.3">
      <c r="B241" s="12">
        <v>2026</v>
      </c>
      <c r="C241" s="12" t="s">
        <v>161</v>
      </c>
      <c r="D241" s="12" t="s">
        <v>162</v>
      </c>
      <c r="E241" s="12" t="s">
        <v>88</v>
      </c>
      <c r="F241" s="12" t="s">
        <v>80</v>
      </c>
      <c r="G241" s="83">
        <v>46218</v>
      </c>
      <c r="H241" s="93">
        <v>3869</v>
      </c>
      <c r="I241" s="12" t="s">
        <v>175</v>
      </c>
      <c r="J241" s="8" t="str">
        <f>IFERROR(VLOOKUP(I241,Map!$F$18:$G$56,2,0),"Add in Map")</f>
        <v>3P</v>
      </c>
      <c r="K241" s="8" t="str">
        <f>VLOOKUP(L241,Map!$C$18:$D$29,2,0)</f>
        <v>DGT</v>
      </c>
      <c r="L241" s="12" t="s">
        <v>50</v>
      </c>
      <c r="M241" s="52">
        <v>0</v>
      </c>
      <c r="N241" s="56">
        <f t="shared" si="101"/>
        <v>0</v>
      </c>
      <c r="O241" s="56">
        <f t="shared" si="102"/>
        <v>0</v>
      </c>
      <c r="P241" s="31">
        <f t="shared" si="103"/>
        <v>0</v>
      </c>
      <c r="Q241" s="31">
        <f t="shared" si="104"/>
        <v>0</v>
      </c>
      <c r="R241" s="60">
        <f t="shared" si="105"/>
        <v>0</v>
      </c>
      <c r="S241" s="45">
        <f>INDEX(FX!$D$3:$O$19,MATCH(B241,FX!$B$3:$B$32,0),MATCH(D241,FX!$D$2:$O$2,0))</f>
        <v>923</v>
      </c>
      <c r="T241" s="12" t="s">
        <v>143</v>
      </c>
      <c r="U241" s="12" t="s">
        <v>155</v>
      </c>
      <c r="V241" s="12" t="s">
        <v>83</v>
      </c>
      <c r="W241" s="8" t="str">
        <f>VLOOKUP(I241,Map!$F$18:$H$51,3,0)</f>
        <v>Variable</v>
      </c>
      <c r="X241" s="88" t="s">
        <v>149</v>
      </c>
      <c r="Y241" s="107" t="str">
        <f>VLOOKUP(L241,Map!$C$18:$D$29,2,0)</f>
        <v>DGT</v>
      </c>
      <c r="Z241" s="52"/>
      <c r="AA241" s="56">
        <f t="shared" si="106"/>
        <v>0</v>
      </c>
      <c r="AB241" s="56">
        <f t="shared" si="107"/>
        <v>0</v>
      </c>
      <c r="AC241" s="31">
        <f t="shared" si="108"/>
        <v>0</v>
      </c>
      <c r="AD241" s="31">
        <f t="shared" si="109"/>
        <v>0</v>
      </c>
      <c r="AE241" s="60">
        <f t="shared" si="110"/>
        <v>0</v>
      </c>
      <c r="AF241" s="8"/>
    </row>
    <row r="242" spans="2:32" s="1" customFormat="1" ht="13" hidden="1" x14ac:dyDescent="0.3">
      <c r="B242" s="12">
        <v>2026</v>
      </c>
      <c r="C242" s="12" t="s">
        <v>161</v>
      </c>
      <c r="D242" s="12" t="s">
        <v>162</v>
      </c>
      <c r="E242" s="12" t="s">
        <v>88</v>
      </c>
      <c r="F242" s="12" t="s">
        <v>80</v>
      </c>
      <c r="G242" s="83">
        <v>46218</v>
      </c>
      <c r="H242" s="93">
        <v>3869</v>
      </c>
      <c r="I242" s="12" t="s">
        <v>175</v>
      </c>
      <c r="J242" s="8" t="str">
        <f>IFERROR(VLOOKUP(I242,Map!$F$18:$G$56,2,0),"Add in Map")</f>
        <v>3P</v>
      </c>
      <c r="K242" s="8" t="str">
        <f>VLOOKUP(L242,Map!$C$18:$D$29,2,0)</f>
        <v>DLT</v>
      </c>
      <c r="L242" s="12" t="s">
        <v>52</v>
      </c>
      <c r="M242" s="52">
        <v>3205.5329633325337</v>
      </c>
      <c r="N242" s="56">
        <f t="shared" si="101"/>
        <v>0</v>
      </c>
      <c r="O242" s="56">
        <f t="shared" si="102"/>
        <v>3814.584226365715</v>
      </c>
      <c r="P242" s="31">
        <f t="shared" si="103"/>
        <v>3.4729501227871435</v>
      </c>
      <c r="Q242" s="31">
        <f t="shared" si="104"/>
        <v>0</v>
      </c>
      <c r="R242" s="60">
        <f t="shared" si="105"/>
        <v>4.1328106461167007</v>
      </c>
      <c r="S242" s="45">
        <f>INDEX(FX!$D$3:$O$19,MATCH(B242,FX!$B$3:$B$32,0),MATCH(D242,FX!$D$2:$O$2,0))</f>
        <v>923</v>
      </c>
      <c r="T242" s="12" t="s">
        <v>143</v>
      </c>
      <c r="U242" s="12" t="s">
        <v>155</v>
      </c>
      <c r="V242" s="12" t="s">
        <v>83</v>
      </c>
      <c r="W242" s="8" t="str">
        <f>VLOOKUP(I242,Map!$F$18:$H$51,3,0)</f>
        <v>Variable</v>
      </c>
      <c r="X242" s="88" t="s">
        <v>149</v>
      </c>
      <c r="Y242" s="107" t="str">
        <f>VLOOKUP(L242,Map!$C$18:$D$29,2,0)</f>
        <v>DLT</v>
      </c>
      <c r="Z242" s="52"/>
      <c r="AA242" s="56">
        <f t="shared" si="106"/>
        <v>0</v>
      </c>
      <c r="AB242" s="56">
        <f t="shared" si="107"/>
        <v>0</v>
      </c>
      <c r="AC242" s="31">
        <f t="shared" si="108"/>
        <v>0</v>
      </c>
      <c r="AD242" s="31">
        <f t="shared" si="109"/>
        <v>0</v>
      </c>
      <c r="AE242" s="60">
        <f t="shared" si="110"/>
        <v>0</v>
      </c>
      <c r="AF242" s="8"/>
    </row>
    <row r="243" spans="2:32" s="1" customFormat="1" ht="13" hidden="1" x14ac:dyDescent="0.3">
      <c r="B243" s="12">
        <v>2026</v>
      </c>
      <c r="C243" s="12" t="s">
        <v>161</v>
      </c>
      <c r="D243" s="12" t="s">
        <v>162</v>
      </c>
      <c r="E243" s="12" t="s">
        <v>88</v>
      </c>
      <c r="F243" s="12" t="s">
        <v>80</v>
      </c>
      <c r="G243" s="83">
        <v>46218</v>
      </c>
      <c r="H243" s="93">
        <v>3869</v>
      </c>
      <c r="I243" s="12" t="s">
        <v>175</v>
      </c>
      <c r="J243" s="8" t="str">
        <f>IFERROR(VLOOKUP(I243,Map!$F$18:$G$56,2,0),"Add in Map")</f>
        <v>3P</v>
      </c>
      <c r="K243" s="8" t="str">
        <f>VLOOKUP(L243,Map!$C$18:$D$29,2,0)</f>
        <v>DMT</v>
      </c>
      <c r="L243" s="12" t="s">
        <v>54</v>
      </c>
      <c r="M243" s="52">
        <v>0</v>
      </c>
      <c r="N243" s="56">
        <f t="shared" si="101"/>
        <v>0</v>
      </c>
      <c r="O243" s="56">
        <f t="shared" si="102"/>
        <v>0</v>
      </c>
      <c r="P243" s="48">
        <f t="shared" si="103"/>
        <v>0</v>
      </c>
      <c r="Q243" s="31">
        <f t="shared" si="104"/>
        <v>0</v>
      </c>
      <c r="R243" s="60">
        <f t="shared" si="105"/>
        <v>0</v>
      </c>
      <c r="S243" s="45">
        <f>INDEX(FX!$D$3:$O$19,MATCH(B243,FX!$B$3:$B$32,0),MATCH(D243,FX!$D$2:$O$2,0))</f>
        <v>923</v>
      </c>
      <c r="T243" s="12" t="s">
        <v>143</v>
      </c>
      <c r="U243" s="12" t="s">
        <v>155</v>
      </c>
      <c r="V243" s="12" t="s">
        <v>83</v>
      </c>
      <c r="W243" s="8" t="str">
        <f>VLOOKUP(I243,Map!$F$18:$H$51,3,0)</f>
        <v>Variable</v>
      </c>
      <c r="X243" s="88" t="s">
        <v>149</v>
      </c>
      <c r="Y243" s="107" t="str">
        <f>VLOOKUP(L243,Map!$C$18:$D$29,2,0)</f>
        <v>DMT</v>
      </c>
      <c r="Z243" s="52"/>
      <c r="AA243" s="56">
        <f t="shared" si="106"/>
        <v>0</v>
      </c>
      <c r="AB243" s="56">
        <f t="shared" si="107"/>
        <v>0</v>
      </c>
      <c r="AC243" s="48">
        <f t="shared" si="108"/>
        <v>0</v>
      </c>
      <c r="AD243" s="31">
        <f t="shared" si="109"/>
        <v>0</v>
      </c>
      <c r="AE243" s="60">
        <f t="shared" si="110"/>
        <v>0</v>
      </c>
      <c r="AF243" s="8"/>
    </row>
    <row r="244" spans="2:32" s="37" customFormat="1" hidden="1" x14ac:dyDescent="0.35">
      <c r="B244" s="13">
        <v>2026</v>
      </c>
      <c r="C244" s="13" t="s">
        <v>161</v>
      </c>
      <c r="D244" s="13" t="s">
        <v>162</v>
      </c>
      <c r="E244" s="13" t="s">
        <v>88</v>
      </c>
      <c r="F244" s="13" t="s">
        <v>80</v>
      </c>
      <c r="G244" s="85">
        <v>46218</v>
      </c>
      <c r="H244" s="94">
        <v>3869</v>
      </c>
      <c r="I244" s="13" t="s">
        <v>175</v>
      </c>
      <c r="J244" s="29" t="str">
        <f>IFERROR(VLOOKUP(I244,Map!$F$18:$G$56,2,0),"Add in Map")</f>
        <v>3P</v>
      </c>
      <c r="K244" s="29" t="str">
        <f>VLOOKUP(L244,Map!$C$18:$D$29,2,0)</f>
        <v>TOTAL</v>
      </c>
      <c r="L244" s="13" t="s">
        <v>56</v>
      </c>
      <c r="M244" s="128">
        <f>SUM(M233:M243)</f>
        <v>2960847.9869999997</v>
      </c>
      <c r="N244" s="57">
        <f t="shared" si="101"/>
        <v>562561.11752999993</v>
      </c>
      <c r="O244" s="57">
        <f t="shared" si="102"/>
        <v>3523409.1045299997</v>
      </c>
      <c r="P244" s="11">
        <f t="shared" si="103"/>
        <v>3207.8526403033584</v>
      </c>
      <c r="Q244" s="11">
        <f t="shared" si="104"/>
        <v>609.49200165763807</v>
      </c>
      <c r="R244" s="61">
        <f t="shared" si="105"/>
        <v>3817.3446419609963</v>
      </c>
      <c r="S244" s="46">
        <f>INDEX(FX!$D$3:$O$19,MATCH(B244,FX!$B$3:$B$32,0),MATCH(D244,FX!$D$2:$O$2,0))</f>
        <v>923</v>
      </c>
      <c r="T244" s="13" t="s">
        <v>143</v>
      </c>
      <c r="U244" s="13" t="s">
        <v>155</v>
      </c>
      <c r="V244" s="13" t="s">
        <v>83</v>
      </c>
      <c r="W244" s="29" t="str">
        <f>VLOOKUP(I244,Map!$F$18:$H$51,3,0)</f>
        <v>Variable</v>
      </c>
      <c r="X244" s="90" t="s">
        <v>149</v>
      </c>
      <c r="Y244" s="109" t="str">
        <f>VLOOKUP(L244,Map!$C$18:$D$29,2,0)</f>
        <v>TOTAL</v>
      </c>
      <c r="Z244" s="53"/>
      <c r="AA244" s="57">
        <f t="shared" si="106"/>
        <v>0</v>
      </c>
      <c r="AB244" s="57">
        <f t="shared" si="107"/>
        <v>0</v>
      </c>
      <c r="AC244" s="11">
        <f t="shared" si="108"/>
        <v>0</v>
      </c>
      <c r="AD244" s="11">
        <f t="shared" si="109"/>
        <v>0</v>
      </c>
      <c r="AE244" s="61">
        <f t="shared" si="110"/>
        <v>0</v>
      </c>
      <c r="AF244" s="87"/>
    </row>
    <row r="245" spans="2:32" s="5" customFormat="1" ht="13" hidden="1" x14ac:dyDescent="0.3">
      <c r="B245" s="114">
        <v>2026</v>
      </c>
      <c r="C245" s="114" t="s">
        <v>160</v>
      </c>
      <c r="D245" s="114" t="s">
        <v>162</v>
      </c>
      <c r="E245" s="114" t="s">
        <v>88</v>
      </c>
      <c r="F245" s="114" t="s">
        <v>80</v>
      </c>
      <c r="G245" s="115">
        <v>46218</v>
      </c>
      <c r="H245" s="116">
        <v>3866</v>
      </c>
      <c r="I245" s="114" t="s">
        <v>175</v>
      </c>
      <c r="J245" s="117" t="str">
        <f>IFERROR(VLOOKUP(I245,Map!$F$18:$G$56,2,0),"Add in Map")</f>
        <v>3P</v>
      </c>
      <c r="K245" s="117" t="str">
        <f>VLOOKUP(L245,Map!$C$18:$D$29,2,0)</f>
        <v>CNT</v>
      </c>
      <c r="L245" s="114" t="s">
        <v>31</v>
      </c>
      <c r="M245" s="118">
        <v>747808.45054630388</v>
      </c>
      <c r="N245" s="119">
        <f t="shared" si="101"/>
        <v>0</v>
      </c>
      <c r="O245" s="119">
        <f t="shared" si="102"/>
        <v>889892.05615010159</v>
      </c>
      <c r="P245" s="120">
        <f t="shared" si="103"/>
        <v>810.19333753662397</v>
      </c>
      <c r="Q245" s="120">
        <f t="shared" si="104"/>
        <v>0</v>
      </c>
      <c r="R245" s="121">
        <f t="shared" si="105"/>
        <v>964.13007166858245</v>
      </c>
      <c r="S245" s="122">
        <f>INDEX(FX!$D$3:$O$19,MATCH(B245,FX!$B$3:$B$32,0),MATCH(D245,FX!$D$2:$O$2,0))</f>
        <v>923</v>
      </c>
      <c r="T245" s="114" t="s">
        <v>142</v>
      </c>
      <c r="U245" s="114" t="s">
        <v>32</v>
      </c>
      <c r="V245" s="114" t="s">
        <v>83</v>
      </c>
      <c r="W245" s="117" t="str">
        <f>VLOOKUP(I245,Map!$F$18:$H$51,3,0)</f>
        <v>Variable</v>
      </c>
      <c r="X245" s="123" t="s">
        <v>149</v>
      </c>
      <c r="Y245" s="124" t="str">
        <f>VLOOKUP(L245,Map!$C$18:$D$29,2,0)</f>
        <v>CNT</v>
      </c>
      <c r="Z245" s="118"/>
      <c r="AA245" s="119">
        <f t="shared" si="106"/>
        <v>0</v>
      </c>
      <c r="AB245" s="119">
        <f t="shared" si="107"/>
        <v>0</v>
      </c>
      <c r="AC245" s="120">
        <f t="shared" si="108"/>
        <v>0</v>
      </c>
      <c r="AD245" s="120">
        <f t="shared" si="109"/>
        <v>0</v>
      </c>
      <c r="AE245" s="121">
        <f t="shared" si="110"/>
        <v>0</v>
      </c>
      <c r="AF245" s="117"/>
    </row>
    <row r="246" spans="2:32" s="1" customFormat="1" ht="13" hidden="1" x14ac:dyDescent="0.3">
      <c r="B246" s="12">
        <v>2026</v>
      </c>
      <c r="C246" s="12" t="s">
        <v>160</v>
      </c>
      <c r="D246" s="12" t="s">
        <v>162</v>
      </c>
      <c r="E246" s="12" t="s">
        <v>88</v>
      </c>
      <c r="F246" s="12" t="s">
        <v>80</v>
      </c>
      <c r="G246" s="83">
        <v>46218</v>
      </c>
      <c r="H246" s="93">
        <v>3866</v>
      </c>
      <c r="I246" s="12" t="s">
        <v>175</v>
      </c>
      <c r="J246" s="8" t="str">
        <f>IFERROR(VLOOKUP(I246,Map!$F$18:$G$56,2,0),"Add in Map")</f>
        <v>3P</v>
      </c>
      <c r="K246" s="8" t="str">
        <f>VLOOKUP(L246,Map!$C$18:$D$29,2,0)</f>
        <v>CVT</v>
      </c>
      <c r="L246" s="12" t="s">
        <v>36</v>
      </c>
      <c r="M246" s="52">
        <v>0</v>
      </c>
      <c r="N246" s="56">
        <f t="shared" si="101"/>
        <v>0</v>
      </c>
      <c r="O246" s="56">
        <f t="shared" si="102"/>
        <v>0</v>
      </c>
      <c r="P246" s="31">
        <f t="shared" si="103"/>
        <v>0</v>
      </c>
      <c r="Q246" s="31">
        <f t="shared" si="104"/>
        <v>0</v>
      </c>
      <c r="R246" s="60">
        <f t="shared" si="105"/>
        <v>0</v>
      </c>
      <c r="S246" s="45">
        <f>INDEX(FX!$D$3:$O$19,MATCH(B246,FX!$B$3:$B$32,0),MATCH(D246,FX!$D$2:$O$2,0))</f>
        <v>923</v>
      </c>
      <c r="T246" s="12" t="s">
        <v>142</v>
      </c>
      <c r="U246" s="12" t="s">
        <v>32</v>
      </c>
      <c r="V246" s="12" t="s">
        <v>83</v>
      </c>
      <c r="W246" s="8" t="str">
        <f>VLOOKUP(I246,Map!$F$18:$H$51,3,0)</f>
        <v>Variable</v>
      </c>
      <c r="X246" s="88" t="s">
        <v>149</v>
      </c>
      <c r="Y246" s="107" t="str">
        <f>VLOOKUP(L246,Map!$C$18:$D$29,2,0)</f>
        <v>CVT</v>
      </c>
      <c r="Z246" s="52"/>
      <c r="AA246" s="56">
        <f t="shared" si="106"/>
        <v>0</v>
      </c>
      <c r="AB246" s="56">
        <f t="shared" si="107"/>
        <v>0</v>
      </c>
      <c r="AC246" s="31">
        <f t="shared" si="108"/>
        <v>0</v>
      </c>
      <c r="AD246" s="31">
        <f t="shared" si="109"/>
        <v>0</v>
      </c>
      <c r="AE246" s="60">
        <f t="shared" si="110"/>
        <v>0</v>
      </c>
      <c r="AF246" s="8"/>
    </row>
    <row r="247" spans="2:32" s="1" customFormat="1" ht="13" hidden="1" x14ac:dyDescent="0.3">
      <c r="B247" s="12">
        <v>2026</v>
      </c>
      <c r="C247" s="12" t="s">
        <v>160</v>
      </c>
      <c r="D247" s="12" t="s">
        <v>162</v>
      </c>
      <c r="E247" s="12" t="s">
        <v>88</v>
      </c>
      <c r="F247" s="12" t="s">
        <v>80</v>
      </c>
      <c r="G247" s="83">
        <v>46218</v>
      </c>
      <c r="H247" s="93">
        <v>3866</v>
      </c>
      <c r="I247" s="12" t="s">
        <v>175</v>
      </c>
      <c r="J247" s="8" t="str">
        <f>IFERROR(VLOOKUP(I247,Map!$F$18:$G$56,2,0),"Add in Map")</f>
        <v>3P</v>
      </c>
      <c r="K247" s="8" t="str">
        <f>VLOOKUP(L247,Map!$C$18:$D$29,2,0)</f>
        <v>CDT</v>
      </c>
      <c r="L247" s="12" t="s">
        <v>38</v>
      </c>
      <c r="M247" s="52">
        <v>0</v>
      </c>
      <c r="N247" s="56">
        <f t="shared" si="101"/>
        <v>0</v>
      </c>
      <c r="O247" s="56">
        <f t="shared" si="102"/>
        <v>0</v>
      </c>
      <c r="P247" s="31">
        <f t="shared" si="103"/>
        <v>0</v>
      </c>
      <c r="Q247" s="31">
        <f t="shared" si="104"/>
        <v>0</v>
      </c>
      <c r="R247" s="60">
        <f t="shared" si="105"/>
        <v>0</v>
      </c>
      <c r="S247" s="45">
        <f>INDEX(FX!$D$3:$O$19,MATCH(B247,FX!$B$3:$B$32,0),MATCH(D247,FX!$D$2:$O$2,0))</f>
        <v>923</v>
      </c>
      <c r="T247" s="12" t="s">
        <v>142</v>
      </c>
      <c r="U247" s="12" t="s">
        <v>32</v>
      </c>
      <c r="V247" s="12" t="s">
        <v>83</v>
      </c>
      <c r="W247" s="8" t="str">
        <f>VLOOKUP(I247,Map!$F$18:$H$51,3,0)</f>
        <v>Variable</v>
      </c>
      <c r="X247" s="88" t="s">
        <v>149</v>
      </c>
      <c r="Y247" s="107" t="str">
        <f>VLOOKUP(L247,Map!$C$18:$D$29,2,0)</f>
        <v>CDT</v>
      </c>
      <c r="Z247" s="52"/>
      <c r="AA247" s="56">
        <f t="shared" si="106"/>
        <v>0</v>
      </c>
      <c r="AB247" s="56">
        <f t="shared" si="107"/>
        <v>0</v>
      </c>
      <c r="AC247" s="31">
        <f t="shared" si="108"/>
        <v>0</v>
      </c>
      <c r="AD247" s="31">
        <f t="shared" si="109"/>
        <v>0</v>
      </c>
      <c r="AE247" s="60">
        <f t="shared" si="110"/>
        <v>0</v>
      </c>
      <c r="AF247" s="8"/>
    </row>
    <row r="248" spans="2:32" s="1" customFormat="1" ht="13" hidden="1" x14ac:dyDescent="0.3">
      <c r="B248" s="12">
        <v>2026</v>
      </c>
      <c r="C248" s="12" t="s">
        <v>160</v>
      </c>
      <c r="D248" s="12" t="s">
        <v>162</v>
      </c>
      <c r="E248" s="12" t="s">
        <v>88</v>
      </c>
      <c r="F248" s="12" t="s">
        <v>80</v>
      </c>
      <c r="G248" s="83">
        <v>46218</v>
      </c>
      <c r="H248" s="93">
        <v>3866</v>
      </c>
      <c r="I248" s="12" t="s">
        <v>175</v>
      </c>
      <c r="J248" s="8" t="str">
        <f>IFERROR(VLOOKUP(I248,Map!$F$18:$G$56,2,0),"Add in Map")</f>
        <v>3P</v>
      </c>
      <c r="K248" s="8" t="str">
        <f>VLOOKUP(L248,Map!$C$18:$D$29,2,0)</f>
        <v>DFT</v>
      </c>
      <c r="L248" s="12" t="s">
        <v>40</v>
      </c>
      <c r="M248" s="52">
        <v>534684.96422193025</v>
      </c>
      <c r="N248" s="56">
        <f t="shared" si="101"/>
        <v>0</v>
      </c>
      <c r="O248" s="56">
        <f t="shared" si="102"/>
        <v>636275.10742409702</v>
      </c>
      <c r="P248" s="31">
        <f t="shared" si="103"/>
        <v>579.29031876698832</v>
      </c>
      <c r="Q248" s="31">
        <f t="shared" si="104"/>
        <v>0</v>
      </c>
      <c r="R248" s="60">
        <f t="shared" si="105"/>
        <v>689.35547933271607</v>
      </c>
      <c r="S248" s="45">
        <f>INDEX(FX!$D$3:$O$19,MATCH(B248,FX!$B$3:$B$32,0),MATCH(D248,FX!$D$2:$O$2,0))</f>
        <v>923</v>
      </c>
      <c r="T248" s="12" t="s">
        <v>142</v>
      </c>
      <c r="U248" s="12" t="s">
        <v>32</v>
      </c>
      <c r="V248" s="12" t="s">
        <v>83</v>
      </c>
      <c r="W248" s="8" t="str">
        <f>VLOOKUP(I248,Map!$F$18:$H$51,3,0)</f>
        <v>Variable</v>
      </c>
      <c r="X248" s="88" t="s">
        <v>149</v>
      </c>
      <c r="Y248" s="107" t="str">
        <f>VLOOKUP(L248,Map!$C$18:$D$29,2,0)</f>
        <v>DFT</v>
      </c>
      <c r="Z248" s="52"/>
      <c r="AA248" s="56">
        <f t="shared" si="106"/>
        <v>0</v>
      </c>
      <c r="AB248" s="56">
        <f t="shared" si="107"/>
        <v>0</v>
      </c>
      <c r="AC248" s="31">
        <f t="shared" si="108"/>
        <v>0</v>
      </c>
      <c r="AD248" s="31">
        <f t="shared" si="109"/>
        <v>0</v>
      </c>
      <c r="AE248" s="60">
        <f t="shared" si="110"/>
        <v>0</v>
      </c>
      <c r="AF248" s="8"/>
    </row>
    <row r="249" spans="2:32" s="1" customFormat="1" ht="13" hidden="1" x14ac:dyDescent="0.3">
      <c r="B249" s="12">
        <v>2026</v>
      </c>
      <c r="C249" s="12" t="s">
        <v>160</v>
      </c>
      <c r="D249" s="12" t="s">
        <v>162</v>
      </c>
      <c r="E249" s="12" t="s">
        <v>88</v>
      </c>
      <c r="F249" s="12" t="s">
        <v>80</v>
      </c>
      <c r="G249" s="83">
        <v>46218</v>
      </c>
      <c r="H249" s="93">
        <v>3866</v>
      </c>
      <c r="I249" s="12" t="s">
        <v>175</v>
      </c>
      <c r="J249" s="8" t="str">
        <f>IFERROR(VLOOKUP(I249,Map!$F$18:$G$56,2,0),"Add in Map")</f>
        <v>3P</v>
      </c>
      <c r="K249" s="8" t="str">
        <f>VLOOKUP(L249,Map!$C$18:$D$29,2,0)</f>
        <v>DVT</v>
      </c>
      <c r="L249" s="12" t="s">
        <v>42</v>
      </c>
      <c r="M249" s="52">
        <v>0</v>
      </c>
      <c r="N249" s="56">
        <f t="shared" si="101"/>
        <v>0</v>
      </c>
      <c r="O249" s="56">
        <f t="shared" si="102"/>
        <v>0</v>
      </c>
      <c r="P249" s="31">
        <f t="shared" si="103"/>
        <v>0</v>
      </c>
      <c r="Q249" s="31">
        <f t="shared" si="104"/>
        <v>0</v>
      </c>
      <c r="R249" s="60">
        <f t="shared" si="105"/>
        <v>0</v>
      </c>
      <c r="S249" s="45">
        <f>INDEX(FX!$D$3:$O$19,MATCH(B249,FX!$B$3:$B$32,0),MATCH(D249,FX!$D$2:$O$2,0))</f>
        <v>923</v>
      </c>
      <c r="T249" s="12" t="s">
        <v>142</v>
      </c>
      <c r="U249" s="12" t="s">
        <v>32</v>
      </c>
      <c r="V249" s="12" t="s">
        <v>83</v>
      </c>
      <c r="W249" s="8" t="str">
        <f>VLOOKUP(I249,Map!$F$18:$H$51,3,0)</f>
        <v>Variable</v>
      </c>
      <c r="X249" s="88" t="s">
        <v>149</v>
      </c>
      <c r="Y249" s="107" t="str">
        <f>VLOOKUP(L249,Map!$C$18:$D$29,2,0)</f>
        <v>DVT</v>
      </c>
      <c r="Z249" s="52"/>
      <c r="AA249" s="56">
        <f t="shared" si="106"/>
        <v>0</v>
      </c>
      <c r="AB249" s="56">
        <f t="shared" si="107"/>
        <v>0</v>
      </c>
      <c r="AC249" s="31">
        <f t="shared" si="108"/>
        <v>0</v>
      </c>
      <c r="AD249" s="31">
        <f t="shared" si="109"/>
        <v>0</v>
      </c>
      <c r="AE249" s="60">
        <f t="shared" si="110"/>
        <v>0</v>
      </c>
      <c r="AF249" s="8"/>
    </row>
    <row r="250" spans="2:32" s="1" customFormat="1" ht="13" hidden="1" x14ac:dyDescent="0.3">
      <c r="B250" s="12">
        <v>2026</v>
      </c>
      <c r="C250" s="12" t="s">
        <v>160</v>
      </c>
      <c r="D250" s="12" t="s">
        <v>162</v>
      </c>
      <c r="E250" s="12" t="s">
        <v>88</v>
      </c>
      <c r="F250" s="12" t="s">
        <v>80</v>
      </c>
      <c r="G250" s="83">
        <v>46218</v>
      </c>
      <c r="H250" s="93">
        <v>3866</v>
      </c>
      <c r="I250" s="12" t="s">
        <v>175</v>
      </c>
      <c r="J250" s="8" t="str">
        <f>IFERROR(VLOOKUP(I250,Map!$F$18:$G$56,2,0),"Add in Map")</f>
        <v>3P</v>
      </c>
      <c r="K250" s="8" t="str">
        <f>VLOOKUP(L250,Map!$C$18:$D$29,2,0)</f>
        <v>GLT</v>
      </c>
      <c r="L250" s="12" t="s">
        <v>44</v>
      </c>
      <c r="M250" s="52">
        <v>460972.51150068926</v>
      </c>
      <c r="N250" s="56">
        <f t="shared" si="101"/>
        <v>0</v>
      </c>
      <c r="O250" s="56">
        <f t="shared" si="102"/>
        <v>548557.28868582018</v>
      </c>
      <c r="P250" s="31">
        <f t="shared" si="103"/>
        <v>499.4285065012885</v>
      </c>
      <c r="Q250" s="31">
        <f t="shared" si="104"/>
        <v>0</v>
      </c>
      <c r="R250" s="60">
        <f t="shared" si="105"/>
        <v>594.31992273653327</v>
      </c>
      <c r="S250" s="45">
        <f>INDEX(FX!$D$3:$O$19,MATCH(B250,FX!$B$3:$B$32,0),MATCH(D250,FX!$D$2:$O$2,0))</f>
        <v>923</v>
      </c>
      <c r="T250" s="12" t="s">
        <v>142</v>
      </c>
      <c r="U250" s="12" t="s">
        <v>32</v>
      </c>
      <c r="V250" s="12" t="s">
        <v>83</v>
      </c>
      <c r="W250" s="8" t="str">
        <f>VLOOKUP(I250,Map!$F$18:$H$51,3,0)</f>
        <v>Variable</v>
      </c>
      <c r="X250" s="88" t="s">
        <v>149</v>
      </c>
      <c r="Y250" s="107" t="str">
        <f>VLOOKUP(L250,Map!$C$18:$D$29,2,0)</f>
        <v>GLT</v>
      </c>
      <c r="Z250" s="52"/>
      <c r="AA250" s="56">
        <f t="shared" si="106"/>
        <v>0</v>
      </c>
      <c r="AB250" s="56">
        <f t="shared" si="107"/>
        <v>0</v>
      </c>
      <c r="AC250" s="31">
        <f t="shared" si="108"/>
        <v>0</v>
      </c>
      <c r="AD250" s="31">
        <f t="shared" si="109"/>
        <v>0</v>
      </c>
      <c r="AE250" s="60">
        <f t="shared" si="110"/>
        <v>0</v>
      </c>
      <c r="AF250" s="8"/>
    </row>
    <row r="251" spans="2:32" s="1" customFormat="1" ht="13" hidden="1" x14ac:dyDescent="0.3">
      <c r="B251" s="12">
        <v>2026</v>
      </c>
      <c r="C251" s="12" t="s">
        <v>160</v>
      </c>
      <c r="D251" s="12" t="s">
        <v>162</v>
      </c>
      <c r="E251" s="12" t="s">
        <v>88</v>
      </c>
      <c r="F251" s="12" t="s">
        <v>80</v>
      </c>
      <c r="G251" s="83">
        <v>46218</v>
      </c>
      <c r="H251" s="93">
        <v>3866</v>
      </c>
      <c r="I251" s="12" t="s">
        <v>175</v>
      </c>
      <c r="J251" s="8" t="str">
        <f>IFERROR(VLOOKUP(I251,Map!$F$18:$G$56,2,0),"Add in Map")</f>
        <v>3P</v>
      </c>
      <c r="K251" s="8" t="str">
        <f>VLOOKUP(L251,Map!$C$18:$D$29,2,0)</f>
        <v>PNT</v>
      </c>
      <c r="L251" s="12" t="s">
        <v>46</v>
      </c>
      <c r="M251" s="52">
        <v>0</v>
      </c>
      <c r="N251" s="56">
        <f t="shared" si="101"/>
        <v>0</v>
      </c>
      <c r="O251" s="56">
        <f t="shared" si="102"/>
        <v>0</v>
      </c>
      <c r="P251" s="31">
        <f t="shared" si="103"/>
        <v>0</v>
      </c>
      <c r="Q251" s="31">
        <f t="shared" si="104"/>
        <v>0</v>
      </c>
      <c r="R251" s="60">
        <f t="shared" si="105"/>
        <v>0</v>
      </c>
      <c r="S251" s="45">
        <f>INDEX(FX!$D$3:$O$19,MATCH(B251,FX!$B$3:$B$32,0),MATCH(D251,FX!$D$2:$O$2,0))</f>
        <v>923</v>
      </c>
      <c r="T251" s="12" t="s">
        <v>142</v>
      </c>
      <c r="U251" s="12" t="s">
        <v>32</v>
      </c>
      <c r="V251" s="12" t="s">
        <v>83</v>
      </c>
      <c r="W251" s="8" t="str">
        <f>VLOOKUP(I251,Map!$F$18:$H$51,3,0)</f>
        <v>Variable</v>
      </c>
      <c r="X251" s="88" t="s">
        <v>149</v>
      </c>
      <c r="Y251" s="107" t="str">
        <f>VLOOKUP(L251,Map!$C$18:$D$29,2,0)</f>
        <v>PNT</v>
      </c>
      <c r="Z251" s="52"/>
      <c r="AA251" s="56">
        <f t="shared" si="106"/>
        <v>0</v>
      </c>
      <c r="AB251" s="56">
        <f t="shared" si="107"/>
        <v>0</v>
      </c>
      <c r="AC251" s="31">
        <f t="shared" si="108"/>
        <v>0</v>
      </c>
      <c r="AD251" s="31">
        <f t="shared" si="109"/>
        <v>0</v>
      </c>
      <c r="AE251" s="60">
        <f t="shared" si="110"/>
        <v>0</v>
      </c>
      <c r="AF251" s="8"/>
    </row>
    <row r="252" spans="2:32" s="1" customFormat="1" ht="13" hidden="1" x14ac:dyDescent="0.3">
      <c r="B252" s="12">
        <v>2026</v>
      </c>
      <c r="C252" s="12" t="s">
        <v>160</v>
      </c>
      <c r="D252" s="12" t="s">
        <v>162</v>
      </c>
      <c r="E252" s="12" t="s">
        <v>88</v>
      </c>
      <c r="F252" s="12" t="s">
        <v>80</v>
      </c>
      <c r="G252" s="83">
        <v>46218</v>
      </c>
      <c r="H252" s="93">
        <v>3866</v>
      </c>
      <c r="I252" s="12" t="s">
        <v>175</v>
      </c>
      <c r="J252" s="8" t="str">
        <f>IFERROR(VLOOKUP(I252,Map!$F$18:$G$56,2,0),"Add in Map")</f>
        <v>3P</v>
      </c>
      <c r="K252" s="8" t="str">
        <f>VLOOKUP(L252,Map!$C$18:$D$29,2,0)</f>
        <v>GTT</v>
      </c>
      <c r="L252" s="12" t="s">
        <v>48</v>
      </c>
      <c r="M252" s="52">
        <v>7297.9508308344912</v>
      </c>
      <c r="N252" s="56">
        <f t="shared" si="101"/>
        <v>0</v>
      </c>
      <c r="O252" s="56">
        <f t="shared" si="102"/>
        <v>8684.5614886930434</v>
      </c>
      <c r="P252" s="31">
        <f t="shared" si="103"/>
        <v>7.9067722977621786</v>
      </c>
      <c r="Q252" s="31">
        <f t="shared" si="104"/>
        <v>0</v>
      </c>
      <c r="R252" s="60">
        <f t="shared" si="105"/>
        <v>9.4090590343369929</v>
      </c>
      <c r="S252" s="45">
        <f>INDEX(FX!$D$3:$O$19,MATCH(B252,FX!$B$3:$B$32,0),MATCH(D252,FX!$D$2:$O$2,0))</f>
        <v>923</v>
      </c>
      <c r="T252" s="12" t="s">
        <v>142</v>
      </c>
      <c r="U252" s="12" t="s">
        <v>32</v>
      </c>
      <c r="V252" s="12" t="s">
        <v>83</v>
      </c>
      <c r="W252" s="8" t="str">
        <f>VLOOKUP(I252,Map!$F$18:$H$51,3,0)</f>
        <v>Variable</v>
      </c>
      <c r="X252" s="88" t="s">
        <v>149</v>
      </c>
      <c r="Y252" s="107" t="str">
        <f>VLOOKUP(L252,Map!$C$18:$D$29,2,0)</f>
        <v>GTT</v>
      </c>
      <c r="Z252" s="52"/>
      <c r="AA252" s="56">
        <f t="shared" si="106"/>
        <v>0</v>
      </c>
      <c r="AB252" s="56">
        <f t="shared" si="107"/>
        <v>0</v>
      </c>
      <c r="AC252" s="31">
        <f t="shared" si="108"/>
        <v>0</v>
      </c>
      <c r="AD252" s="31">
        <f t="shared" si="109"/>
        <v>0</v>
      </c>
      <c r="AE252" s="60">
        <f t="shared" si="110"/>
        <v>0</v>
      </c>
      <c r="AF252" s="8"/>
    </row>
    <row r="253" spans="2:32" s="1" customFormat="1" ht="13" hidden="1" x14ac:dyDescent="0.3">
      <c r="B253" s="12">
        <v>2026</v>
      </c>
      <c r="C253" s="12" t="s">
        <v>160</v>
      </c>
      <c r="D253" s="12" t="s">
        <v>162</v>
      </c>
      <c r="E253" s="12" t="s">
        <v>88</v>
      </c>
      <c r="F253" s="12" t="s">
        <v>80</v>
      </c>
      <c r="G253" s="83">
        <v>46218</v>
      </c>
      <c r="H253" s="93">
        <v>3866</v>
      </c>
      <c r="I253" s="12" t="s">
        <v>175</v>
      </c>
      <c r="J253" s="8" t="str">
        <f>IFERROR(VLOOKUP(I253,Map!$F$18:$G$56,2,0),"Add in Map")</f>
        <v>3P</v>
      </c>
      <c r="K253" s="8" t="str">
        <f>VLOOKUP(L253,Map!$C$18:$D$29,2,0)</f>
        <v>DGT</v>
      </c>
      <c r="L253" s="12" t="s">
        <v>50</v>
      </c>
      <c r="M253" s="52">
        <v>0</v>
      </c>
      <c r="N253" s="56">
        <f t="shared" si="101"/>
        <v>0</v>
      </c>
      <c r="O253" s="56">
        <f t="shared" si="102"/>
        <v>0</v>
      </c>
      <c r="P253" s="31">
        <f t="shared" si="103"/>
        <v>0</v>
      </c>
      <c r="Q253" s="31">
        <f t="shared" si="104"/>
        <v>0</v>
      </c>
      <c r="R253" s="60">
        <f t="shared" si="105"/>
        <v>0</v>
      </c>
      <c r="S253" s="45">
        <f>INDEX(FX!$D$3:$O$19,MATCH(B253,FX!$B$3:$B$32,0),MATCH(D253,FX!$D$2:$O$2,0))</f>
        <v>923</v>
      </c>
      <c r="T253" s="12" t="s">
        <v>142</v>
      </c>
      <c r="U253" s="12" t="s">
        <v>32</v>
      </c>
      <c r="V253" s="12" t="s">
        <v>83</v>
      </c>
      <c r="W253" s="8" t="str">
        <f>VLOOKUP(I253,Map!$F$18:$H$51,3,0)</f>
        <v>Variable</v>
      </c>
      <c r="X253" s="88" t="s">
        <v>149</v>
      </c>
      <c r="Y253" s="107" t="str">
        <f>VLOOKUP(L253,Map!$C$18:$D$29,2,0)</f>
        <v>DGT</v>
      </c>
      <c r="Z253" s="52"/>
      <c r="AA253" s="56">
        <f t="shared" si="106"/>
        <v>0</v>
      </c>
      <c r="AB253" s="56">
        <f t="shared" si="107"/>
        <v>0</v>
      </c>
      <c r="AC253" s="31">
        <f t="shared" si="108"/>
        <v>0</v>
      </c>
      <c r="AD253" s="31">
        <f t="shared" si="109"/>
        <v>0</v>
      </c>
      <c r="AE253" s="60">
        <f t="shared" si="110"/>
        <v>0</v>
      </c>
      <c r="AF253" s="8"/>
    </row>
    <row r="254" spans="2:32" s="1" customFormat="1" ht="13" hidden="1" x14ac:dyDescent="0.3">
      <c r="B254" s="12">
        <v>2026</v>
      </c>
      <c r="C254" s="12" t="s">
        <v>160</v>
      </c>
      <c r="D254" s="12" t="s">
        <v>162</v>
      </c>
      <c r="E254" s="12" t="s">
        <v>88</v>
      </c>
      <c r="F254" s="12" t="s">
        <v>80</v>
      </c>
      <c r="G254" s="83">
        <v>46218</v>
      </c>
      <c r="H254" s="93">
        <v>3866</v>
      </c>
      <c r="I254" s="12" t="s">
        <v>175</v>
      </c>
      <c r="J254" s="8" t="str">
        <f>IFERROR(VLOOKUP(I254,Map!$F$18:$G$56,2,0),"Add in Map")</f>
        <v>3P</v>
      </c>
      <c r="K254" s="8" t="str">
        <f>VLOOKUP(L254,Map!$C$18:$D$29,2,0)</f>
        <v>DLT</v>
      </c>
      <c r="L254" s="12" t="s">
        <v>52</v>
      </c>
      <c r="M254" s="52">
        <v>1897.5016102421578</v>
      </c>
      <c r="N254" s="56">
        <f t="shared" si="101"/>
        <v>0</v>
      </c>
      <c r="O254" s="56">
        <f t="shared" si="102"/>
        <v>2258.0269161881674</v>
      </c>
      <c r="P254" s="31">
        <f t="shared" si="103"/>
        <v>2.055798060934082</v>
      </c>
      <c r="Q254" s="31">
        <f t="shared" si="104"/>
        <v>0</v>
      </c>
      <c r="R254" s="60">
        <f t="shared" si="105"/>
        <v>2.4463996925115574</v>
      </c>
      <c r="S254" s="45">
        <f>INDEX(FX!$D$3:$O$19,MATCH(B254,FX!$B$3:$B$32,0),MATCH(D254,FX!$D$2:$O$2,0))</f>
        <v>923</v>
      </c>
      <c r="T254" s="12" t="s">
        <v>142</v>
      </c>
      <c r="U254" s="12" t="s">
        <v>32</v>
      </c>
      <c r="V254" s="12" t="s">
        <v>83</v>
      </c>
      <c r="W254" s="8" t="str">
        <f>VLOOKUP(I254,Map!$F$18:$H$51,3,0)</f>
        <v>Variable</v>
      </c>
      <c r="X254" s="88" t="s">
        <v>149</v>
      </c>
      <c r="Y254" s="107" t="str">
        <f>VLOOKUP(L254,Map!$C$18:$D$29,2,0)</f>
        <v>DLT</v>
      </c>
      <c r="Z254" s="52"/>
      <c r="AA254" s="56">
        <f t="shared" si="106"/>
        <v>0</v>
      </c>
      <c r="AB254" s="56">
        <f t="shared" si="107"/>
        <v>0</v>
      </c>
      <c r="AC254" s="31">
        <f t="shared" si="108"/>
        <v>0</v>
      </c>
      <c r="AD254" s="31">
        <f t="shared" si="109"/>
        <v>0</v>
      </c>
      <c r="AE254" s="60">
        <f t="shared" si="110"/>
        <v>0</v>
      </c>
      <c r="AF254" s="8"/>
    </row>
    <row r="255" spans="2:32" s="1" customFormat="1" ht="13" hidden="1" x14ac:dyDescent="0.3">
      <c r="B255" s="12">
        <v>2026</v>
      </c>
      <c r="C255" s="12" t="s">
        <v>160</v>
      </c>
      <c r="D255" s="12" t="s">
        <v>162</v>
      </c>
      <c r="E255" s="12" t="s">
        <v>88</v>
      </c>
      <c r="F255" s="12" t="s">
        <v>80</v>
      </c>
      <c r="G255" s="83">
        <v>46218</v>
      </c>
      <c r="H255" s="93">
        <v>3866</v>
      </c>
      <c r="I255" s="12" t="s">
        <v>175</v>
      </c>
      <c r="J255" s="8" t="str">
        <f>IFERROR(VLOOKUP(I255,Map!$F$18:$G$56,2,0),"Add in Map")</f>
        <v>3P</v>
      </c>
      <c r="K255" s="8" t="str">
        <f>VLOOKUP(L255,Map!$C$18:$D$29,2,0)</f>
        <v>DMT</v>
      </c>
      <c r="L255" s="12" t="s">
        <v>54</v>
      </c>
      <c r="M255" s="52">
        <v>0</v>
      </c>
      <c r="N255" s="56">
        <f t="shared" si="101"/>
        <v>0</v>
      </c>
      <c r="O255" s="56">
        <f t="shared" si="102"/>
        <v>0</v>
      </c>
      <c r="P255" s="48">
        <f t="shared" si="103"/>
        <v>0</v>
      </c>
      <c r="Q255" s="31">
        <f t="shared" si="104"/>
        <v>0</v>
      </c>
      <c r="R255" s="60">
        <f t="shared" si="105"/>
        <v>0</v>
      </c>
      <c r="S255" s="45">
        <f>INDEX(FX!$D$3:$O$19,MATCH(B255,FX!$B$3:$B$32,0),MATCH(D255,FX!$D$2:$O$2,0))</f>
        <v>923</v>
      </c>
      <c r="T255" s="12" t="s">
        <v>142</v>
      </c>
      <c r="U255" s="12" t="s">
        <v>32</v>
      </c>
      <c r="V255" s="12" t="s">
        <v>83</v>
      </c>
      <c r="W255" s="8" t="str">
        <f>VLOOKUP(I255,Map!$F$18:$H$51,3,0)</f>
        <v>Variable</v>
      </c>
      <c r="X255" s="88" t="s">
        <v>149</v>
      </c>
      <c r="Y255" s="107" t="str">
        <f>VLOOKUP(L255,Map!$C$18:$D$29,2,0)</f>
        <v>DMT</v>
      </c>
      <c r="Z255" s="52"/>
      <c r="AA255" s="56">
        <f t="shared" si="106"/>
        <v>0</v>
      </c>
      <c r="AB255" s="56">
        <f t="shared" si="107"/>
        <v>0</v>
      </c>
      <c r="AC255" s="48">
        <f t="shared" si="108"/>
        <v>0</v>
      </c>
      <c r="AD255" s="31">
        <f t="shared" si="109"/>
        <v>0</v>
      </c>
      <c r="AE255" s="60">
        <f t="shared" si="110"/>
        <v>0</v>
      </c>
      <c r="AF255" s="8"/>
    </row>
    <row r="256" spans="2:32" s="37" customFormat="1" hidden="1" x14ac:dyDescent="0.35">
      <c r="B256" s="13">
        <v>2026</v>
      </c>
      <c r="C256" s="13" t="s">
        <v>160</v>
      </c>
      <c r="D256" s="13" t="s">
        <v>162</v>
      </c>
      <c r="E256" s="13" t="s">
        <v>88</v>
      </c>
      <c r="F256" s="13" t="s">
        <v>80</v>
      </c>
      <c r="G256" s="85">
        <v>46218</v>
      </c>
      <c r="H256" s="94">
        <v>3866</v>
      </c>
      <c r="I256" s="13" t="s">
        <v>175</v>
      </c>
      <c r="J256" s="29" t="str">
        <f>IFERROR(VLOOKUP(I256,Map!$F$18:$G$56,2,0),"Add in Map")</f>
        <v>3P</v>
      </c>
      <c r="K256" s="29" t="str">
        <f>VLOOKUP(L256,Map!$C$18:$D$29,2,0)</f>
        <v>TOTAL</v>
      </c>
      <c r="L256" s="13" t="s">
        <v>56</v>
      </c>
      <c r="M256" s="128">
        <f>SUM(M245:M255)</f>
        <v>1752661.3787099998</v>
      </c>
      <c r="N256" s="57">
        <f t="shared" si="101"/>
        <v>333005.66195489996</v>
      </c>
      <c r="O256" s="57">
        <f t="shared" si="102"/>
        <v>2085667.0406648996</v>
      </c>
      <c r="P256" s="11">
        <f t="shared" si="103"/>
        <v>1898.8747331635968</v>
      </c>
      <c r="Q256" s="11">
        <f t="shared" si="104"/>
        <v>360.7861993010834</v>
      </c>
      <c r="R256" s="61">
        <f t="shared" si="105"/>
        <v>2259.6609324646802</v>
      </c>
      <c r="S256" s="46">
        <f>INDEX(FX!$D$3:$O$19,MATCH(B256,FX!$B$3:$B$32,0),MATCH(D256,FX!$D$2:$O$2,0))</f>
        <v>923</v>
      </c>
      <c r="T256" s="13" t="s">
        <v>142</v>
      </c>
      <c r="U256" s="13" t="s">
        <v>32</v>
      </c>
      <c r="V256" s="13" t="s">
        <v>83</v>
      </c>
      <c r="W256" s="29" t="str">
        <f>VLOOKUP(I256,Map!$F$18:$H$51,3,0)</f>
        <v>Variable</v>
      </c>
      <c r="X256" s="90" t="s">
        <v>149</v>
      </c>
      <c r="Y256" s="109" t="str">
        <f>VLOOKUP(L256,Map!$C$18:$D$29,2,0)</f>
        <v>TOTAL</v>
      </c>
      <c r="Z256" s="53"/>
      <c r="AA256" s="57">
        <f t="shared" si="106"/>
        <v>0</v>
      </c>
      <c r="AB256" s="57">
        <f t="shared" si="107"/>
        <v>0</v>
      </c>
      <c r="AC256" s="11">
        <f t="shared" si="108"/>
        <v>0</v>
      </c>
      <c r="AD256" s="11">
        <f t="shared" si="109"/>
        <v>0</v>
      </c>
      <c r="AE256" s="61">
        <f t="shared" si="110"/>
        <v>0</v>
      </c>
      <c r="AF256" s="87"/>
    </row>
    <row r="257" spans="2:32" s="5" customFormat="1" ht="13" hidden="1" x14ac:dyDescent="0.3">
      <c r="B257" s="114">
        <v>2026</v>
      </c>
      <c r="C257" s="114" t="s">
        <v>153</v>
      </c>
      <c r="D257" s="114" t="s">
        <v>80</v>
      </c>
      <c r="E257" s="114" t="s">
        <v>88</v>
      </c>
      <c r="F257" s="114" t="s">
        <v>172</v>
      </c>
      <c r="G257" s="115"/>
      <c r="H257" s="116"/>
      <c r="I257" s="114" t="s">
        <v>175</v>
      </c>
      <c r="J257" s="117" t="str">
        <f>IFERROR(VLOOKUP(I257,Map!$F$18:$G$56,2,0),"Add in Map")</f>
        <v>3P</v>
      </c>
      <c r="K257" s="117" t="str">
        <f>VLOOKUP(L257,Map!$C$18:$D$29,2,0)</f>
        <v>CNT</v>
      </c>
      <c r="L257" s="114" t="s">
        <v>31</v>
      </c>
      <c r="M257" s="118">
        <v>626904.16936497018</v>
      </c>
      <c r="N257" s="119">
        <f t="shared" si="101"/>
        <v>0</v>
      </c>
      <c r="O257" s="119">
        <f t="shared" si="102"/>
        <v>746015.96154431452</v>
      </c>
      <c r="P257" s="120">
        <f t="shared" si="103"/>
        <v>678.46771576295475</v>
      </c>
      <c r="Q257" s="120">
        <f t="shared" si="104"/>
        <v>0</v>
      </c>
      <c r="R257" s="121">
        <f t="shared" si="105"/>
        <v>807.37658175791614</v>
      </c>
      <c r="S257" s="122">
        <f>INDEX(FX!$D$3:$O$19,MATCH(B257,FX!$B$3:$B$32,0),MATCH(D257,FX!$D$2:$O$2,0))</f>
        <v>924</v>
      </c>
      <c r="T257" s="114" t="s">
        <v>144</v>
      </c>
      <c r="U257" s="114" t="s">
        <v>155</v>
      </c>
      <c r="V257" s="114" t="s">
        <v>83</v>
      </c>
      <c r="W257" s="117" t="str">
        <f>VLOOKUP(I257,Map!$F$18:$H$51,3,0)</f>
        <v>Variable</v>
      </c>
      <c r="X257" s="123" t="s">
        <v>172</v>
      </c>
      <c r="Y257" s="124" t="str">
        <f>VLOOKUP(L257,Map!$C$18:$D$29,2,0)</f>
        <v>CNT</v>
      </c>
      <c r="Z257" s="118"/>
      <c r="AA257" s="119">
        <f t="shared" si="106"/>
        <v>0</v>
      </c>
      <c r="AB257" s="119">
        <f t="shared" si="107"/>
        <v>0</v>
      </c>
      <c r="AC257" s="120">
        <f t="shared" si="108"/>
        <v>0</v>
      </c>
      <c r="AD257" s="120">
        <f t="shared" si="109"/>
        <v>0</v>
      </c>
      <c r="AE257" s="121">
        <f t="shared" si="110"/>
        <v>0</v>
      </c>
      <c r="AF257" s="117"/>
    </row>
    <row r="258" spans="2:32" s="1" customFormat="1" ht="13" hidden="1" x14ac:dyDescent="0.3">
      <c r="B258" s="12">
        <v>2026</v>
      </c>
      <c r="C258" s="12" t="s">
        <v>153</v>
      </c>
      <c r="D258" s="12" t="s">
        <v>80</v>
      </c>
      <c r="E258" s="12" t="s">
        <v>88</v>
      </c>
      <c r="F258" s="12" t="s">
        <v>172</v>
      </c>
      <c r="G258" s="83"/>
      <c r="H258" s="93"/>
      <c r="I258" s="12" t="s">
        <v>175</v>
      </c>
      <c r="J258" s="8" t="str">
        <f>IFERROR(VLOOKUP(I258,Map!$F$18:$G$56,2,0),"Add in Map")</f>
        <v>3P</v>
      </c>
      <c r="K258" s="8" t="str">
        <f>VLOOKUP(L258,Map!$C$18:$D$29,2,0)</f>
        <v>CVT</v>
      </c>
      <c r="L258" s="12" t="s">
        <v>36</v>
      </c>
      <c r="M258" s="52">
        <v>0</v>
      </c>
      <c r="N258" s="56">
        <f t="shared" si="101"/>
        <v>0</v>
      </c>
      <c r="O258" s="56">
        <f t="shared" si="102"/>
        <v>0</v>
      </c>
      <c r="P258" s="31">
        <f t="shared" si="103"/>
        <v>0</v>
      </c>
      <c r="Q258" s="31">
        <f t="shared" si="104"/>
        <v>0</v>
      </c>
      <c r="R258" s="60">
        <f t="shared" si="105"/>
        <v>0</v>
      </c>
      <c r="S258" s="45">
        <f>INDEX(FX!$D$3:$O$19,MATCH(B258,FX!$B$3:$B$32,0),MATCH(D258,FX!$D$2:$O$2,0))</f>
        <v>924</v>
      </c>
      <c r="T258" s="12" t="s">
        <v>144</v>
      </c>
      <c r="U258" s="12" t="s">
        <v>155</v>
      </c>
      <c r="V258" s="12" t="s">
        <v>83</v>
      </c>
      <c r="W258" s="8" t="str">
        <f>VLOOKUP(I258,Map!$F$18:$H$51,3,0)</f>
        <v>Variable</v>
      </c>
      <c r="X258" s="88" t="s">
        <v>172</v>
      </c>
      <c r="Y258" s="107" t="str">
        <f>VLOOKUP(L258,Map!$C$18:$D$29,2,0)</f>
        <v>CVT</v>
      </c>
      <c r="Z258" s="52"/>
      <c r="AA258" s="56">
        <f t="shared" si="106"/>
        <v>0</v>
      </c>
      <c r="AB258" s="56">
        <f t="shared" si="107"/>
        <v>0</v>
      </c>
      <c r="AC258" s="31">
        <f t="shared" si="108"/>
        <v>0</v>
      </c>
      <c r="AD258" s="31">
        <f t="shared" si="109"/>
        <v>0</v>
      </c>
      <c r="AE258" s="60">
        <f t="shared" si="110"/>
        <v>0</v>
      </c>
      <c r="AF258" s="8"/>
    </row>
    <row r="259" spans="2:32" s="1" customFormat="1" ht="13" hidden="1" x14ac:dyDescent="0.3">
      <c r="B259" s="12">
        <v>2026</v>
      </c>
      <c r="C259" s="12" t="s">
        <v>153</v>
      </c>
      <c r="D259" s="12" t="s">
        <v>80</v>
      </c>
      <c r="E259" s="12" t="s">
        <v>88</v>
      </c>
      <c r="F259" s="12" t="s">
        <v>172</v>
      </c>
      <c r="G259" s="83"/>
      <c r="H259" s="93"/>
      <c r="I259" s="12" t="s">
        <v>175</v>
      </c>
      <c r="J259" s="8" t="str">
        <f>IFERROR(VLOOKUP(I259,Map!$F$18:$G$56,2,0),"Add in Map")</f>
        <v>3P</v>
      </c>
      <c r="K259" s="8" t="str">
        <f>VLOOKUP(L259,Map!$C$18:$D$29,2,0)</f>
        <v>CDT</v>
      </c>
      <c r="L259" s="12" t="s">
        <v>38</v>
      </c>
      <c r="M259" s="52">
        <v>0</v>
      </c>
      <c r="N259" s="56">
        <f t="shared" si="101"/>
        <v>0</v>
      </c>
      <c r="O259" s="56">
        <f t="shared" si="102"/>
        <v>0</v>
      </c>
      <c r="P259" s="31">
        <f t="shared" si="103"/>
        <v>0</v>
      </c>
      <c r="Q259" s="31">
        <f t="shared" si="104"/>
        <v>0</v>
      </c>
      <c r="R259" s="60">
        <f t="shared" si="105"/>
        <v>0</v>
      </c>
      <c r="S259" s="45">
        <f>INDEX(FX!$D$3:$O$19,MATCH(B259,FX!$B$3:$B$32,0),MATCH(D259,FX!$D$2:$O$2,0))</f>
        <v>924</v>
      </c>
      <c r="T259" s="12" t="s">
        <v>144</v>
      </c>
      <c r="U259" s="12" t="s">
        <v>155</v>
      </c>
      <c r="V259" s="12" t="s">
        <v>83</v>
      </c>
      <c r="W259" s="8" t="str">
        <f>VLOOKUP(I259,Map!$F$18:$H$51,3,0)</f>
        <v>Variable</v>
      </c>
      <c r="X259" s="88" t="s">
        <v>172</v>
      </c>
      <c r="Y259" s="107" t="str">
        <f>VLOOKUP(L259,Map!$C$18:$D$29,2,0)</f>
        <v>CDT</v>
      </c>
      <c r="Z259" s="52"/>
      <c r="AA259" s="56">
        <f t="shared" si="106"/>
        <v>0</v>
      </c>
      <c r="AB259" s="56">
        <f t="shared" si="107"/>
        <v>0</v>
      </c>
      <c r="AC259" s="31">
        <f t="shared" si="108"/>
        <v>0</v>
      </c>
      <c r="AD259" s="31">
        <f t="shared" si="109"/>
        <v>0</v>
      </c>
      <c r="AE259" s="60">
        <f t="shared" si="110"/>
        <v>0</v>
      </c>
      <c r="AF259" s="8"/>
    </row>
    <row r="260" spans="2:32" s="1" customFormat="1" ht="13" hidden="1" x14ac:dyDescent="0.3">
      <c r="B260" s="12">
        <v>2026</v>
      </c>
      <c r="C260" s="12" t="s">
        <v>153</v>
      </c>
      <c r="D260" s="12" t="s">
        <v>80</v>
      </c>
      <c r="E260" s="12" t="s">
        <v>88</v>
      </c>
      <c r="F260" s="12" t="s">
        <v>172</v>
      </c>
      <c r="G260" s="83"/>
      <c r="H260" s="93"/>
      <c r="I260" s="12" t="s">
        <v>175</v>
      </c>
      <c r="J260" s="8" t="str">
        <f>IFERROR(VLOOKUP(I260,Map!$F$18:$G$56,2,0),"Add in Map")</f>
        <v>3P</v>
      </c>
      <c r="K260" s="8" t="str">
        <f>VLOOKUP(L260,Map!$C$18:$D$29,2,0)</f>
        <v>DFT</v>
      </c>
      <c r="L260" s="12" t="s">
        <v>40</v>
      </c>
      <c r="M260" s="52">
        <v>1339295.2709160727</v>
      </c>
      <c r="N260" s="56">
        <f t="shared" si="101"/>
        <v>0</v>
      </c>
      <c r="O260" s="56">
        <f t="shared" si="102"/>
        <v>1593761.3723901263</v>
      </c>
      <c r="P260" s="31">
        <f t="shared" si="103"/>
        <v>1449.4537564026759</v>
      </c>
      <c r="Q260" s="31">
        <f t="shared" si="104"/>
        <v>0</v>
      </c>
      <c r="R260" s="60">
        <f t="shared" si="105"/>
        <v>1724.8499701191843</v>
      </c>
      <c r="S260" s="45">
        <f>INDEX(FX!$D$3:$O$19,MATCH(B260,FX!$B$3:$B$32,0),MATCH(D260,FX!$D$2:$O$2,0))</f>
        <v>924</v>
      </c>
      <c r="T260" s="12" t="s">
        <v>144</v>
      </c>
      <c r="U260" s="12" t="s">
        <v>155</v>
      </c>
      <c r="V260" s="12" t="s">
        <v>83</v>
      </c>
      <c r="W260" s="8" t="str">
        <f>VLOOKUP(I260,Map!$F$18:$H$51,3,0)</f>
        <v>Variable</v>
      </c>
      <c r="X260" s="88" t="s">
        <v>172</v>
      </c>
      <c r="Y260" s="107" t="str">
        <f>VLOOKUP(L260,Map!$C$18:$D$29,2,0)</f>
        <v>DFT</v>
      </c>
      <c r="Z260" s="52"/>
      <c r="AA260" s="56">
        <f t="shared" si="106"/>
        <v>0</v>
      </c>
      <c r="AB260" s="56">
        <f t="shared" si="107"/>
        <v>0</v>
      </c>
      <c r="AC260" s="31">
        <f t="shared" si="108"/>
        <v>0</v>
      </c>
      <c r="AD260" s="31">
        <f t="shared" si="109"/>
        <v>0</v>
      </c>
      <c r="AE260" s="60">
        <f t="shared" si="110"/>
        <v>0</v>
      </c>
      <c r="AF260" s="8"/>
    </row>
    <row r="261" spans="2:32" s="1" customFormat="1" ht="13" hidden="1" x14ac:dyDescent="0.3">
      <c r="B261" s="12">
        <v>2026</v>
      </c>
      <c r="C261" s="12" t="s">
        <v>153</v>
      </c>
      <c r="D261" s="12" t="s">
        <v>80</v>
      </c>
      <c r="E261" s="12" t="s">
        <v>88</v>
      </c>
      <c r="F261" s="12" t="s">
        <v>172</v>
      </c>
      <c r="G261" s="83"/>
      <c r="H261" s="93"/>
      <c r="I261" s="12" t="s">
        <v>175</v>
      </c>
      <c r="J261" s="8" t="str">
        <f>IFERROR(VLOOKUP(I261,Map!$F$18:$G$56,2,0),"Add in Map")</f>
        <v>3P</v>
      </c>
      <c r="K261" s="8" t="str">
        <f>VLOOKUP(L261,Map!$C$18:$D$29,2,0)</f>
        <v>DVT</v>
      </c>
      <c r="L261" s="12" t="s">
        <v>42</v>
      </c>
      <c r="M261" s="52">
        <v>0</v>
      </c>
      <c r="N261" s="56">
        <f t="shared" si="101"/>
        <v>0</v>
      </c>
      <c r="O261" s="56">
        <f t="shared" si="102"/>
        <v>0</v>
      </c>
      <c r="P261" s="31">
        <f t="shared" si="103"/>
        <v>0</v>
      </c>
      <c r="Q261" s="31">
        <f t="shared" si="104"/>
        <v>0</v>
      </c>
      <c r="R261" s="60">
        <f t="shared" si="105"/>
        <v>0</v>
      </c>
      <c r="S261" s="45">
        <f>INDEX(FX!$D$3:$O$19,MATCH(B261,FX!$B$3:$B$32,0),MATCH(D261,FX!$D$2:$O$2,0))</f>
        <v>924</v>
      </c>
      <c r="T261" s="12" t="s">
        <v>144</v>
      </c>
      <c r="U261" s="12" t="s">
        <v>155</v>
      </c>
      <c r="V261" s="12" t="s">
        <v>83</v>
      </c>
      <c r="W261" s="8" t="str">
        <f>VLOOKUP(I261,Map!$F$18:$H$51,3,0)</f>
        <v>Variable</v>
      </c>
      <c r="X261" s="88" t="s">
        <v>172</v>
      </c>
      <c r="Y261" s="107" t="str">
        <f>VLOOKUP(L261,Map!$C$18:$D$29,2,0)</f>
        <v>DVT</v>
      </c>
      <c r="Z261" s="52"/>
      <c r="AA261" s="56">
        <f t="shared" si="106"/>
        <v>0</v>
      </c>
      <c r="AB261" s="56">
        <f t="shared" si="107"/>
        <v>0</v>
      </c>
      <c r="AC261" s="31">
        <f t="shared" si="108"/>
        <v>0</v>
      </c>
      <c r="AD261" s="31">
        <f t="shared" si="109"/>
        <v>0</v>
      </c>
      <c r="AE261" s="60">
        <f t="shared" si="110"/>
        <v>0</v>
      </c>
      <c r="AF261" s="8"/>
    </row>
    <row r="262" spans="2:32" s="1" customFormat="1" ht="13" hidden="1" x14ac:dyDescent="0.3">
      <c r="B262" s="12">
        <v>2026</v>
      </c>
      <c r="C262" s="12" t="s">
        <v>153</v>
      </c>
      <c r="D262" s="12" t="s">
        <v>80</v>
      </c>
      <c r="E262" s="12" t="s">
        <v>88</v>
      </c>
      <c r="F262" s="12" t="s">
        <v>172</v>
      </c>
      <c r="G262" s="83"/>
      <c r="H262" s="93"/>
      <c r="I262" s="12" t="s">
        <v>175</v>
      </c>
      <c r="J262" s="8" t="str">
        <f>IFERROR(VLOOKUP(I262,Map!$F$18:$G$56,2,0),"Add in Map")</f>
        <v>3P</v>
      </c>
      <c r="K262" s="8" t="str">
        <f>VLOOKUP(L262,Map!$C$18:$D$29,2,0)</f>
        <v>GLT</v>
      </c>
      <c r="L262" s="12" t="s">
        <v>44</v>
      </c>
      <c r="M262" s="52">
        <v>712391.10155110247</v>
      </c>
      <c r="N262" s="56">
        <f t="shared" si="101"/>
        <v>0</v>
      </c>
      <c r="O262" s="56">
        <f t="shared" si="102"/>
        <v>847745.41084581194</v>
      </c>
      <c r="P262" s="31">
        <f t="shared" si="103"/>
        <v>770.9860406397213</v>
      </c>
      <c r="Q262" s="31">
        <f t="shared" si="104"/>
        <v>0</v>
      </c>
      <c r="R262" s="60">
        <f t="shared" si="105"/>
        <v>917.47338836126835</v>
      </c>
      <c r="S262" s="45">
        <f>INDEX(FX!$D$3:$O$19,MATCH(B262,FX!$B$3:$B$32,0),MATCH(D262,FX!$D$2:$O$2,0))</f>
        <v>924</v>
      </c>
      <c r="T262" s="12" t="s">
        <v>144</v>
      </c>
      <c r="U262" s="12" t="s">
        <v>155</v>
      </c>
      <c r="V262" s="12" t="s">
        <v>83</v>
      </c>
      <c r="W262" s="8" t="str">
        <f>VLOOKUP(I262,Map!$F$18:$H$51,3,0)</f>
        <v>Variable</v>
      </c>
      <c r="X262" s="88" t="s">
        <v>172</v>
      </c>
      <c r="Y262" s="107" t="str">
        <f>VLOOKUP(L262,Map!$C$18:$D$29,2,0)</f>
        <v>GLT</v>
      </c>
      <c r="Z262" s="52"/>
      <c r="AA262" s="56">
        <f t="shared" si="106"/>
        <v>0</v>
      </c>
      <c r="AB262" s="56">
        <f t="shared" si="107"/>
        <v>0</v>
      </c>
      <c r="AC262" s="31">
        <f t="shared" si="108"/>
        <v>0</v>
      </c>
      <c r="AD262" s="31">
        <f t="shared" si="109"/>
        <v>0</v>
      </c>
      <c r="AE262" s="60">
        <f t="shared" si="110"/>
        <v>0</v>
      </c>
      <c r="AF262" s="8"/>
    </row>
    <row r="263" spans="2:32" s="1" customFormat="1" ht="13" hidden="1" x14ac:dyDescent="0.3">
      <c r="B263" s="12">
        <v>2026</v>
      </c>
      <c r="C263" s="12" t="s">
        <v>153</v>
      </c>
      <c r="D263" s="12" t="s">
        <v>80</v>
      </c>
      <c r="E263" s="12" t="s">
        <v>88</v>
      </c>
      <c r="F263" s="12" t="s">
        <v>172</v>
      </c>
      <c r="G263" s="83"/>
      <c r="H263" s="93"/>
      <c r="I263" s="12" t="s">
        <v>175</v>
      </c>
      <c r="J263" s="8" t="str">
        <f>IFERROR(VLOOKUP(I263,Map!$F$18:$G$56,2,0),"Add in Map")</f>
        <v>3P</v>
      </c>
      <c r="K263" s="8" t="str">
        <f>VLOOKUP(L263,Map!$C$18:$D$29,2,0)</f>
        <v>PNT</v>
      </c>
      <c r="L263" s="12" t="s">
        <v>46</v>
      </c>
      <c r="M263" s="52">
        <v>0</v>
      </c>
      <c r="N263" s="56">
        <f t="shared" si="101"/>
        <v>0</v>
      </c>
      <c r="O263" s="56">
        <f t="shared" si="102"/>
        <v>0</v>
      </c>
      <c r="P263" s="31">
        <f t="shared" si="103"/>
        <v>0</v>
      </c>
      <c r="Q263" s="31">
        <f t="shared" si="104"/>
        <v>0</v>
      </c>
      <c r="R263" s="60">
        <f t="shared" si="105"/>
        <v>0</v>
      </c>
      <c r="S263" s="45">
        <f>INDEX(FX!$D$3:$O$19,MATCH(B263,FX!$B$3:$B$32,0),MATCH(D263,FX!$D$2:$O$2,0))</f>
        <v>924</v>
      </c>
      <c r="T263" s="12" t="s">
        <v>144</v>
      </c>
      <c r="U263" s="12" t="s">
        <v>155</v>
      </c>
      <c r="V263" s="12" t="s">
        <v>83</v>
      </c>
      <c r="W263" s="8" t="str">
        <f>VLOOKUP(I263,Map!$F$18:$H$51,3,0)</f>
        <v>Variable</v>
      </c>
      <c r="X263" s="88" t="s">
        <v>172</v>
      </c>
      <c r="Y263" s="107" t="str">
        <f>VLOOKUP(L263,Map!$C$18:$D$29,2,0)</f>
        <v>PNT</v>
      </c>
      <c r="Z263" s="52"/>
      <c r="AA263" s="56">
        <f t="shared" si="106"/>
        <v>0</v>
      </c>
      <c r="AB263" s="56">
        <f t="shared" si="107"/>
        <v>0</v>
      </c>
      <c r="AC263" s="31">
        <f t="shared" si="108"/>
        <v>0</v>
      </c>
      <c r="AD263" s="31">
        <f t="shared" si="109"/>
        <v>0</v>
      </c>
      <c r="AE263" s="60">
        <f t="shared" si="110"/>
        <v>0</v>
      </c>
      <c r="AF263" s="8"/>
    </row>
    <row r="264" spans="2:32" s="1" customFormat="1" ht="13" hidden="1" x14ac:dyDescent="0.3">
      <c r="B264" s="12">
        <v>2026</v>
      </c>
      <c r="C264" s="12" t="s">
        <v>153</v>
      </c>
      <c r="D264" s="12" t="s">
        <v>80</v>
      </c>
      <c r="E264" s="12" t="s">
        <v>88</v>
      </c>
      <c r="F264" s="12" t="s">
        <v>172</v>
      </c>
      <c r="G264" s="83"/>
      <c r="H264" s="93"/>
      <c r="I264" s="12" t="s">
        <v>175</v>
      </c>
      <c r="J264" s="8" t="str">
        <f>IFERROR(VLOOKUP(I264,Map!$F$18:$G$56,2,0),"Add in Map")</f>
        <v>3P</v>
      </c>
      <c r="K264" s="8" t="str">
        <f>VLOOKUP(L264,Map!$C$18:$D$29,2,0)</f>
        <v>GTT</v>
      </c>
      <c r="L264" s="12" t="s">
        <v>48</v>
      </c>
      <c r="M264" s="52">
        <v>56991.288124088198</v>
      </c>
      <c r="N264" s="56">
        <f t="shared" si="101"/>
        <v>0</v>
      </c>
      <c r="O264" s="56">
        <f t="shared" si="102"/>
        <v>67819.632867664957</v>
      </c>
      <c r="P264" s="31">
        <f t="shared" si="103"/>
        <v>61.678883251177702</v>
      </c>
      <c r="Q264" s="31">
        <f t="shared" si="104"/>
        <v>0</v>
      </c>
      <c r="R264" s="60">
        <f t="shared" si="105"/>
        <v>73.397871068901466</v>
      </c>
      <c r="S264" s="45">
        <f>INDEX(FX!$D$3:$O$19,MATCH(B264,FX!$B$3:$B$32,0),MATCH(D264,FX!$D$2:$O$2,0))</f>
        <v>924</v>
      </c>
      <c r="T264" s="12" t="s">
        <v>144</v>
      </c>
      <c r="U264" s="12" t="s">
        <v>155</v>
      </c>
      <c r="V264" s="12" t="s">
        <v>83</v>
      </c>
      <c r="W264" s="8" t="str">
        <f>VLOOKUP(I264,Map!$F$18:$H$51,3,0)</f>
        <v>Variable</v>
      </c>
      <c r="X264" s="88" t="s">
        <v>172</v>
      </c>
      <c r="Y264" s="107" t="str">
        <f>VLOOKUP(L264,Map!$C$18:$D$29,2,0)</f>
        <v>GTT</v>
      </c>
      <c r="Z264" s="52"/>
      <c r="AA264" s="56">
        <f t="shared" si="106"/>
        <v>0</v>
      </c>
      <c r="AB264" s="56">
        <f t="shared" si="107"/>
        <v>0</v>
      </c>
      <c r="AC264" s="31">
        <f t="shared" si="108"/>
        <v>0</v>
      </c>
      <c r="AD264" s="31">
        <f t="shared" si="109"/>
        <v>0</v>
      </c>
      <c r="AE264" s="60">
        <f t="shared" si="110"/>
        <v>0</v>
      </c>
      <c r="AF264" s="8"/>
    </row>
    <row r="265" spans="2:32" s="1" customFormat="1" ht="13" hidden="1" x14ac:dyDescent="0.3">
      <c r="B265" s="12">
        <v>2026</v>
      </c>
      <c r="C265" s="12" t="s">
        <v>153</v>
      </c>
      <c r="D265" s="12" t="s">
        <v>80</v>
      </c>
      <c r="E265" s="12" t="s">
        <v>88</v>
      </c>
      <c r="F265" s="12" t="s">
        <v>172</v>
      </c>
      <c r="G265" s="83"/>
      <c r="H265" s="93"/>
      <c r="I265" s="12" t="s">
        <v>175</v>
      </c>
      <c r="J265" s="8" t="str">
        <f>IFERROR(VLOOKUP(I265,Map!$F$18:$G$56,2,0),"Add in Map")</f>
        <v>3P</v>
      </c>
      <c r="K265" s="8" t="str">
        <f>VLOOKUP(L265,Map!$C$18:$D$29,2,0)</f>
        <v>DGT</v>
      </c>
      <c r="L265" s="12" t="s">
        <v>50</v>
      </c>
      <c r="M265" s="52">
        <v>0</v>
      </c>
      <c r="N265" s="56">
        <f t="shared" si="101"/>
        <v>0</v>
      </c>
      <c r="O265" s="56">
        <f t="shared" si="102"/>
        <v>0</v>
      </c>
      <c r="P265" s="31">
        <f t="shared" si="103"/>
        <v>0</v>
      </c>
      <c r="Q265" s="31">
        <f t="shared" si="104"/>
        <v>0</v>
      </c>
      <c r="R265" s="60">
        <f t="shared" si="105"/>
        <v>0</v>
      </c>
      <c r="S265" s="45">
        <f>INDEX(FX!$D$3:$O$19,MATCH(B265,FX!$B$3:$B$32,0),MATCH(D265,FX!$D$2:$O$2,0))</f>
        <v>924</v>
      </c>
      <c r="T265" s="12" t="s">
        <v>144</v>
      </c>
      <c r="U265" s="12" t="s">
        <v>155</v>
      </c>
      <c r="V265" s="12" t="s">
        <v>83</v>
      </c>
      <c r="W265" s="8" t="str">
        <f>VLOOKUP(I265,Map!$F$18:$H$51,3,0)</f>
        <v>Variable</v>
      </c>
      <c r="X265" s="88" t="s">
        <v>172</v>
      </c>
      <c r="Y265" s="107" t="str">
        <f>VLOOKUP(L265,Map!$C$18:$D$29,2,0)</f>
        <v>DGT</v>
      </c>
      <c r="Z265" s="52"/>
      <c r="AA265" s="56">
        <f t="shared" si="106"/>
        <v>0</v>
      </c>
      <c r="AB265" s="56">
        <f t="shared" si="107"/>
        <v>0</v>
      </c>
      <c r="AC265" s="31">
        <f t="shared" si="108"/>
        <v>0</v>
      </c>
      <c r="AD265" s="31">
        <f t="shared" si="109"/>
        <v>0</v>
      </c>
      <c r="AE265" s="60">
        <f t="shared" si="110"/>
        <v>0</v>
      </c>
      <c r="AF265" s="8"/>
    </row>
    <row r="266" spans="2:32" s="1" customFormat="1" ht="13" hidden="1" x14ac:dyDescent="0.3">
      <c r="B266" s="12">
        <v>2026</v>
      </c>
      <c r="C266" s="12" t="s">
        <v>153</v>
      </c>
      <c r="D266" s="12" t="s">
        <v>80</v>
      </c>
      <c r="E266" s="12" t="s">
        <v>88</v>
      </c>
      <c r="F266" s="12" t="s">
        <v>172</v>
      </c>
      <c r="G266" s="83"/>
      <c r="H266" s="93"/>
      <c r="I266" s="12" t="s">
        <v>175</v>
      </c>
      <c r="J266" s="8" t="str">
        <f>IFERROR(VLOOKUP(I266,Map!$F$18:$G$56,2,0),"Add in Map")</f>
        <v>3P</v>
      </c>
      <c r="K266" s="8" t="str">
        <f>VLOOKUP(L266,Map!$C$18:$D$29,2,0)</f>
        <v>DLT</v>
      </c>
      <c r="L266" s="12" t="s">
        <v>52</v>
      </c>
      <c r="M266" s="52"/>
      <c r="N266" s="56">
        <f t="shared" si="101"/>
        <v>0</v>
      </c>
      <c r="O266" s="56">
        <f t="shared" si="102"/>
        <v>0</v>
      </c>
      <c r="P266" s="31">
        <f t="shared" si="103"/>
        <v>0</v>
      </c>
      <c r="Q266" s="31">
        <f t="shared" si="104"/>
        <v>0</v>
      </c>
      <c r="R266" s="60">
        <f t="shared" si="105"/>
        <v>0</v>
      </c>
      <c r="S266" s="45">
        <f>INDEX(FX!$D$3:$O$19,MATCH(B266,FX!$B$3:$B$32,0),MATCH(D266,FX!$D$2:$O$2,0))</f>
        <v>924</v>
      </c>
      <c r="T266" s="12" t="s">
        <v>144</v>
      </c>
      <c r="U266" s="12" t="s">
        <v>155</v>
      </c>
      <c r="V266" s="12" t="s">
        <v>83</v>
      </c>
      <c r="W266" s="8" t="str">
        <f>VLOOKUP(I266,Map!$F$18:$H$51,3,0)</f>
        <v>Variable</v>
      </c>
      <c r="X266" s="88" t="s">
        <v>172</v>
      </c>
      <c r="Y266" s="107" t="str">
        <f>VLOOKUP(L266,Map!$C$18:$D$29,2,0)</f>
        <v>DLT</v>
      </c>
      <c r="Z266" s="52"/>
      <c r="AA266" s="56">
        <f t="shared" si="106"/>
        <v>0</v>
      </c>
      <c r="AB266" s="56">
        <f t="shared" si="107"/>
        <v>0</v>
      </c>
      <c r="AC266" s="31">
        <f t="shared" si="108"/>
        <v>0</v>
      </c>
      <c r="AD266" s="31">
        <f t="shared" si="109"/>
        <v>0</v>
      </c>
      <c r="AE266" s="60">
        <f t="shared" si="110"/>
        <v>0</v>
      </c>
      <c r="AF266" s="8"/>
    </row>
    <row r="267" spans="2:32" s="1" customFormat="1" ht="13" hidden="1" x14ac:dyDescent="0.3">
      <c r="B267" s="12">
        <v>2026</v>
      </c>
      <c r="C267" s="12" t="s">
        <v>153</v>
      </c>
      <c r="D267" s="12" t="s">
        <v>80</v>
      </c>
      <c r="E267" s="12" t="s">
        <v>88</v>
      </c>
      <c r="F267" s="12" t="s">
        <v>172</v>
      </c>
      <c r="G267" s="83"/>
      <c r="H267" s="93"/>
      <c r="I267" s="12" t="s">
        <v>175</v>
      </c>
      <c r="J267" s="8" t="str">
        <f>IFERROR(VLOOKUP(I267,Map!$F$18:$G$56,2,0),"Add in Map")</f>
        <v>3P</v>
      </c>
      <c r="K267" s="8" t="str">
        <f>VLOOKUP(L267,Map!$C$18:$D$29,2,0)</f>
        <v>DMT</v>
      </c>
      <c r="L267" s="12" t="s">
        <v>54</v>
      </c>
      <c r="M267" s="52"/>
      <c r="N267" s="56">
        <f t="shared" si="101"/>
        <v>0</v>
      </c>
      <c r="O267" s="56">
        <f t="shared" si="102"/>
        <v>0</v>
      </c>
      <c r="P267" s="48">
        <f t="shared" si="103"/>
        <v>0</v>
      </c>
      <c r="Q267" s="31">
        <f t="shared" si="104"/>
        <v>0</v>
      </c>
      <c r="R267" s="60">
        <f t="shared" si="105"/>
        <v>0</v>
      </c>
      <c r="S267" s="45">
        <f>INDEX(FX!$D$3:$O$19,MATCH(B267,FX!$B$3:$B$32,0),MATCH(D267,FX!$D$2:$O$2,0))</f>
        <v>924</v>
      </c>
      <c r="T267" s="12" t="s">
        <v>144</v>
      </c>
      <c r="U267" s="12" t="s">
        <v>155</v>
      </c>
      <c r="V267" s="12" t="s">
        <v>83</v>
      </c>
      <c r="W267" s="8" t="str">
        <f>VLOOKUP(I267,Map!$F$18:$H$51,3,0)</f>
        <v>Variable</v>
      </c>
      <c r="X267" s="88" t="s">
        <v>172</v>
      </c>
      <c r="Y267" s="107" t="str">
        <f>VLOOKUP(L267,Map!$C$18:$D$29,2,0)</f>
        <v>DMT</v>
      </c>
      <c r="Z267" s="52"/>
      <c r="AA267" s="56">
        <f t="shared" si="106"/>
        <v>0</v>
      </c>
      <c r="AB267" s="56">
        <f t="shared" si="107"/>
        <v>0</v>
      </c>
      <c r="AC267" s="48">
        <f t="shared" si="108"/>
        <v>0</v>
      </c>
      <c r="AD267" s="31">
        <f t="shared" si="109"/>
        <v>0</v>
      </c>
      <c r="AE267" s="60">
        <f t="shared" si="110"/>
        <v>0</v>
      </c>
      <c r="AF267" s="8"/>
    </row>
    <row r="268" spans="2:32" s="37" customFormat="1" hidden="1" x14ac:dyDescent="0.35">
      <c r="B268" s="13">
        <v>2026</v>
      </c>
      <c r="C268" s="13" t="s">
        <v>153</v>
      </c>
      <c r="D268" s="13" t="s">
        <v>80</v>
      </c>
      <c r="E268" s="13" t="s">
        <v>88</v>
      </c>
      <c r="F268" s="13" t="s">
        <v>172</v>
      </c>
      <c r="G268" s="85"/>
      <c r="H268" s="94"/>
      <c r="I268" s="13" t="s">
        <v>175</v>
      </c>
      <c r="J268" s="29" t="str">
        <f>IFERROR(VLOOKUP(I268,Map!$F$18:$G$56,2,0),"Add in Map")</f>
        <v>3P</v>
      </c>
      <c r="K268" s="29" t="str">
        <f>VLOOKUP(L268,Map!$C$18:$D$29,2,0)</f>
        <v>TOTAL</v>
      </c>
      <c r="L268" s="13" t="s">
        <v>56</v>
      </c>
      <c r="M268" s="128">
        <f>SUM(M257:M267)</f>
        <v>2735581.8299562335</v>
      </c>
      <c r="N268" s="57">
        <f t="shared" si="101"/>
        <v>519760.54769168439</v>
      </c>
      <c r="O268" s="57">
        <f t="shared" si="102"/>
        <v>3255342.3776479177</v>
      </c>
      <c r="P268" s="11">
        <f t="shared" si="103"/>
        <v>2960.5863960565298</v>
      </c>
      <c r="Q268" s="11">
        <f t="shared" si="104"/>
        <v>562.5114152507407</v>
      </c>
      <c r="R268" s="61">
        <f t="shared" si="105"/>
        <v>3523.0978113072701</v>
      </c>
      <c r="S268" s="46">
        <f>INDEX(FX!$D$3:$O$19,MATCH(B268,FX!$B$3:$B$32,0),MATCH(D268,FX!$D$2:$O$2,0))</f>
        <v>924</v>
      </c>
      <c r="T268" s="13" t="s">
        <v>144</v>
      </c>
      <c r="U268" s="13" t="s">
        <v>155</v>
      </c>
      <c r="V268" s="13" t="s">
        <v>83</v>
      </c>
      <c r="W268" s="29" t="str">
        <f>VLOOKUP(I268,Map!$F$18:$H$51,3,0)</f>
        <v>Variable</v>
      </c>
      <c r="X268" s="90" t="s">
        <v>172</v>
      </c>
      <c r="Y268" s="109" t="str">
        <f>VLOOKUP(L268,Map!$C$18:$D$29,2,0)</f>
        <v>TOTAL</v>
      </c>
      <c r="Z268" s="53"/>
      <c r="AA268" s="57">
        <f t="shared" si="106"/>
        <v>0</v>
      </c>
      <c r="AB268" s="57">
        <f t="shared" si="107"/>
        <v>0</v>
      </c>
      <c r="AC268" s="11">
        <f t="shared" si="108"/>
        <v>0</v>
      </c>
      <c r="AD268" s="11">
        <f t="shared" si="109"/>
        <v>0</v>
      </c>
      <c r="AE268" s="61">
        <f t="shared" si="110"/>
        <v>0</v>
      </c>
      <c r="AF268" s="87"/>
    </row>
    <row r="269" spans="2:32" s="5" customFormat="1" ht="13" hidden="1" x14ac:dyDescent="0.3">
      <c r="B269" s="114">
        <v>2026</v>
      </c>
      <c r="C269" s="114" t="s">
        <v>154</v>
      </c>
      <c r="D269" s="114" t="s">
        <v>80</v>
      </c>
      <c r="E269" s="114" t="s">
        <v>88</v>
      </c>
      <c r="F269" s="114" t="s">
        <v>172</v>
      </c>
      <c r="G269" s="115"/>
      <c r="H269" s="116"/>
      <c r="I269" s="114" t="s">
        <v>175</v>
      </c>
      <c r="J269" s="117" t="str">
        <f>IFERROR(VLOOKUP(I269,Map!$F$18:$G$56,2,0),"Add in Map")</f>
        <v>3P</v>
      </c>
      <c r="K269" s="117" t="str">
        <f>VLOOKUP(L269,Map!$C$18:$D$29,2,0)</f>
        <v>CNT</v>
      </c>
      <c r="L269" s="114" t="s">
        <v>31</v>
      </c>
      <c r="M269" s="118">
        <v>1503053.3638034689</v>
      </c>
      <c r="N269" s="119">
        <f t="shared" si="101"/>
        <v>0</v>
      </c>
      <c r="O269" s="119">
        <f t="shared" si="102"/>
        <v>1788633.502926128</v>
      </c>
      <c r="P269" s="120">
        <f t="shared" si="103"/>
        <v>1626.6811296574338</v>
      </c>
      <c r="Q269" s="120">
        <f t="shared" si="104"/>
        <v>0</v>
      </c>
      <c r="R269" s="121">
        <f t="shared" si="105"/>
        <v>1935.7505442923461</v>
      </c>
      <c r="S269" s="122">
        <f>INDEX(FX!$D$3:$O$19,MATCH(B269,FX!$B$3:$B$32,0),MATCH(D269,FX!$D$2:$O$2,0))</f>
        <v>924</v>
      </c>
      <c r="T269" s="114" t="s">
        <v>143</v>
      </c>
      <c r="U269" s="114" t="s">
        <v>155</v>
      </c>
      <c r="V269" s="114" t="s">
        <v>83</v>
      </c>
      <c r="W269" s="117" t="str">
        <f>VLOOKUP(I269,Map!$F$18:$H$51,3,0)</f>
        <v>Variable</v>
      </c>
      <c r="X269" s="123" t="s">
        <v>172</v>
      </c>
      <c r="Y269" s="124" t="str">
        <f>VLOOKUP(L269,Map!$C$18:$D$29,2,0)</f>
        <v>CNT</v>
      </c>
      <c r="Z269" s="118"/>
      <c r="AA269" s="119">
        <f t="shared" si="106"/>
        <v>0</v>
      </c>
      <c r="AB269" s="119">
        <f t="shared" si="107"/>
        <v>0</v>
      </c>
      <c r="AC269" s="120">
        <f t="shared" si="108"/>
        <v>0</v>
      </c>
      <c r="AD269" s="120">
        <f t="shared" si="109"/>
        <v>0</v>
      </c>
      <c r="AE269" s="121">
        <f t="shared" si="110"/>
        <v>0</v>
      </c>
      <c r="AF269" s="117"/>
    </row>
    <row r="270" spans="2:32" s="1" customFormat="1" ht="13" hidden="1" x14ac:dyDescent="0.3">
      <c r="B270" s="12">
        <v>2026</v>
      </c>
      <c r="C270" s="12" t="s">
        <v>154</v>
      </c>
      <c r="D270" s="12" t="s">
        <v>80</v>
      </c>
      <c r="E270" s="12" t="s">
        <v>88</v>
      </c>
      <c r="F270" s="12" t="s">
        <v>172</v>
      </c>
      <c r="G270" s="83"/>
      <c r="H270" s="93"/>
      <c r="I270" s="12" t="s">
        <v>175</v>
      </c>
      <c r="J270" s="8" t="str">
        <f>IFERROR(VLOOKUP(I270,Map!$F$18:$G$56,2,0),"Add in Map")</f>
        <v>3P</v>
      </c>
      <c r="K270" s="8" t="str">
        <f>VLOOKUP(L270,Map!$C$18:$D$29,2,0)</f>
        <v>CVT</v>
      </c>
      <c r="L270" s="12" t="s">
        <v>36</v>
      </c>
      <c r="M270" s="52">
        <v>0</v>
      </c>
      <c r="N270" s="56">
        <f t="shared" si="101"/>
        <v>0</v>
      </c>
      <c r="O270" s="56">
        <f t="shared" si="102"/>
        <v>0</v>
      </c>
      <c r="P270" s="31">
        <f t="shared" si="103"/>
        <v>0</v>
      </c>
      <c r="Q270" s="31">
        <f t="shared" si="104"/>
        <v>0</v>
      </c>
      <c r="R270" s="60">
        <f t="shared" si="105"/>
        <v>0</v>
      </c>
      <c r="S270" s="45">
        <f>INDEX(FX!$D$3:$O$19,MATCH(B270,FX!$B$3:$B$32,0),MATCH(D270,FX!$D$2:$O$2,0))</f>
        <v>924</v>
      </c>
      <c r="T270" s="12" t="s">
        <v>143</v>
      </c>
      <c r="U270" s="12" t="s">
        <v>155</v>
      </c>
      <c r="V270" s="12" t="s">
        <v>83</v>
      </c>
      <c r="W270" s="8" t="str">
        <f>VLOOKUP(I270,Map!$F$18:$H$51,3,0)</f>
        <v>Variable</v>
      </c>
      <c r="X270" s="88" t="s">
        <v>172</v>
      </c>
      <c r="Y270" s="107" t="str">
        <f>VLOOKUP(L270,Map!$C$18:$D$29,2,0)</f>
        <v>CVT</v>
      </c>
      <c r="Z270" s="52"/>
      <c r="AA270" s="56">
        <f t="shared" si="106"/>
        <v>0</v>
      </c>
      <c r="AB270" s="56">
        <f t="shared" si="107"/>
        <v>0</v>
      </c>
      <c r="AC270" s="31">
        <f t="shared" si="108"/>
        <v>0</v>
      </c>
      <c r="AD270" s="31">
        <f t="shared" si="109"/>
        <v>0</v>
      </c>
      <c r="AE270" s="60">
        <f t="shared" si="110"/>
        <v>0</v>
      </c>
      <c r="AF270" s="8"/>
    </row>
    <row r="271" spans="2:32" s="1" customFormat="1" ht="13" hidden="1" x14ac:dyDescent="0.3">
      <c r="B271" s="12">
        <v>2026</v>
      </c>
      <c r="C271" s="12" t="s">
        <v>154</v>
      </c>
      <c r="D271" s="12" t="s">
        <v>80</v>
      </c>
      <c r="E271" s="12" t="s">
        <v>88</v>
      </c>
      <c r="F271" s="12" t="s">
        <v>172</v>
      </c>
      <c r="G271" s="83"/>
      <c r="H271" s="93"/>
      <c r="I271" s="12" t="s">
        <v>175</v>
      </c>
      <c r="J271" s="8" t="str">
        <f>IFERROR(VLOOKUP(I271,Map!$F$18:$G$56,2,0),"Add in Map")</f>
        <v>3P</v>
      </c>
      <c r="K271" s="8" t="str">
        <f>VLOOKUP(L271,Map!$C$18:$D$29,2,0)</f>
        <v>CDT</v>
      </c>
      <c r="L271" s="12" t="s">
        <v>38</v>
      </c>
      <c r="M271" s="52">
        <v>0</v>
      </c>
      <c r="N271" s="56">
        <f t="shared" si="101"/>
        <v>0</v>
      </c>
      <c r="O271" s="56">
        <f t="shared" si="102"/>
        <v>0</v>
      </c>
      <c r="P271" s="31">
        <f t="shared" si="103"/>
        <v>0</v>
      </c>
      <c r="Q271" s="31">
        <f t="shared" si="104"/>
        <v>0</v>
      </c>
      <c r="R271" s="60">
        <f t="shared" si="105"/>
        <v>0</v>
      </c>
      <c r="S271" s="45">
        <f>INDEX(FX!$D$3:$O$19,MATCH(B271,FX!$B$3:$B$32,0),MATCH(D271,FX!$D$2:$O$2,0))</f>
        <v>924</v>
      </c>
      <c r="T271" s="12" t="s">
        <v>143</v>
      </c>
      <c r="U271" s="12" t="s">
        <v>155</v>
      </c>
      <c r="V271" s="12" t="s">
        <v>83</v>
      </c>
      <c r="W271" s="8" t="str">
        <f>VLOOKUP(I271,Map!$F$18:$H$51,3,0)</f>
        <v>Variable</v>
      </c>
      <c r="X271" s="88" t="s">
        <v>172</v>
      </c>
      <c r="Y271" s="107" t="str">
        <f>VLOOKUP(L271,Map!$C$18:$D$29,2,0)</f>
        <v>CDT</v>
      </c>
      <c r="Z271" s="52"/>
      <c r="AA271" s="56">
        <f t="shared" si="106"/>
        <v>0</v>
      </c>
      <c r="AB271" s="56">
        <f t="shared" si="107"/>
        <v>0</v>
      </c>
      <c r="AC271" s="31">
        <f t="shared" si="108"/>
        <v>0</v>
      </c>
      <c r="AD271" s="31">
        <f t="shared" si="109"/>
        <v>0</v>
      </c>
      <c r="AE271" s="60">
        <f t="shared" si="110"/>
        <v>0</v>
      </c>
      <c r="AF271" s="8"/>
    </row>
    <row r="272" spans="2:32" s="1" customFormat="1" ht="13" hidden="1" x14ac:dyDescent="0.3">
      <c r="B272" s="12">
        <v>2026</v>
      </c>
      <c r="C272" s="12" t="s">
        <v>154</v>
      </c>
      <c r="D272" s="12" t="s">
        <v>80</v>
      </c>
      <c r="E272" s="12" t="s">
        <v>88</v>
      </c>
      <c r="F272" s="12" t="s">
        <v>172</v>
      </c>
      <c r="G272" s="83"/>
      <c r="H272" s="93"/>
      <c r="I272" s="12" t="s">
        <v>175</v>
      </c>
      <c r="J272" s="8" t="str">
        <f>IFERROR(VLOOKUP(I272,Map!$F$18:$G$56,2,0),"Add in Map")</f>
        <v>3P</v>
      </c>
      <c r="K272" s="8" t="str">
        <f>VLOOKUP(L272,Map!$C$18:$D$29,2,0)</f>
        <v>DFT</v>
      </c>
      <c r="L272" s="12" t="s">
        <v>40</v>
      </c>
      <c r="M272" s="52">
        <v>3211068.549943774</v>
      </c>
      <c r="N272" s="56">
        <f t="shared" si="101"/>
        <v>0</v>
      </c>
      <c r="O272" s="56">
        <f t="shared" si="102"/>
        <v>3821171.5744330911</v>
      </c>
      <c r="P272" s="31">
        <f t="shared" si="103"/>
        <v>3475.1824133590626</v>
      </c>
      <c r="Q272" s="31">
        <f t="shared" si="104"/>
        <v>0</v>
      </c>
      <c r="R272" s="60">
        <f t="shared" si="105"/>
        <v>4135.4670718972839</v>
      </c>
      <c r="S272" s="45">
        <f>INDEX(FX!$D$3:$O$19,MATCH(B272,FX!$B$3:$B$32,0),MATCH(D272,FX!$D$2:$O$2,0))</f>
        <v>924</v>
      </c>
      <c r="T272" s="12" t="s">
        <v>143</v>
      </c>
      <c r="U272" s="12" t="s">
        <v>155</v>
      </c>
      <c r="V272" s="12" t="s">
        <v>83</v>
      </c>
      <c r="W272" s="8" t="str">
        <f>VLOOKUP(I272,Map!$F$18:$H$51,3,0)</f>
        <v>Variable</v>
      </c>
      <c r="X272" s="88" t="s">
        <v>172</v>
      </c>
      <c r="Y272" s="107" t="str">
        <f>VLOOKUP(L272,Map!$C$18:$D$29,2,0)</f>
        <v>DFT</v>
      </c>
      <c r="Z272" s="52"/>
      <c r="AA272" s="56">
        <f t="shared" si="106"/>
        <v>0</v>
      </c>
      <c r="AB272" s="56">
        <f t="shared" si="107"/>
        <v>0</v>
      </c>
      <c r="AC272" s="31">
        <f t="shared" si="108"/>
        <v>0</v>
      </c>
      <c r="AD272" s="31">
        <f t="shared" si="109"/>
        <v>0</v>
      </c>
      <c r="AE272" s="60">
        <f t="shared" si="110"/>
        <v>0</v>
      </c>
      <c r="AF272" s="8"/>
    </row>
    <row r="273" spans="2:32" s="1" customFormat="1" ht="13" hidden="1" x14ac:dyDescent="0.3">
      <c r="B273" s="12">
        <v>2026</v>
      </c>
      <c r="C273" s="12" t="s">
        <v>154</v>
      </c>
      <c r="D273" s="12" t="s">
        <v>80</v>
      </c>
      <c r="E273" s="12" t="s">
        <v>88</v>
      </c>
      <c r="F273" s="12" t="s">
        <v>172</v>
      </c>
      <c r="G273" s="83"/>
      <c r="H273" s="93"/>
      <c r="I273" s="12" t="s">
        <v>175</v>
      </c>
      <c r="J273" s="8" t="str">
        <f>IFERROR(VLOOKUP(I273,Map!$F$18:$G$56,2,0),"Add in Map")</f>
        <v>3P</v>
      </c>
      <c r="K273" s="8" t="str">
        <f>VLOOKUP(L273,Map!$C$18:$D$29,2,0)</f>
        <v>DVT</v>
      </c>
      <c r="L273" s="12" t="s">
        <v>42</v>
      </c>
      <c r="M273" s="52">
        <v>0</v>
      </c>
      <c r="N273" s="56">
        <f t="shared" si="101"/>
        <v>0</v>
      </c>
      <c r="O273" s="56">
        <f t="shared" si="102"/>
        <v>0</v>
      </c>
      <c r="P273" s="31">
        <f t="shared" si="103"/>
        <v>0</v>
      </c>
      <c r="Q273" s="31">
        <f t="shared" si="104"/>
        <v>0</v>
      </c>
      <c r="R273" s="60">
        <f t="shared" si="105"/>
        <v>0</v>
      </c>
      <c r="S273" s="45">
        <f>INDEX(FX!$D$3:$O$19,MATCH(B273,FX!$B$3:$B$32,0),MATCH(D273,FX!$D$2:$O$2,0))</f>
        <v>924</v>
      </c>
      <c r="T273" s="12" t="s">
        <v>143</v>
      </c>
      <c r="U273" s="12" t="s">
        <v>155</v>
      </c>
      <c r="V273" s="12" t="s">
        <v>83</v>
      </c>
      <c r="W273" s="8" t="str">
        <f>VLOOKUP(I273,Map!$F$18:$H$51,3,0)</f>
        <v>Variable</v>
      </c>
      <c r="X273" s="88" t="s">
        <v>172</v>
      </c>
      <c r="Y273" s="107" t="str">
        <f>VLOOKUP(L273,Map!$C$18:$D$29,2,0)</f>
        <v>DVT</v>
      </c>
      <c r="Z273" s="52"/>
      <c r="AA273" s="56">
        <f t="shared" si="106"/>
        <v>0</v>
      </c>
      <c r="AB273" s="56">
        <f t="shared" si="107"/>
        <v>0</v>
      </c>
      <c r="AC273" s="31">
        <f t="shared" si="108"/>
        <v>0</v>
      </c>
      <c r="AD273" s="31">
        <f t="shared" si="109"/>
        <v>0</v>
      </c>
      <c r="AE273" s="60">
        <f t="shared" si="110"/>
        <v>0</v>
      </c>
      <c r="AF273" s="8"/>
    </row>
    <row r="274" spans="2:32" s="1" customFormat="1" ht="13" hidden="1" x14ac:dyDescent="0.3">
      <c r="B274" s="12">
        <v>2026</v>
      </c>
      <c r="C274" s="12" t="s">
        <v>154</v>
      </c>
      <c r="D274" s="12" t="s">
        <v>80</v>
      </c>
      <c r="E274" s="12" t="s">
        <v>88</v>
      </c>
      <c r="F274" s="12" t="s">
        <v>172</v>
      </c>
      <c r="G274" s="83"/>
      <c r="H274" s="93"/>
      <c r="I274" s="12" t="s">
        <v>175</v>
      </c>
      <c r="J274" s="8" t="str">
        <f>IFERROR(VLOOKUP(I274,Map!$F$18:$G$56,2,0),"Add in Map")</f>
        <v>3P</v>
      </c>
      <c r="K274" s="8" t="str">
        <f>VLOOKUP(L274,Map!$C$18:$D$29,2,0)</f>
        <v>GLT</v>
      </c>
      <c r="L274" s="12" t="s">
        <v>44</v>
      </c>
      <c r="M274" s="52">
        <v>1708015.1861403056</v>
      </c>
      <c r="N274" s="56">
        <f t="shared" si="101"/>
        <v>0</v>
      </c>
      <c r="O274" s="56">
        <f t="shared" si="102"/>
        <v>2032538.0715069636</v>
      </c>
      <c r="P274" s="31">
        <f t="shared" si="103"/>
        <v>1848.5012837016295</v>
      </c>
      <c r="Q274" s="31">
        <f t="shared" si="104"/>
        <v>0</v>
      </c>
      <c r="R274" s="60">
        <f t="shared" si="105"/>
        <v>2199.7165276049391</v>
      </c>
      <c r="S274" s="45">
        <f>INDEX(FX!$D$3:$O$19,MATCH(B274,FX!$B$3:$B$32,0),MATCH(D274,FX!$D$2:$O$2,0))</f>
        <v>924</v>
      </c>
      <c r="T274" s="12" t="s">
        <v>143</v>
      </c>
      <c r="U274" s="12" t="s">
        <v>155</v>
      </c>
      <c r="V274" s="12" t="s">
        <v>83</v>
      </c>
      <c r="W274" s="8" t="str">
        <f>VLOOKUP(I274,Map!$F$18:$H$51,3,0)</f>
        <v>Variable</v>
      </c>
      <c r="X274" s="88" t="s">
        <v>172</v>
      </c>
      <c r="Y274" s="107" t="str">
        <f>VLOOKUP(L274,Map!$C$18:$D$29,2,0)</f>
        <v>GLT</v>
      </c>
      <c r="Z274" s="52"/>
      <c r="AA274" s="56">
        <f t="shared" si="106"/>
        <v>0</v>
      </c>
      <c r="AB274" s="56">
        <f t="shared" si="107"/>
        <v>0</v>
      </c>
      <c r="AC274" s="31">
        <f t="shared" si="108"/>
        <v>0</v>
      </c>
      <c r="AD274" s="31">
        <f t="shared" si="109"/>
        <v>0</v>
      </c>
      <c r="AE274" s="60">
        <f t="shared" si="110"/>
        <v>0</v>
      </c>
      <c r="AF274" s="8"/>
    </row>
    <row r="275" spans="2:32" s="1" customFormat="1" ht="13" hidden="1" x14ac:dyDescent="0.3">
      <c r="B275" s="12">
        <v>2026</v>
      </c>
      <c r="C275" s="12" t="s">
        <v>154</v>
      </c>
      <c r="D275" s="12" t="s">
        <v>80</v>
      </c>
      <c r="E275" s="12" t="s">
        <v>88</v>
      </c>
      <c r="F275" s="12" t="s">
        <v>172</v>
      </c>
      <c r="G275" s="83"/>
      <c r="H275" s="93"/>
      <c r="I275" s="12" t="s">
        <v>175</v>
      </c>
      <c r="J275" s="8" t="str">
        <f>IFERROR(VLOOKUP(I275,Map!$F$18:$G$56,2,0),"Add in Map")</f>
        <v>3P</v>
      </c>
      <c r="K275" s="8" t="str">
        <f>VLOOKUP(L275,Map!$C$18:$D$29,2,0)</f>
        <v>PNT</v>
      </c>
      <c r="L275" s="12" t="s">
        <v>46</v>
      </c>
      <c r="M275" s="52">
        <v>0</v>
      </c>
      <c r="N275" s="56">
        <f t="shared" si="101"/>
        <v>0</v>
      </c>
      <c r="O275" s="56">
        <f t="shared" si="102"/>
        <v>0</v>
      </c>
      <c r="P275" s="31">
        <f t="shared" si="103"/>
        <v>0</v>
      </c>
      <c r="Q275" s="31">
        <f t="shared" si="104"/>
        <v>0</v>
      </c>
      <c r="R275" s="60">
        <f t="shared" si="105"/>
        <v>0</v>
      </c>
      <c r="S275" s="45">
        <f>INDEX(FX!$D$3:$O$19,MATCH(B275,FX!$B$3:$B$32,0),MATCH(D275,FX!$D$2:$O$2,0))</f>
        <v>924</v>
      </c>
      <c r="T275" s="12" t="s">
        <v>143</v>
      </c>
      <c r="U275" s="12" t="s">
        <v>155</v>
      </c>
      <c r="V275" s="12" t="s">
        <v>83</v>
      </c>
      <c r="W275" s="8" t="str">
        <f>VLOOKUP(I275,Map!$F$18:$H$51,3,0)</f>
        <v>Variable</v>
      </c>
      <c r="X275" s="88" t="s">
        <v>172</v>
      </c>
      <c r="Y275" s="107" t="str">
        <f>VLOOKUP(L275,Map!$C$18:$D$29,2,0)</f>
        <v>PNT</v>
      </c>
      <c r="Z275" s="52"/>
      <c r="AA275" s="56">
        <f t="shared" si="106"/>
        <v>0</v>
      </c>
      <c r="AB275" s="56">
        <f t="shared" si="107"/>
        <v>0</v>
      </c>
      <c r="AC275" s="31">
        <f t="shared" si="108"/>
        <v>0</v>
      </c>
      <c r="AD275" s="31">
        <f t="shared" si="109"/>
        <v>0</v>
      </c>
      <c r="AE275" s="60">
        <f t="shared" si="110"/>
        <v>0</v>
      </c>
      <c r="AF275" s="8"/>
    </row>
    <row r="276" spans="2:32" s="1" customFormat="1" ht="13" hidden="1" x14ac:dyDescent="0.3">
      <c r="B276" s="12">
        <v>2026</v>
      </c>
      <c r="C276" s="12" t="s">
        <v>154</v>
      </c>
      <c r="D276" s="12" t="s">
        <v>80</v>
      </c>
      <c r="E276" s="12" t="s">
        <v>88</v>
      </c>
      <c r="F276" s="12" t="s">
        <v>172</v>
      </c>
      <c r="G276" s="83"/>
      <c r="H276" s="93"/>
      <c r="I276" s="12" t="s">
        <v>175</v>
      </c>
      <c r="J276" s="8" t="str">
        <f>IFERROR(VLOOKUP(I276,Map!$F$18:$G$56,2,0),"Add in Map")</f>
        <v>3P</v>
      </c>
      <c r="K276" s="8" t="str">
        <f>VLOOKUP(L276,Map!$C$18:$D$29,2,0)</f>
        <v>GTT</v>
      </c>
      <c r="L276" s="12" t="s">
        <v>48</v>
      </c>
      <c r="M276" s="52">
        <v>136641.21489122443</v>
      </c>
      <c r="N276" s="56">
        <f t="shared" si="101"/>
        <v>0</v>
      </c>
      <c r="O276" s="56">
        <f t="shared" si="102"/>
        <v>162603.04572055707</v>
      </c>
      <c r="P276" s="31">
        <f t="shared" si="103"/>
        <v>147.88010269613034</v>
      </c>
      <c r="Q276" s="31">
        <f t="shared" si="104"/>
        <v>0</v>
      </c>
      <c r="R276" s="60">
        <f t="shared" si="105"/>
        <v>175.97732220839509</v>
      </c>
      <c r="S276" s="45">
        <f>INDEX(FX!$D$3:$O$19,MATCH(B276,FX!$B$3:$B$32,0),MATCH(D276,FX!$D$2:$O$2,0))</f>
        <v>924</v>
      </c>
      <c r="T276" s="12" t="s">
        <v>143</v>
      </c>
      <c r="U276" s="12" t="s">
        <v>155</v>
      </c>
      <c r="V276" s="12" t="s">
        <v>83</v>
      </c>
      <c r="W276" s="8" t="str">
        <f>VLOOKUP(I276,Map!$F$18:$H$51,3,0)</f>
        <v>Variable</v>
      </c>
      <c r="X276" s="88" t="s">
        <v>172</v>
      </c>
      <c r="Y276" s="107" t="str">
        <f>VLOOKUP(L276,Map!$C$18:$D$29,2,0)</f>
        <v>GTT</v>
      </c>
      <c r="Z276" s="52"/>
      <c r="AA276" s="56">
        <f t="shared" si="106"/>
        <v>0</v>
      </c>
      <c r="AB276" s="56">
        <f t="shared" si="107"/>
        <v>0</v>
      </c>
      <c r="AC276" s="31">
        <f t="shared" si="108"/>
        <v>0</v>
      </c>
      <c r="AD276" s="31">
        <f t="shared" si="109"/>
        <v>0</v>
      </c>
      <c r="AE276" s="60">
        <f t="shared" si="110"/>
        <v>0</v>
      </c>
      <c r="AF276" s="8"/>
    </row>
    <row r="277" spans="2:32" s="1" customFormat="1" ht="13" hidden="1" x14ac:dyDescent="0.3">
      <c r="B277" s="12">
        <v>2026</v>
      </c>
      <c r="C277" s="12" t="s">
        <v>154</v>
      </c>
      <c r="D277" s="12" t="s">
        <v>80</v>
      </c>
      <c r="E277" s="12" t="s">
        <v>88</v>
      </c>
      <c r="F277" s="12" t="s">
        <v>172</v>
      </c>
      <c r="G277" s="83"/>
      <c r="H277" s="93"/>
      <c r="I277" s="12" t="s">
        <v>175</v>
      </c>
      <c r="J277" s="8" t="str">
        <f>IFERROR(VLOOKUP(I277,Map!$F$18:$G$56,2,0),"Add in Map")</f>
        <v>3P</v>
      </c>
      <c r="K277" s="8" t="str">
        <f>VLOOKUP(L277,Map!$C$18:$D$29,2,0)</f>
        <v>DGT</v>
      </c>
      <c r="L277" s="12" t="s">
        <v>50</v>
      </c>
      <c r="M277" s="52">
        <v>0</v>
      </c>
      <c r="N277" s="56">
        <f t="shared" si="101"/>
        <v>0</v>
      </c>
      <c r="O277" s="56">
        <f t="shared" si="102"/>
        <v>0</v>
      </c>
      <c r="P277" s="31">
        <f t="shared" si="103"/>
        <v>0</v>
      </c>
      <c r="Q277" s="31">
        <f t="shared" si="104"/>
        <v>0</v>
      </c>
      <c r="R277" s="60">
        <f t="shared" si="105"/>
        <v>0</v>
      </c>
      <c r="S277" s="45">
        <f>INDEX(FX!$D$3:$O$19,MATCH(B277,FX!$B$3:$B$32,0),MATCH(D277,FX!$D$2:$O$2,0))</f>
        <v>924</v>
      </c>
      <c r="T277" s="12" t="s">
        <v>143</v>
      </c>
      <c r="U277" s="12" t="s">
        <v>155</v>
      </c>
      <c r="V277" s="12" t="s">
        <v>83</v>
      </c>
      <c r="W277" s="8" t="str">
        <f>VLOOKUP(I277,Map!$F$18:$H$51,3,0)</f>
        <v>Variable</v>
      </c>
      <c r="X277" s="88" t="s">
        <v>172</v>
      </c>
      <c r="Y277" s="107" t="str">
        <f>VLOOKUP(L277,Map!$C$18:$D$29,2,0)</f>
        <v>DGT</v>
      </c>
      <c r="Z277" s="52"/>
      <c r="AA277" s="56">
        <f t="shared" si="106"/>
        <v>0</v>
      </c>
      <c r="AB277" s="56">
        <f t="shared" si="107"/>
        <v>0</v>
      </c>
      <c r="AC277" s="31">
        <f t="shared" si="108"/>
        <v>0</v>
      </c>
      <c r="AD277" s="31">
        <f t="shared" si="109"/>
        <v>0</v>
      </c>
      <c r="AE277" s="60">
        <f t="shared" si="110"/>
        <v>0</v>
      </c>
      <c r="AF277" s="8"/>
    </row>
    <row r="278" spans="2:32" s="1" customFormat="1" ht="13" hidden="1" x14ac:dyDescent="0.3">
      <c r="B278" s="12">
        <v>2026</v>
      </c>
      <c r="C278" s="12" t="s">
        <v>154</v>
      </c>
      <c r="D278" s="12" t="s">
        <v>80</v>
      </c>
      <c r="E278" s="12" t="s">
        <v>88</v>
      </c>
      <c r="F278" s="12" t="s">
        <v>172</v>
      </c>
      <c r="G278" s="83"/>
      <c r="H278" s="93"/>
      <c r="I278" s="12" t="s">
        <v>175</v>
      </c>
      <c r="J278" s="8" t="str">
        <f>IFERROR(VLOOKUP(I278,Map!$F$18:$G$56,2,0),"Add in Map")</f>
        <v>3P</v>
      </c>
      <c r="K278" s="8" t="str">
        <f>VLOOKUP(L278,Map!$C$18:$D$29,2,0)</f>
        <v>DLT</v>
      </c>
      <c r="L278" s="12" t="s">
        <v>52</v>
      </c>
      <c r="M278" s="52"/>
      <c r="N278" s="56">
        <f t="shared" si="101"/>
        <v>0</v>
      </c>
      <c r="O278" s="56">
        <f t="shared" si="102"/>
        <v>0</v>
      </c>
      <c r="P278" s="31">
        <f t="shared" si="103"/>
        <v>0</v>
      </c>
      <c r="Q278" s="31">
        <f t="shared" si="104"/>
        <v>0</v>
      </c>
      <c r="R278" s="60">
        <f t="shared" si="105"/>
        <v>0</v>
      </c>
      <c r="S278" s="45">
        <f>INDEX(FX!$D$3:$O$19,MATCH(B278,FX!$B$3:$B$32,0),MATCH(D278,FX!$D$2:$O$2,0))</f>
        <v>924</v>
      </c>
      <c r="T278" s="12" t="s">
        <v>143</v>
      </c>
      <c r="U278" s="12" t="s">
        <v>155</v>
      </c>
      <c r="V278" s="12" t="s">
        <v>83</v>
      </c>
      <c r="W278" s="8" t="str">
        <f>VLOOKUP(I278,Map!$F$18:$H$51,3,0)</f>
        <v>Variable</v>
      </c>
      <c r="X278" s="88" t="s">
        <v>172</v>
      </c>
      <c r="Y278" s="107" t="str">
        <f>VLOOKUP(L278,Map!$C$18:$D$29,2,0)</f>
        <v>DLT</v>
      </c>
      <c r="Z278" s="52"/>
      <c r="AA278" s="56">
        <f t="shared" si="106"/>
        <v>0</v>
      </c>
      <c r="AB278" s="56">
        <f t="shared" si="107"/>
        <v>0</v>
      </c>
      <c r="AC278" s="31">
        <f t="shared" si="108"/>
        <v>0</v>
      </c>
      <c r="AD278" s="31">
        <f t="shared" si="109"/>
        <v>0</v>
      </c>
      <c r="AE278" s="60">
        <f t="shared" si="110"/>
        <v>0</v>
      </c>
      <c r="AF278" s="8"/>
    </row>
    <row r="279" spans="2:32" s="1" customFormat="1" ht="13" hidden="1" x14ac:dyDescent="0.3">
      <c r="B279" s="12">
        <v>2026</v>
      </c>
      <c r="C279" s="12" t="s">
        <v>154</v>
      </c>
      <c r="D279" s="12" t="s">
        <v>80</v>
      </c>
      <c r="E279" s="12" t="s">
        <v>88</v>
      </c>
      <c r="F279" s="12" t="s">
        <v>172</v>
      </c>
      <c r="G279" s="83"/>
      <c r="H279" s="93"/>
      <c r="I279" s="12" t="s">
        <v>175</v>
      </c>
      <c r="J279" s="8" t="str">
        <f>IFERROR(VLOOKUP(I279,Map!$F$18:$G$56,2,0),"Add in Map")</f>
        <v>3P</v>
      </c>
      <c r="K279" s="8" t="str">
        <f>VLOOKUP(L279,Map!$C$18:$D$29,2,0)</f>
        <v>DMT</v>
      </c>
      <c r="L279" s="12" t="s">
        <v>54</v>
      </c>
      <c r="M279" s="52"/>
      <c r="N279" s="56">
        <f t="shared" si="101"/>
        <v>0</v>
      </c>
      <c r="O279" s="56">
        <f t="shared" si="102"/>
        <v>0</v>
      </c>
      <c r="P279" s="48">
        <f t="shared" si="103"/>
        <v>0</v>
      </c>
      <c r="Q279" s="31">
        <f t="shared" si="104"/>
        <v>0</v>
      </c>
      <c r="R279" s="60">
        <f t="shared" si="105"/>
        <v>0</v>
      </c>
      <c r="S279" s="45">
        <f>INDEX(FX!$D$3:$O$19,MATCH(B279,FX!$B$3:$B$32,0),MATCH(D279,FX!$D$2:$O$2,0))</f>
        <v>924</v>
      </c>
      <c r="T279" s="12" t="s">
        <v>143</v>
      </c>
      <c r="U279" s="12" t="s">
        <v>155</v>
      </c>
      <c r="V279" s="12" t="s">
        <v>83</v>
      </c>
      <c r="W279" s="8" t="str">
        <f>VLOOKUP(I279,Map!$F$18:$H$51,3,0)</f>
        <v>Variable</v>
      </c>
      <c r="X279" s="88" t="s">
        <v>172</v>
      </c>
      <c r="Y279" s="107" t="str">
        <f>VLOOKUP(L279,Map!$C$18:$D$29,2,0)</f>
        <v>DMT</v>
      </c>
      <c r="Z279" s="52"/>
      <c r="AA279" s="56">
        <f t="shared" si="106"/>
        <v>0</v>
      </c>
      <c r="AB279" s="56">
        <f t="shared" si="107"/>
        <v>0</v>
      </c>
      <c r="AC279" s="48">
        <f t="shared" si="108"/>
        <v>0</v>
      </c>
      <c r="AD279" s="31">
        <f t="shared" si="109"/>
        <v>0</v>
      </c>
      <c r="AE279" s="60">
        <f t="shared" si="110"/>
        <v>0</v>
      </c>
      <c r="AF279" s="8"/>
    </row>
    <row r="280" spans="2:32" s="37" customFormat="1" hidden="1" x14ac:dyDescent="0.35">
      <c r="B280" s="13">
        <v>2026</v>
      </c>
      <c r="C280" s="13" t="s">
        <v>154</v>
      </c>
      <c r="D280" s="13" t="s">
        <v>80</v>
      </c>
      <c r="E280" s="13" t="s">
        <v>88</v>
      </c>
      <c r="F280" s="13" t="s">
        <v>172</v>
      </c>
      <c r="G280" s="85"/>
      <c r="H280" s="94"/>
      <c r="I280" s="13" t="s">
        <v>175</v>
      </c>
      <c r="J280" s="29" t="str">
        <f>IFERROR(VLOOKUP(I280,Map!$F$18:$G$56,2,0),"Add in Map")</f>
        <v>3P</v>
      </c>
      <c r="K280" s="29" t="str">
        <f>VLOOKUP(L280,Map!$C$18:$D$29,2,0)</f>
        <v>TOTAL</v>
      </c>
      <c r="L280" s="13" t="s">
        <v>56</v>
      </c>
      <c r="M280" s="128">
        <f>SUM(M269:M279)</f>
        <v>6558778.3147787722</v>
      </c>
      <c r="N280" s="57">
        <f t="shared" si="101"/>
        <v>1246167.8798079668</v>
      </c>
      <c r="O280" s="57">
        <f t="shared" si="102"/>
        <v>7804946.1945867389</v>
      </c>
      <c r="P280" s="11">
        <f t="shared" si="103"/>
        <v>7098.2449294142552</v>
      </c>
      <c r="Q280" s="11">
        <f t="shared" si="104"/>
        <v>1348.6665365887086</v>
      </c>
      <c r="R280" s="61">
        <f t="shared" si="105"/>
        <v>8446.9114660029627</v>
      </c>
      <c r="S280" s="46">
        <f>INDEX(FX!$D$3:$O$19,MATCH(B280,FX!$B$3:$B$32,0),MATCH(D280,FX!$D$2:$O$2,0))</f>
        <v>924</v>
      </c>
      <c r="T280" s="13" t="s">
        <v>143</v>
      </c>
      <c r="U280" s="13" t="s">
        <v>155</v>
      </c>
      <c r="V280" s="13" t="s">
        <v>83</v>
      </c>
      <c r="W280" s="29" t="str">
        <f>VLOOKUP(I280,Map!$F$18:$H$51,3,0)</f>
        <v>Variable</v>
      </c>
      <c r="X280" s="90" t="s">
        <v>172</v>
      </c>
      <c r="Y280" s="109" t="str">
        <f>VLOOKUP(L280,Map!$C$18:$D$29,2,0)</f>
        <v>TOTAL</v>
      </c>
      <c r="Z280" s="53"/>
      <c r="AA280" s="57">
        <f t="shared" si="106"/>
        <v>0</v>
      </c>
      <c r="AB280" s="57">
        <f t="shared" si="107"/>
        <v>0</v>
      </c>
      <c r="AC280" s="11">
        <f t="shared" si="108"/>
        <v>0</v>
      </c>
      <c r="AD280" s="11">
        <f t="shared" si="109"/>
        <v>0</v>
      </c>
      <c r="AE280" s="61">
        <f t="shared" si="110"/>
        <v>0</v>
      </c>
      <c r="AF280" s="87"/>
    </row>
    <row r="281" spans="2:32" s="5" customFormat="1" ht="13" hidden="1" x14ac:dyDescent="0.3">
      <c r="B281" s="114">
        <v>2026</v>
      </c>
      <c r="C281" s="114" t="s">
        <v>158</v>
      </c>
      <c r="D281" s="114" t="s">
        <v>159</v>
      </c>
      <c r="E281" s="114" t="s">
        <v>88</v>
      </c>
      <c r="F281" s="114" t="s">
        <v>80</v>
      </c>
      <c r="G281" s="115">
        <v>46177</v>
      </c>
      <c r="H281" s="116">
        <v>3721</v>
      </c>
      <c r="I281" s="114" t="s">
        <v>175</v>
      </c>
      <c r="J281" s="117" t="str">
        <f>IFERROR(VLOOKUP(I281,Map!$F$18:$G$56,2,0),"Add in Map")</f>
        <v>3P</v>
      </c>
      <c r="K281" s="117" t="str">
        <f>VLOOKUP(L281,Map!$C$18:$D$29,2,0)</f>
        <v>CNT</v>
      </c>
      <c r="L281" s="114" t="s">
        <v>31</v>
      </c>
      <c r="M281" s="118">
        <v>414117.40075180947</v>
      </c>
      <c r="N281" s="119">
        <f t="shared" si="101"/>
        <v>0</v>
      </c>
      <c r="O281" s="119">
        <f t="shared" si="102"/>
        <v>492799.70689465327</v>
      </c>
      <c r="P281" s="120">
        <f t="shared" si="103"/>
        <v>464.77822755534174</v>
      </c>
      <c r="Q281" s="120">
        <f t="shared" si="104"/>
        <v>0</v>
      </c>
      <c r="R281" s="121">
        <f t="shared" si="105"/>
        <v>553.0860907908567</v>
      </c>
      <c r="S281" s="122">
        <f>INDEX(FX!$D$3:$O$19,MATCH(B281,FX!$B$3:$B$32,0),MATCH(D281,FX!$D$2:$O$2,0))</f>
        <v>891</v>
      </c>
      <c r="T281" s="114" t="s">
        <v>143</v>
      </c>
      <c r="U281" s="114" t="s">
        <v>155</v>
      </c>
      <c r="V281" s="114" t="s">
        <v>83</v>
      </c>
      <c r="W281" s="117" t="str">
        <f>VLOOKUP(I281,Map!$F$18:$H$51,3,0)</f>
        <v>Variable</v>
      </c>
      <c r="X281" s="123" t="s">
        <v>149</v>
      </c>
      <c r="Y281" s="124" t="str">
        <f>VLOOKUP(L281,Map!$C$18:$D$29,2,0)</f>
        <v>CNT</v>
      </c>
      <c r="Z281" s="118"/>
      <c r="AA281" s="119">
        <f t="shared" si="106"/>
        <v>0</v>
      </c>
      <c r="AB281" s="119">
        <f t="shared" si="107"/>
        <v>0</v>
      </c>
      <c r="AC281" s="120">
        <f t="shared" si="108"/>
        <v>0</v>
      </c>
      <c r="AD281" s="120">
        <f t="shared" si="109"/>
        <v>0</v>
      </c>
      <c r="AE281" s="121">
        <f t="shared" si="110"/>
        <v>0</v>
      </c>
      <c r="AF281" s="117"/>
    </row>
    <row r="282" spans="2:32" s="1" customFormat="1" ht="13" hidden="1" x14ac:dyDescent="0.3">
      <c r="B282" s="12">
        <v>2026</v>
      </c>
      <c r="C282" s="12" t="s">
        <v>158</v>
      </c>
      <c r="D282" s="12" t="s">
        <v>159</v>
      </c>
      <c r="E282" s="12" t="s">
        <v>88</v>
      </c>
      <c r="F282" s="12" t="s">
        <v>80</v>
      </c>
      <c r="G282" s="83">
        <v>46177</v>
      </c>
      <c r="H282" s="93">
        <v>3721</v>
      </c>
      <c r="I282" s="12" t="s">
        <v>175</v>
      </c>
      <c r="J282" s="8" t="str">
        <f>IFERROR(VLOOKUP(I282,Map!$F$18:$G$56,2,0),"Add in Map")</f>
        <v>3P</v>
      </c>
      <c r="K282" s="8" t="str">
        <f>VLOOKUP(L282,Map!$C$18:$D$29,2,0)</f>
        <v>CVT</v>
      </c>
      <c r="L282" s="12" t="s">
        <v>36</v>
      </c>
      <c r="M282" s="52">
        <v>0</v>
      </c>
      <c r="N282" s="56">
        <f t="shared" si="101"/>
        <v>0</v>
      </c>
      <c r="O282" s="56">
        <f t="shared" si="102"/>
        <v>0</v>
      </c>
      <c r="P282" s="31">
        <f t="shared" si="103"/>
        <v>0</v>
      </c>
      <c r="Q282" s="31">
        <f t="shared" si="104"/>
        <v>0</v>
      </c>
      <c r="R282" s="60">
        <f t="shared" si="105"/>
        <v>0</v>
      </c>
      <c r="S282" s="45">
        <f>INDEX(FX!$D$3:$O$19,MATCH(B282,FX!$B$3:$B$32,0),MATCH(D282,FX!$D$2:$O$2,0))</f>
        <v>891</v>
      </c>
      <c r="T282" s="12" t="s">
        <v>143</v>
      </c>
      <c r="U282" s="12" t="s">
        <v>155</v>
      </c>
      <c r="V282" s="12" t="s">
        <v>83</v>
      </c>
      <c r="W282" s="8" t="str">
        <f>VLOOKUP(I282,Map!$F$18:$H$51,3,0)</f>
        <v>Variable</v>
      </c>
      <c r="X282" s="88" t="s">
        <v>149</v>
      </c>
      <c r="Y282" s="107" t="str">
        <f>VLOOKUP(L282,Map!$C$18:$D$29,2,0)</f>
        <v>CVT</v>
      </c>
      <c r="Z282" s="52"/>
      <c r="AA282" s="56">
        <f t="shared" si="106"/>
        <v>0</v>
      </c>
      <c r="AB282" s="56">
        <f t="shared" si="107"/>
        <v>0</v>
      </c>
      <c r="AC282" s="31">
        <f t="shared" si="108"/>
        <v>0</v>
      </c>
      <c r="AD282" s="31">
        <f t="shared" si="109"/>
        <v>0</v>
      </c>
      <c r="AE282" s="60">
        <f t="shared" si="110"/>
        <v>0</v>
      </c>
      <c r="AF282" s="8"/>
    </row>
    <row r="283" spans="2:32" s="1" customFormat="1" ht="13" hidden="1" x14ac:dyDescent="0.3">
      <c r="B283" s="12">
        <v>2026</v>
      </c>
      <c r="C283" s="12" t="s">
        <v>158</v>
      </c>
      <c r="D283" s="12" t="s">
        <v>159</v>
      </c>
      <c r="E283" s="12" t="s">
        <v>88</v>
      </c>
      <c r="F283" s="12" t="s">
        <v>80</v>
      </c>
      <c r="G283" s="83">
        <v>46177</v>
      </c>
      <c r="H283" s="93">
        <v>3721</v>
      </c>
      <c r="I283" s="12" t="s">
        <v>175</v>
      </c>
      <c r="J283" s="8" t="str">
        <f>IFERROR(VLOOKUP(I283,Map!$F$18:$G$56,2,0),"Add in Map")</f>
        <v>3P</v>
      </c>
      <c r="K283" s="8" t="str">
        <f>VLOOKUP(L283,Map!$C$18:$D$29,2,0)</f>
        <v>CDT</v>
      </c>
      <c r="L283" s="12" t="s">
        <v>38</v>
      </c>
      <c r="M283" s="52">
        <v>0</v>
      </c>
      <c r="N283" s="56">
        <f t="shared" si="101"/>
        <v>0</v>
      </c>
      <c r="O283" s="56">
        <f t="shared" si="102"/>
        <v>0</v>
      </c>
      <c r="P283" s="31">
        <f t="shared" si="103"/>
        <v>0</v>
      </c>
      <c r="Q283" s="31">
        <f t="shared" si="104"/>
        <v>0</v>
      </c>
      <c r="R283" s="60">
        <f t="shared" si="105"/>
        <v>0</v>
      </c>
      <c r="S283" s="45">
        <f>INDEX(FX!$D$3:$O$19,MATCH(B283,FX!$B$3:$B$32,0),MATCH(D283,FX!$D$2:$O$2,0))</f>
        <v>891</v>
      </c>
      <c r="T283" s="12" t="s">
        <v>143</v>
      </c>
      <c r="U283" s="12" t="s">
        <v>155</v>
      </c>
      <c r="V283" s="12" t="s">
        <v>83</v>
      </c>
      <c r="W283" s="8" t="str">
        <f>VLOOKUP(I283,Map!$F$18:$H$51,3,0)</f>
        <v>Variable</v>
      </c>
      <c r="X283" s="88" t="s">
        <v>149</v>
      </c>
      <c r="Y283" s="107" t="str">
        <f>VLOOKUP(L283,Map!$C$18:$D$29,2,0)</f>
        <v>CDT</v>
      </c>
      <c r="Z283" s="52"/>
      <c r="AA283" s="56">
        <f t="shared" si="106"/>
        <v>0</v>
      </c>
      <c r="AB283" s="56">
        <f t="shared" si="107"/>
        <v>0</v>
      </c>
      <c r="AC283" s="31">
        <f t="shared" si="108"/>
        <v>0</v>
      </c>
      <c r="AD283" s="31">
        <f t="shared" si="109"/>
        <v>0</v>
      </c>
      <c r="AE283" s="60">
        <f t="shared" si="110"/>
        <v>0</v>
      </c>
      <c r="AF283" s="8"/>
    </row>
    <row r="284" spans="2:32" s="1" customFormat="1" ht="13" hidden="1" x14ac:dyDescent="0.3">
      <c r="B284" s="12">
        <v>2026</v>
      </c>
      <c r="C284" s="12" t="s">
        <v>158</v>
      </c>
      <c r="D284" s="12" t="s">
        <v>159</v>
      </c>
      <c r="E284" s="12" t="s">
        <v>88</v>
      </c>
      <c r="F284" s="12" t="s">
        <v>80</v>
      </c>
      <c r="G284" s="83">
        <v>46177</v>
      </c>
      <c r="H284" s="93">
        <v>3721</v>
      </c>
      <c r="I284" s="12" t="s">
        <v>175</v>
      </c>
      <c r="J284" s="8" t="str">
        <f>IFERROR(VLOOKUP(I284,Map!$F$18:$G$56,2,0),"Add in Map")</f>
        <v>3P</v>
      </c>
      <c r="K284" s="8" t="str">
        <f>VLOOKUP(L284,Map!$C$18:$D$29,2,0)</f>
        <v>DFT</v>
      </c>
      <c r="L284" s="12" t="s">
        <v>40</v>
      </c>
      <c r="M284" s="52">
        <v>490365.70400647318</v>
      </c>
      <c r="N284" s="56">
        <f t="shared" si="101"/>
        <v>0</v>
      </c>
      <c r="O284" s="56">
        <f t="shared" si="102"/>
        <v>583535.18776770309</v>
      </c>
      <c r="P284" s="31">
        <f t="shared" si="103"/>
        <v>550.35432548425717</v>
      </c>
      <c r="Q284" s="31">
        <f t="shared" si="104"/>
        <v>0</v>
      </c>
      <c r="R284" s="60">
        <f t="shared" si="105"/>
        <v>654.921647326266</v>
      </c>
      <c r="S284" s="45">
        <f>INDEX(FX!$D$3:$O$19,MATCH(B284,FX!$B$3:$B$32,0),MATCH(D284,FX!$D$2:$O$2,0))</f>
        <v>891</v>
      </c>
      <c r="T284" s="12" t="s">
        <v>143</v>
      </c>
      <c r="U284" s="12" t="s">
        <v>155</v>
      </c>
      <c r="V284" s="12" t="s">
        <v>83</v>
      </c>
      <c r="W284" s="8" t="str">
        <f>VLOOKUP(I284,Map!$F$18:$H$51,3,0)</f>
        <v>Variable</v>
      </c>
      <c r="X284" s="88" t="s">
        <v>149</v>
      </c>
      <c r="Y284" s="107" t="str">
        <f>VLOOKUP(L284,Map!$C$18:$D$29,2,0)</f>
        <v>DFT</v>
      </c>
      <c r="Z284" s="52"/>
      <c r="AA284" s="56">
        <f t="shared" si="106"/>
        <v>0</v>
      </c>
      <c r="AB284" s="56">
        <f t="shared" si="107"/>
        <v>0</v>
      </c>
      <c r="AC284" s="31">
        <f t="shared" si="108"/>
        <v>0</v>
      </c>
      <c r="AD284" s="31">
        <f t="shared" si="109"/>
        <v>0</v>
      </c>
      <c r="AE284" s="60">
        <f t="shared" si="110"/>
        <v>0</v>
      </c>
      <c r="AF284" s="8"/>
    </row>
    <row r="285" spans="2:32" s="1" customFormat="1" ht="13" hidden="1" x14ac:dyDescent="0.3">
      <c r="B285" s="12">
        <v>2026</v>
      </c>
      <c r="C285" s="12" t="s">
        <v>158</v>
      </c>
      <c r="D285" s="12" t="s">
        <v>159</v>
      </c>
      <c r="E285" s="12" t="s">
        <v>88</v>
      </c>
      <c r="F285" s="12" t="s">
        <v>80</v>
      </c>
      <c r="G285" s="83">
        <v>46177</v>
      </c>
      <c r="H285" s="93">
        <v>3721</v>
      </c>
      <c r="I285" s="12" t="s">
        <v>175</v>
      </c>
      <c r="J285" s="8" t="str">
        <f>IFERROR(VLOOKUP(I285,Map!$F$18:$G$56,2,0),"Add in Map")</f>
        <v>3P</v>
      </c>
      <c r="K285" s="8" t="str">
        <f>VLOOKUP(L285,Map!$C$18:$D$29,2,0)</f>
        <v>DVT</v>
      </c>
      <c r="L285" s="12" t="s">
        <v>42</v>
      </c>
      <c r="M285" s="52">
        <v>0</v>
      </c>
      <c r="N285" s="56">
        <f t="shared" si="101"/>
        <v>0</v>
      </c>
      <c r="O285" s="56">
        <f t="shared" si="102"/>
        <v>0</v>
      </c>
      <c r="P285" s="31">
        <f t="shared" si="103"/>
        <v>0</v>
      </c>
      <c r="Q285" s="31">
        <f t="shared" si="104"/>
        <v>0</v>
      </c>
      <c r="R285" s="60">
        <f t="shared" si="105"/>
        <v>0</v>
      </c>
      <c r="S285" s="45">
        <f>INDEX(FX!$D$3:$O$19,MATCH(B285,FX!$B$3:$B$32,0),MATCH(D285,FX!$D$2:$O$2,0))</f>
        <v>891</v>
      </c>
      <c r="T285" s="12" t="s">
        <v>143</v>
      </c>
      <c r="U285" s="12" t="s">
        <v>155</v>
      </c>
      <c r="V285" s="12" t="s">
        <v>83</v>
      </c>
      <c r="W285" s="8" t="str">
        <f>VLOOKUP(I285,Map!$F$18:$H$51,3,0)</f>
        <v>Variable</v>
      </c>
      <c r="X285" s="88" t="s">
        <v>149</v>
      </c>
      <c r="Y285" s="107" t="str">
        <f>VLOOKUP(L285,Map!$C$18:$D$29,2,0)</f>
        <v>DVT</v>
      </c>
      <c r="Z285" s="52"/>
      <c r="AA285" s="56">
        <f t="shared" si="106"/>
        <v>0</v>
      </c>
      <c r="AB285" s="56">
        <f t="shared" si="107"/>
        <v>0</v>
      </c>
      <c r="AC285" s="31">
        <f t="shared" si="108"/>
        <v>0</v>
      </c>
      <c r="AD285" s="31">
        <f t="shared" si="109"/>
        <v>0</v>
      </c>
      <c r="AE285" s="60">
        <f t="shared" si="110"/>
        <v>0</v>
      </c>
      <c r="AF285" s="8"/>
    </row>
    <row r="286" spans="2:32" s="1" customFormat="1" ht="13" hidden="1" x14ac:dyDescent="0.3">
      <c r="B286" s="12">
        <v>2026</v>
      </c>
      <c r="C286" s="12" t="s">
        <v>158</v>
      </c>
      <c r="D286" s="12" t="s">
        <v>159</v>
      </c>
      <c r="E286" s="12" t="s">
        <v>88</v>
      </c>
      <c r="F286" s="12" t="s">
        <v>80</v>
      </c>
      <c r="G286" s="83">
        <v>46177</v>
      </c>
      <c r="H286" s="93">
        <v>3721</v>
      </c>
      <c r="I286" s="12" t="s">
        <v>175</v>
      </c>
      <c r="J286" s="8" t="str">
        <f>IFERROR(VLOOKUP(I286,Map!$F$18:$G$56,2,0),"Add in Map")</f>
        <v>3P</v>
      </c>
      <c r="K286" s="8" t="str">
        <f>VLOOKUP(L286,Map!$C$18:$D$29,2,0)</f>
        <v>GLT</v>
      </c>
      <c r="L286" s="12" t="s">
        <v>44</v>
      </c>
      <c r="M286" s="52">
        <v>86109.895241717342</v>
      </c>
      <c r="N286" s="56">
        <f t="shared" si="101"/>
        <v>0</v>
      </c>
      <c r="O286" s="56">
        <f t="shared" si="102"/>
        <v>102470.77533764363</v>
      </c>
      <c r="P286" s="31">
        <f t="shared" si="103"/>
        <v>96.644102403723167</v>
      </c>
      <c r="Q286" s="31">
        <f t="shared" si="104"/>
        <v>0</v>
      </c>
      <c r="R286" s="60">
        <f t="shared" si="105"/>
        <v>115.00648186043057</v>
      </c>
      <c r="S286" s="45">
        <f>INDEX(FX!$D$3:$O$19,MATCH(B286,FX!$B$3:$B$32,0),MATCH(D286,FX!$D$2:$O$2,0))</f>
        <v>891</v>
      </c>
      <c r="T286" s="12" t="s">
        <v>143</v>
      </c>
      <c r="U286" s="12" t="s">
        <v>155</v>
      </c>
      <c r="V286" s="12" t="s">
        <v>83</v>
      </c>
      <c r="W286" s="8" t="str">
        <f>VLOOKUP(I286,Map!$F$18:$H$51,3,0)</f>
        <v>Variable</v>
      </c>
      <c r="X286" s="88" t="s">
        <v>149</v>
      </c>
      <c r="Y286" s="107" t="str">
        <f>VLOOKUP(L286,Map!$C$18:$D$29,2,0)</f>
        <v>GLT</v>
      </c>
      <c r="Z286" s="52"/>
      <c r="AA286" s="56">
        <f t="shared" si="106"/>
        <v>0</v>
      </c>
      <c r="AB286" s="56">
        <f t="shared" si="107"/>
        <v>0</v>
      </c>
      <c r="AC286" s="31">
        <f t="shared" si="108"/>
        <v>0</v>
      </c>
      <c r="AD286" s="31">
        <f t="shared" si="109"/>
        <v>0</v>
      </c>
      <c r="AE286" s="60">
        <f t="shared" si="110"/>
        <v>0</v>
      </c>
      <c r="AF286" s="8"/>
    </row>
    <row r="287" spans="2:32" s="1" customFormat="1" ht="13" hidden="1" x14ac:dyDescent="0.3">
      <c r="B287" s="12">
        <v>2026</v>
      </c>
      <c r="C287" s="12" t="s">
        <v>158</v>
      </c>
      <c r="D287" s="12" t="s">
        <v>159</v>
      </c>
      <c r="E287" s="12" t="s">
        <v>88</v>
      </c>
      <c r="F287" s="12" t="s">
        <v>80</v>
      </c>
      <c r="G287" s="83">
        <v>46177</v>
      </c>
      <c r="H287" s="93">
        <v>3721</v>
      </c>
      <c r="I287" s="12" t="s">
        <v>175</v>
      </c>
      <c r="J287" s="8" t="str">
        <f>IFERROR(VLOOKUP(I287,Map!$F$18:$G$56,2,0),"Add in Map")</f>
        <v>3P</v>
      </c>
      <c r="K287" s="8" t="str">
        <f>VLOOKUP(L287,Map!$C$18:$D$29,2,0)</f>
        <v>PNT</v>
      </c>
      <c r="L287" s="12" t="s">
        <v>46</v>
      </c>
      <c r="M287" s="52">
        <v>0</v>
      </c>
      <c r="N287" s="56">
        <f t="shared" si="101"/>
        <v>0</v>
      </c>
      <c r="O287" s="56">
        <f t="shared" si="102"/>
        <v>0</v>
      </c>
      <c r="P287" s="31">
        <f t="shared" si="103"/>
        <v>0</v>
      </c>
      <c r="Q287" s="31">
        <f t="shared" si="104"/>
        <v>0</v>
      </c>
      <c r="R287" s="60">
        <f t="shared" si="105"/>
        <v>0</v>
      </c>
      <c r="S287" s="45">
        <f>INDEX(FX!$D$3:$O$19,MATCH(B287,FX!$B$3:$B$32,0),MATCH(D287,FX!$D$2:$O$2,0))</f>
        <v>891</v>
      </c>
      <c r="T287" s="12" t="s">
        <v>143</v>
      </c>
      <c r="U287" s="12" t="s">
        <v>155</v>
      </c>
      <c r="V287" s="12" t="s">
        <v>83</v>
      </c>
      <c r="W287" s="8" t="str">
        <f>VLOOKUP(I287,Map!$F$18:$H$51,3,0)</f>
        <v>Variable</v>
      </c>
      <c r="X287" s="88" t="s">
        <v>149</v>
      </c>
      <c r="Y287" s="107" t="str">
        <f>VLOOKUP(L287,Map!$C$18:$D$29,2,0)</f>
        <v>PNT</v>
      </c>
      <c r="Z287" s="52"/>
      <c r="AA287" s="56">
        <f t="shared" si="106"/>
        <v>0</v>
      </c>
      <c r="AB287" s="56">
        <f t="shared" si="107"/>
        <v>0</v>
      </c>
      <c r="AC287" s="31">
        <f t="shared" si="108"/>
        <v>0</v>
      </c>
      <c r="AD287" s="31">
        <f t="shared" si="109"/>
        <v>0</v>
      </c>
      <c r="AE287" s="60">
        <f t="shared" si="110"/>
        <v>0</v>
      </c>
      <c r="AF287" s="8"/>
    </row>
    <row r="288" spans="2:32" s="1" customFormat="1" ht="13" hidden="1" x14ac:dyDescent="0.3">
      <c r="B288" s="12">
        <v>2026</v>
      </c>
      <c r="C288" s="12" t="s">
        <v>158</v>
      </c>
      <c r="D288" s="12" t="s">
        <v>159</v>
      </c>
      <c r="E288" s="12" t="s">
        <v>88</v>
      </c>
      <c r="F288" s="12" t="s">
        <v>80</v>
      </c>
      <c r="G288" s="83">
        <v>46177</v>
      </c>
      <c r="H288" s="93">
        <v>3721</v>
      </c>
      <c r="I288" s="12" t="s">
        <v>175</v>
      </c>
      <c r="J288" s="8" t="str">
        <f>IFERROR(VLOOKUP(I288,Map!$F$18:$G$56,2,0),"Add in Map")</f>
        <v>3P</v>
      </c>
      <c r="K288" s="8" t="str">
        <f>VLOOKUP(L288,Map!$C$18:$D$29,2,0)</f>
        <v>GTT</v>
      </c>
      <c r="L288" s="12" t="s">
        <v>48</v>
      </c>
      <c r="M288" s="52"/>
      <c r="N288" s="56">
        <f t="shared" si="101"/>
        <v>0</v>
      </c>
      <c r="O288" s="56">
        <f t="shared" si="102"/>
        <v>0</v>
      </c>
      <c r="P288" s="31">
        <f t="shared" si="103"/>
        <v>0</v>
      </c>
      <c r="Q288" s="31">
        <f t="shared" si="104"/>
        <v>0</v>
      </c>
      <c r="R288" s="60">
        <f t="shared" si="105"/>
        <v>0</v>
      </c>
      <c r="S288" s="45">
        <f>INDEX(FX!$D$3:$O$19,MATCH(B288,FX!$B$3:$B$32,0),MATCH(D288,FX!$D$2:$O$2,0))</f>
        <v>891</v>
      </c>
      <c r="T288" s="12" t="s">
        <v>143</v>
      </c>
      <c r="U288" s="12" t="s">
        <v>155</v>
      </c>
      <c r="V288" s="12" t="s">
        <v>83</v>
      </c>
      <c r="W288" s="8" t="str">
        <f>VLOOKUP(I288,Map!$F$18:$H$51,3,0)</f>
        <v>Variable</v>
      </c>
      <c r="X288" s="88" t="s">
        <v>149</v>
      </c>
      <c r="Y288" s="107" t="str">
        <f>VLOOKUP(L288,Map!$C$18:$D$29,2,0)</f>
        <v>GTT</v>
      </c>
      <c r="Z288" s="52"/>
      <c r="AA288" s="56">
        <f t="shared" si="106"/>
        <v>0</v>
      </c>
      <c r="AB288" s="56">
        <f t="shared" si="107"/>
        <v>0</v>
      </c>
      <c r="AC288" s="31">
        <f t="shared" si="108"/>
        <v>0</v>
      </c>
      <c r="AD288" s="31">
        <f t="shared" si="109"/>
        <v>0</v>
      </c>
      <c r="AE288" s="60">
        <f t="shared" si="110"/>
        <v>0</v>
      </c>
      <c r="AF288" s="8"/>
    </row>
    <row r="289" spans="2:32" s="1" customFormat="1" ht="13" hidden="1" x14ac:dyDescent="0.3">
      <c r="B289" s="12">
        <v>2026</v>
      </c>
      <c r="C289" s="12" t="s">
        <v>158</v>
      </c>
      <c r="D289" s="12" t="s">
        <v>159</v>
      </c>
      <c r="E289" s="12" t="s">
        <v>88</v>
      </c>
      <c r="F289" s="12" t="s">
        <v>80</v>
      </c>
      <c r="G289" s="83">
        <v>46177</v>
      </c>
      <c r="H289" s="93">
        <v>3721</v>
      </c>
      <c r="I289" s="12" t="s">
        <v>175</v>
      </c>
      <c r="J289" s="8" t="str">
        <f>IFERROR(VLOOKUP(I289,Map!$F$18:$G$56,2,0),"Add in Map")</f>
        <v>3P</v>
      </c>
      <c r="K289" s="8" t="str">
        <f>VLOOKUP(L289,Map!$C$18:$D$29,2,0)</f>
        <v>DGT</v>
      </c>
      <c r="L289" s="12" t="s">
        <v>50</v>
      </c>
      <c r="M289" s="52"/>
      <c r="N289" s="56">
        <f t="shared" si="101"/>
        <v>0</v>
      </c>
      <c r="O289" s="56">
        <f t="shared" si="102"/>
        <v>0</v>
      </c>
      <c r="P289" s="31">
        <f t="shared" si="103"/>
        <v>0</v>
      </c>
      <c r="Q289" s="31">
        <f t="shared" si="104"/>
        <v>0</v>
      </c>
      <c r="R289" s="60">
        <f t="shared" si="105"/>
        <v>0</v>
      </c>
      <c r="S289" s="45">
        <f>INDEX(FX!$D$3:$O$19,MATCH(B289,FX!$B$3:$B$32,0),MATCH(D289,FX!$D$2:$O$2,0))</f>
        <v>891</v>
      </c>
      <c r="T289" s="12" t="s">
        <v>143</v>
      </c>
      <c r="U289" s="12" t="s">
        <v>155</v>
      </c>
      <c r="V289" s="12" t="s">
        <v>83</v>
      </c>
      <c r="W289" s="8" t="str">
        <f>VLOOKUP(I289,Map!$F$18:$H$51,3,0)</f>
        <v>Variable</v>
      </c>
      <c r="X289" s="88" t="s">
        <v>149</v>
      </c>
      <c r="Y289" s="107" t="str">
        <f>VLOOKUP(L289,Map!$C$18:$D$29,2,0)</f>
        <v>DGT</v>
      </c>
      <c r="Z289" s="52"/>
      <c r="AA289" s="56">
        <f t="shared" si="106"/>
        <v>0</v>
      </c>
      <c r="AB289" s="56">
        <f t="shared" si="107"/>
        <v>0</v>
      </c>
      <c r="AC289" s="31">
        <f t="shared" si="108"/>
        <v>0</v>
      </c>
      <c r="AD289" s="31">
        <f t="shared" si="109"/>
        <v>0</v>
      </c>
      <c r="AE289" s="60">
        <f t="shared" si="110"/>
        <v>0</v>
      </c>
      <c r="AF289" s="8"/>
    </row>
    <row r="290" spans="2:32" s="1" customFormat="1" ht="13" hidden="1" x14ac:dyDescent="0.3">
      <c r="B290" s="12">
        <v>2026</v>
      </c>
      <c r="C290" s="12" t="s">
        <v>158</v>
      </c>
      <c r="D290" s="12" t="s">
        <v>159</v>
      </c>
      <c r="E290" s="12" t="s">
        <v>88</v>
      </c>
      <c r="F290" s="12" t="s">
        <v>80</v>
      </c>
      <c r="G290" s="83">
        <v>46177</v>
      </c>
      <c r="H290" s="93">
        <v>3721</v>
      </c>
      <c r="I290" s="12" t="s">
        <v>175</v>
      </c>
      <c r="J290" s="8" t="str">
        <f>IFERROR(VLOOKUP(I290,Map!$F$18:$G$56,2,0),"Add in Map")</f>
        <v>3P</v>
      </c>
      <c r="K290" s="8" t="str">
        <f>VLOOKUP(L290,Map!$C$18:$D$29,2,0)</f>
        <v>DLT</v>
      </c>
      <c r="L290" s="12" t="s">
        <v>52</v>
      </c>
      <c r="M290" s="52"/>
      <c r="N290" s="56">
        <f t="shared" si="101"/>
        <v>0</v>
      </c>
      <c r="O290" s="56">
        <f t="shared" si="102"/>
        <v>0</v>
      </c>
      <c r="P290" s="31">
        <f t="shared" si="103"/>
        <v>0</v>
      </c>
      <c r="Q290" s="31">
        <f t="shared" si="104"/>
        <v>0</v>
      </c>
      <c r="R290" s="60">
        <f t="shared" si="105"/>
        <v>0</v>
      </c>
      <c r="S290" s="45">
        <f>INDEX(FX!$D$3:$O$19,MATCH(B290,FX!$B$3:$B$32,0),MATCH(D290,FX!$D$2:$O$2,0))</f>
        <v>891</v>
      </c>
      <c r="T290" s="12" t="s">
        <v>143</v>
      </c>
      <c r="U290" s="12" t="s">
        <v>155</v>
      </c>
      <c r="V290" s="12" t="s">
        <v>83</v>
      </c>
      <c r="W290" s="8" t="str">
        <f>VLOOKUP(I290,Map!$F$18:$H$51,3,0)</f>
        <v>Variable</v>
      </c>
      <c r="X290" s="88" t="s">
        <v>149</v>
      </c>
      <c r="Y290" s="107" t="str">
        <f>VLOOKUP(L290,Map!$C$18:$D$29,2,0)</f>
        <v>DLT</v>
      </c>
      <c r="Z290" s="52"/>
      <c r="AA290" s="56">
        <f t="shared" si="106"/>
        <v>0</v>
      </c>
      <c r="AB290" s="56">
        <f t="shared" si="107"/>
        <v>0</v>
      </c>
      <c r="AC290" s="31">
        <f t="shared" si="108"/>
        <v>0</v>
      </c>
      <c r="AD290" s="31">
        <f t="shared" si="109"/>
        <v>0</v>
      </c>
      <c r="AE290" s="60">
        <f t="shared" si="110"/>
        <v>0</v>
      </c>
      <c r="AF290" s="8"/>
    </row>
    <row r="291" spans="2:32" s="1" customFormat="1" ht="13" hidden="1" x14ac:dyDescent="0.3">
      <c r="B291" s="12">
        <v>2026</v>
      </c>
      <c r="C291" s="12" t="s">
        <v>158</v>
      </c>
      <c r="D291" s="12" t="s">
        <v>159</v>
      </c>
      <c r="E291" s="12" t="s">
        <v>88</v>
      </c>
      <c r="F291" s="12" t="s">
        <v>80</v>
      </c>
      <c r="G291" s="83">
        <v>46177</v>
      </c>
      <c r="H291" s="93">
        <v>3721</v>
      </c>
      <c r="I291" s="12" t="s">
        <v>175</v>
      </c>
      <c r="J291" s="8" t="str">
        <f>IFERROR(VLOOKUP(I291,Map!$F$18:$G$56,2,0),"Add in Map")</f>
        <v>3P</v>
      </c>
      <c r="K291" s="8" t="str">
        <f>VLOOKUP(L291,Map!$C$18:$D$29,2,0)</f>
        <v>DMT</v>
      </c>
      <c r="L291" s="12" t="s">
        <v>54</v>
      </c>
      <c r="M291" s="52"/>
      <c r="N291" s="56">
        <f t="shared" si="101"/>
        <v>0</v>
      </c>
      <c r="O291" s="56">
        <f t="shared" si="102"/>
        <v>0</v>
      </c>
      <c r="P291" s="48">
        <f t="shared" si="103"/>
        <v>0</v>
      </c>
      <c r="Q291" s="31">
        <f t="shared" si="104"/>
        <v>0</v>
      </c>
      <c r="R291" s="60">
        <f t="shared" si="105"/>
        <v>0</v>
      </c>
      <c r="S291" s="45">
        <f>INDEX(FX!$D$3:$O$19,MATCH(B291,FX!$B$3:$B$32,0),MATCH(D291,FX!$D$2:$O$2,0))</f>
        <v>891</v>
      </c>
      <c r="T291" s="12" t="s">
        <v>143</v>
      </c>
      <c r="U291" s="12" t="s">
        <v>155</v>
      </c>
      <c r="V291" s="12" t="s">
        <v>83</v>
      </c>
      <c r="W291" s="8" t="str">
        <f>VLOOKUP(I291,Map!$F$18:$H$51,3,0)</f>
        <v>Variable</v>
      </c>
      <c r="X291" s="88" t="s">
        <v>149</v>
      </c>
      <c r="Y291" s="107" t="str">
        <f>VLOOKUP(L291,Map!$C$18:$D$29,2,0)</f>
        <v>DMT</v>
      </c>
      <c r="Z291" s="52"/>
      <c r="AA291" s="56">
        <f t="shared" si="106"/>
        <v>0</v>
      </c>
      <c r="AB291" s="56">
        <f t="shared" si="107"/>
        <v>0</v>
      </c>
      <c r="AC291" s="48">
        <f t="shared" si="108"/>
        <v>0</v>
      </c>
      <c r="AD291" s="31">
        <f t="shared" si="109"/>
        <v>0</v>
      </c>
      <c r="AE291" s="60">
        <f t="shared" si="110"/>
        <v>0</v>
      </c>
      <c r="AF291" s="8"/>
    </row>
    <row r="292" spans="2:32" s="37" customFormat="1" hidden="1" x14ac:dyDescent="0.35">
      <c r="B292" s="13">
        <v>2026</v>
      </c>
      <c r="C292" s="13" t="s">
        <v>158</v>
      </c>
      <c r="D292" s="13" t="s">
        <v>159</v>
      </c>
      <c r="E292" s="13" t="s">
        <v>88</v>
      </c>
      <c r="F292" s="13" t="s">
        <v>80</v>
      </c>
      <c r="G292" s="85">
        <v>46177</v>
      </c>
      <c r="H292" s="94">
        <v>3721</v>
      </c>
      <c r="I292" s="13" t="s">
        <v>175</v>
      </c>
      <c r="J292" s="29" t="str">
        <f>IFERROR(VLOOKUP(I292,Map!$F$18:$G$56,2,0),"Add in Map")</f>
        <v>3P</v>
      </c>
      <c r="K292" s="29" t="str">
        <f>VLOOKUP(L292,Map!$C$18:$D$29,2,0)</f>
        <v>TOTAL</v>
      </c>
      <c r="L292" s="13" t="s">
        <v>56</v>
      </c>
      <c r="M292" s="128">
        <f>SUM(M281:M291)</f>
        <v>990593</v>
      </c>
      <c r="N292" s="57">
        <f t="shared" si="101"/>
        <v>188212.67</v>
      </c>
      <c r="O292" s="57">
        <f t="shared" si="102"/>
        <v>1178805.67</v>
      </c>
      <c r="P292" s="11">
        <f t="shared" si="103"/>
        <v>1111.7766554433222</v>
      </c>
      <c r="Q292" s="11">
        <f t="shared" si="104"/>
        <v>211.23756453423121</v>
      </c>
      <c r="R292" s="61">
        <f t="shared" si="105"/>
        <v>1323.0142199775532</v>
      </c>
      <c r="S292" s="46">
        <f>INDEX(FX!$D$3:$O$19,MATCH(B292,FX!$B$3:$B$32,0),MATCH(D292,FX!$D$2:$O$2,0))</f>
        <v>891</v>
      </c>
      <c r="T292" s="13" t="s">
        <v>143</v>
      </c>
      <c r="U292" s="13" t="s">
        <v>155</v>
      </c>
      <c r="V292" s="13" t="s">
        <v>83</v>
      </c>
      <c r="W292" s="29" t="str">
        <f>VLOOKUP(I292,Map!$F$18:$H$51,3,0)</f>
        <v>Variable</v>
      </c>
      <c r="X292" s="90" t="s">
        <v>149</v>
      </c>
      <c r="Y292" s="109" t="str">
        <f>VLOOKUP(L292,Map!$C$18:$D$29,2,0)</f>
        <v>TOTAL</v>
      </c>
      <c r="Z292" s="53"/>
      <c r="AA292" s="57">
        <f t="shared" si="106"/>
        <v>0</v>
      </c>
      <c r="AB292" s="57">
        <f t="shared" si="107"/>
        <v>0</v>
      </c>
      <c r="AC292" s="11">
        <f t="shared" si="108"/>
        <v>0</v>
      </c>
      <c r="AD292" s="11">
        <f t="shared" si="109"/>
        <v>0</v>
      </c>
      <c r="AE292" s="61">
        <f t="shared" si="110"/>
        <v>0</v>
      </c>
      <c r="AF292" s="87"/>
    </row>
    <row r="293" spans="2:32" s="5" customFormat="1" ht="13" hidden="1" x14ac:dyDescent="0.3">
      <c r="B293" s="114">
        <v>2026</v>
      </c>
      <c r="C293" s="114" t="s">
        <v>176</v>
      </c>
      <c r="D293" s="114" t="s">
        <v>162</v>
      </c>
      <c r="E293" s="114" t="s">
        <v>88</v>
      </c>
      <c r="F293" s="114" t="s">
        <v>87</v>
      </c>
      <c r="G293" s="115">
        <v>46196</v>
      </c>
      <c r="H293" s="116">
        <v>473180</v>
      </c>
      <c r="I293" s="114" t="s">
        <v>29</v>
      </c>
      <c r="J293" s="117" t="str">
        <f>IFERROR(VLOOKUP(I293,Map!$F$18:$G$56,2,0),"Add in Map")</f>
        <v>3P</v>
      </c>
      <c r="K293" s="117" t="str">
        <f>VLOOKUP(L293,Map!$C$18:$D$29,2,0)</f>
        <v>CNT</v>
      </c>
      <c r="L293" s="114" t="s">
        <v>31</v>
      </c>
      <c r="M293" s="118">
        <v>46857021.259024292</v>
      </c>
      <c r="N293" s="119">
        <f t="shared" si="101"/>
        <v>0</v>
      </c>
      <c r="O293" s="119">
        <f t="shared" si="102"/>
        <v>55759855.298238903</v>
      </c>
      <c r="P293" s="120">
        <f t="shared" si="103"/>
        <v>50766.003530903894</v>
      </c>
      <c r="Q293" s="120">
        <f t="shared" si="104"/>
        <v>0</v>
      </c>
      <c r="R293" s="121">
        <f t="shared" si="105"/>
        <v>60411.544201775629</v>
      </c>
      <c r="S293" s="122">
        <f>INDEX(FX!$D$3:$O$19,MATCH(B293,FX!$B$3:$B$32,0),MATCH(D293,FX!$D$2:$O$2,0))</f>
        <v>923</v>
      </c>
      <c r="T293" s="114" t="s">
        <v>81</v>
      </c>
      <c r="U293" s="114" t="s">
        <v>32</v>
      </c>
      <c r="V293" s="114" t="s">
        <v>83</v>
      </c>
      <c r="W293" s="117" t="str">
        <f>VLOOKUP(I293,Map!$F$18:$H$51,3,0)</f>
        <v>Variable</v>
      </c>
      <c r="X293" s="123" t="s">
        <v>149</v>
      </c>
      <c r="Y293" s="124" t="str">
        <f>VLOOKUP(L293,Map!$C$18:$D$29,2,0)</f>
        <v>CNT</v>
      </c>
      <c r="Z293" s="118"/>
      <c r="AA293" s="119">
        <f t="shared" si="106"/>
        <v>0</v>
      </c>
      <c r="AB293" s="119">
        <f t="shared" si="107"/>
        <v>0</v>
      </c>
      <c r="AC293" s="120">
        <f t="shared" si="108"/>
        <v>0</v>
      </c>
      <c r="AD293" s="120">
        <f t="shared" si="109"/>
        <v>0</v>
      </c>
      <c r="AE293" s="121">
        <f t="shared" si="110"/>
        <v>0</v>
      </c>
      <c r="AF293" s="117"/>
    </row>
    <row r="294" spans="2:32" s="1" customFormat="1" ht="13" hidden="1" x14ac:dyDescent="0.3">
      <c r="B294" s="12">
        <v>2026</v>
      </c>
      <c r="C294" s="12" t="s">
        <v>176</v>
      </c>
      <c r="D294" s="12" t="s">
        <v>162</v>
      </c>
      <c r="E294" s="12" t="s">
        <v>88</v>
      </c>
      <c r="F294" s="12" t="s">
        <v>87</v>
      </c>
      <c r="G294" s="83">
        <v>46196</v>
      </c>
      <c r="H294" s="93">
        <v>473180</v>
      </c>
      <c r="I294" s="12" t="s">
        <v>29</v>
      </c>
      <c r="J294" s="8" t="str">
        <f>IFERROR(VLOOKUP(I294,Map!$F$18:$G$56,2,0),"Add in Map")</f>
        <v>3P</v>
      </c>
      <c r="K294" s="8" t="str">
        <f>VLOOKUP(L294,Map!$C$18:$D$29,2,0)</f>
        <v>CVT</v>
      </c>
      <c r="L294" s="12" t="s">
        <v>36</v>
      </c>
      <c r="M294" s="52">
        <v>955756.65066718159</v>
      </c>
      <c r="N294" s="56">
        <f t="shared" si="101"/>
        <v>0</v>
      </c>
      <c r="O294" s="56">
        <f t="shared" si="102"/>
        <v>1137350.414293946</v>
      </c>
      <c r="P294" s="31">
        <f t="shared" si="103"/>
        <v>1035.4893290001967</v>
      </c>
      <c r="Q294" s="31">
        <f t="shared" si="104"/>
        <v>0</v>
      </c>
      <c r="R294" s="60">
        <f t="shared" si="105"/>
        <v>1232.232301510234</v>
      </c>
      <c r="S294" s="45">
        <f>INDEX(FX!$D$3:$O$19,MATCH(B294,FX!$B$3:$B$32,0),MATCH(D294,FX!$D$2:$O$2,0))</f>
        <v>923</v>
      </c>
      <c r="T294" s="12" t="s">
        <v>81</v>
      </c>
      <c r="U294" s="12" t="s">
        <v>32</v>
      </c>
      <c r="V294" s="12" t="s">
        <v>83</v>
      </c>
      <c r="W294" s="8" t="str">
        <f>VLOOKUP(I294,Map!$F$18:$H$51,3,0)</f>
        <v>Variable</v>
      </c>
      <c r="X294" s="88" t="s">
        <v>149</v>
      </c>
      <c r="Y294" s="107" t="str">
        <f>VLOOKUP(L294,Map!$C$18:$D$29,2,0)</f>
        <v>CVT</v>
      </c>
      <c r="Z294" s="52"/>
      <c r="AA294" s="56">
        <f t="shared" si="106"/>
        <v>0</v>
      </c>
      <c r="AB294" s="56">
        <f t="shared" si="107"/>
        <v>0</v>
      </c>
      <c r="AC294" s="31">
        <f t="shared" si="108"/>
        <v>0</v>
      </c>
      <c r="AD294" s="31">
        <f t="shared" si="109"/>
        <v>0</v>
      </c>
      <c r="AE294" s="60">
        <f t="shared" si="110"/>
        <v>0</v>
      </c>
      <c r="AF294" s="8"/>
    </row>
    <row r="295" spans="2:32" s="1" customFormat="1" ht="13" hidden="1" x14ac:dyDescent="0.3">
      <c r="B295" s="12">
        <v>2026</v>
      </c>
      <c r="C295" s="12" t="s">
        <v>176</v>
      </c>
      <c r="D295" s="12" t="s">
        <v>162</v>
      </c>
      <c r="E295" s="12" t="s">
        <v>88</v>
      </c>
      <c r="F295" s="12" t="s">
        <v>87</v>
      </c>
      <c r="G295" s="83">
        <v>46196</v>
      </c>
      <c r="H295" s="93">
        <v>473180</v>
      </c>
      <c r="I295" s="12" t="s">
        <v>29</v>
      </c>
      <c r="J295" s="8" t="str">
        <f>IFERROR(VLOOKUP(I295,Map!$F$18:$G$56,2,0),"Add in Map")</f>
        <v>3P</v>
      </c>
      <c r="K295" s="8" t="str">
        <f>VLOOKUP(L295,Map!$C$18:$D$29,2,0)</f>
        <v>CDT</v>
      </c>
      <c r="L295" s="12" t="s">
        <v>38</v>
      </c>
      <c r="M295" s="52">
        <v>3929528.6497851633</v>
      </c>
      <c r="N295" s="56">
        <f t="shared" si="101"/>
        <v>0</v>
      </c>
      <c r="O295" s="56">
        <f t="shared" si="102"/>
        <v>4676139.093244344</v>
      </c>
      <c r="P295" s="31">
        <f t="shared" si="103"/>
        <v>4257.3441492797001</v>
      </c>
      <c r="Q295" s="31">
        <f t="shared" si="104"/>
        <v>0</v>
      </c>
      <c r="R295" s="60">
        <f t="shared" si="105"/>
        <v>5066.2395376428431</v>
      </c>
      <c r="S295" s="45">
        <f>INDEX(FX!$D$3:$O$19,MATCH(B295,FX!$B$3:$B$32,0),MATCH(D295,FX!$D$2:$O$2,0))</f>
        <v>923</v>
      </c>
      <c r="T295" s="12" t="s">
        <v>81</v>
      </c>
      <c r="U295" s="12" t="s">
        <v>32</v>
      </c>
      <c r="V295" s="12" t="s">
        <v>83</v>
      </c>
      <c r="W295" s="8" t="str">
        <f>VLOOKUP(I295,Map!$F$18:$H$51,3,0)</f>
        <v>Variable</v>
      </c>
      <c r="X295" s="88" t="s">
        <v>149</v>
      </c>
      <c r="Y295" s="107" t="str">
        <f>VLOOKUP(L295,Map!$C$18:$D$29,2,0)</f>
        <v>CDT</v>
      </c>
      <c r="Z295" s="52"/>
      <c r="AA295" s="56">
        <f t="shared" si="106"/>
        <v>0</v>
      </c>
      <c r="AB295" s="56">
        <f t="shared" si="107"/>
        <v>0</v>
      </c>
      <c r="AC295" s="31">
        <f t="shared" si="108"/>
        <v>0</v>
      </c>
      <c r="AD295" s="31">
        <f t="shared" si="109"/>
        <v>0</v>
      </c>
      <c r="AE295" s="60">
        <f t="shared" si="110"/>
        <v>0</v>
      </c>
      <c r="AF295" s="8"/>
    </row>
    <row r="296" spans="2:32" s="1" customFormat="1" ht="13" hidden="1" x14ac:dyDescent="0.3">
      <c r="B296" s="12">
        <v>2026</v>
      </c>
      <c r="C296" s="12" t="s">
        <v>176</v>
      </c>
      <c r="D296" s="12" t="s">
        <v>162</v>
      </c>
      <c r="E296" s="12" t="s">
        <v>88</v>
      </c>
      <c r="F296" s="12" t="s">
        <v>87</v>
      </c>
      <c r="G296" s="83">
        <v>46196</v>
      </c>
      <c r="H296" s="93">
        <v>473180</v>
      </c>
      <c r="I296" s="12" t="s">
        <v>29</v>
      </c>
      <c r="J296" s="8" t="str">
        <f>IFERROR(VLOOKUP(I296,Map!$F$18:$G$56,2,0),"Add in Map")</f>
        <v>3P</v>
      </c>
      <c r="K296" s="8" t="str">
        <f>VLOOKUP(L296,Map!$C$18:$D$29,2,0)</f>
        <v>DFT</v>
      </c>
      <c r="L296" s="12" t="s">
        <v>40</v>
      </c>
      <c r="M296" s="52">
        <v>101469091.44720571</v>
      </c>
      <c r="N296" s="56">
        <f t="shared" si="101"/>
        <v>0</v>
      </c>
      <c r="O296" s="56">
        <f t="shared" si="102"/>
        <v>120748218.82217479</v>
      </c>
      <c r="P296" s="31">
        <f t="shared" si="103"/>
        <v>109934.0102353258</v>
      </c>
      <c r="Q296" s="31">
        <f t="shared" si="104"/>
        <v>0</v>
      </c>
      <c r="R296" s="60">
        <f t="shared" si="105"/>
        <v>130821.47218003769</v>
      </c>
      <c r="S296" s="45">
        <f>INDEX(FX!$D$3:$O$19,MATCH(B296,FX!$B$3:$B$32,0),MATCH(D296,FX!$D$2:$O$2,0))</f>
        <v>923</v>
      </c>
      <c r="T296" s="12" t="s">
        <v>81</v>
      </c>
      <c r="U296" s="12" t="s">
        <v>32</v>
      </c>
      <c r="V296" s="12" t="s">
        <v>83</v>
      </c>
      <c r="W296" s="8" t="str">
        <f>VLOOKUP(I296,Map!$F$18:$H$51,3,0)</f>
        <v>Variable</v>
      </c>
      <c r="X296" s="88" t="s">
        <v>149</v>
      </c>
      <c r="Y296" s="107" t="str">
        <f>VLOOKUP(L296,Map!$C$18:$D$29,2,0)</f>
        <v>DFT</v>
      </c>
      <c r="Z296" s="52"/>
      <c r="AA296" s="56">
        <f t="shared" si="106"/>
        <v>0</v>
      </c>
      <c r="AB296" s="56">
        <f t="shared" si="107"/>
        <v>0</v>
      </c>
      <c r="AC296" s="31">
        <f t="shared" si="108"/>
        <v>0</v>
      </c>
      <c r="AD296" s="31">
        <f t="shared" si="109"/>
        <v>0</v>
      </c>
      <c r="AE296" s="60">
        <f t="shared" si="110"/>
        <v>0</v>
      </c>
      <c r="AF296" s="8"/>
    </row>
    <row r="297" spans="2:32" s="1" customFormat="1" ht="13" hidden="1" x14ac:dyDescent="0.3">
      <c r="B297" s="12">
        <v>2026</v>
      </c>
      <c r="C297" s="12" t="s">
        <v>176</v>
      </c>
      <c r="D297" s="12" t="s">
        <v>162</v>
      </c>
      <c r="E297" s="12" t="s">
        <v>88</v>
      </c>
      <c r="F297" s="12" t="s">
        <v>87</v>
      </c>
      <c r="G297" s="83">
        <v>46196</v>
      </c>
      <c r="H297" s="93">
        <v>473180</v>
      </c>
      <c r="I297" s="12" t="s">
        <v>29</v>
      </c>
      <c r="J297" s="8" t="str">
        <f>IFERROR(VLOOKUP(I297,Map!$F$18:$G$56,2,0),"Add in Map")</f>
        <v>3P</v>
      </c>
      <c r="K297" s="8" t="str">
        <f>VLOOKUP(L297,Map!$C$18:$D$29,2,0)</f>
        <v>DVT</v>
      </c>
      <c r="L297" s="12" t="s">
        <v>42</v>
      </c>
      <c r="M297" s="52">
        <v>444230.15324388456</v>
      </c>
      <c r="N297" s="56">
        <f t="shared" ref="N297:N336" si="111">IF(L297="TOTAL",(M297*0.19),0)</f>
        <v>0</v>
      </c>
      <c r="O297" s="56">
        <f t="shared" ref="O297:O336" si="112">M297*1.19</f>
        <v>528633.88236022263</v>
      </c>
      <c r="P297" s="31">
        <f t="shared" ref="P297:P336" si="113">M297/S297</f>
        <v>481.28944013421943</v>
      </c>
      <c r="Q297" s="31">
        <f t="shared" ref="Q297:Q336" si="114">IF(L297="TOTAL",(P297*0.19),0)</f>
        <v>0</v>
      </c>
      <c r="R297" s="60">
        <f t="shared" ref="R297:R336" si="115">P297*1.19</f>
        <v>572.73443375972113</v>
      </c>
      <c r="S297" s="45">
        <f>INDEX(FX!$D$3:$O$19,MATCH(B297,FX!$B$3:$B$32,0),MATCH(D297,FX!$D$2:$O$2,0))</f>
        <v>923</v>
      </c>
      <c r="T297" s="12" t="s">
        <v>81</v>
      </c>
      <c r="U297" s="12" t="s">
        <v>32</v>
      </c>
      <c r="V297" s="12" t="s">
        <v>83</v>
      </c>
      <c r="W297" s="8" t="str">
        <f>VLOOKUP(I297,Map!$F$18:$H$51,3,0)</f>
        <v>Variable</v>
      </c>
      <c r="X297" s="88" t="s">
        <v>149</v>
      </c>
      <c r="Y297" s="107" t="str">
        <f>VLOOKUP(L297,Map!$C$18:$D$29,2,0)</f>
        <v>DVT</v>
      </c>
      <c r="Z297" s="52"/>
      <c r="AA297" s="56">
        <f t="shared" ref="AA297:AA336" si="116">IF(Y297="TOTAL",(Z297*0.19),0)</f>
        <v>0</v>
      </c>
      <c r="AB297" s="56">
        <f t="shared" ref="AB297:AB336" si="117">Z297*1.19</f>
        <v>0</v>
      </c>
      <c r="AC297" s="31">
        <f t="shared" ref="AC297:AC336" si="118">Z297/S297</f>
        <v>0</v>
      </c>
      <c r="AD297" s="31">
        <f t="shared" ref="AD297:AD336" si="119">IF(Y297="TOTAL",(AC297*0.19),0)</f>
        <v>0</v>
      </c>
      <c r="AE297" s="60">
        <f t="shared" ref="AE297:AE336" si="120">AC297*1.19</f>
        <v>0</v>
      </c>
      <c r="AF297" s="8"/>
    </row>
    <row r="298" spans="2:32" s="1" customFormat="1" ht="13" hidden="1" x14ac:dyDescent="0.3">
      <c r="B298" s="12">
        <v>2026</v>
      </c>
      <c r="C298" s="12" t="s">
        <v>176</v>
      </c>
      <c r="D298" s="12" t="s">
        <v>162</v>
      </c>
      <c r="E298" s="12" t="s">
        <v>88</v>
      </c>
      <c r="F298" s="12" t="s">
        <v>87</v>
      </c>
      <c r="G298" s="83">
        <v>46196</v>
      </c>
      <c r="H298" s="93">
        <v>473180</v>
      </c>
      <c r="I298" s="12" t="s">
        <v>29</v>
      </c>
      <c r="J298" s="8" t="str">
        <f>IFERROR(VLOOKUP(I298,Map!$F$18:$G$56,2,0),"Add in Map")</f>
        <v>3P</v>
      </c>
      <c r="K298" s="8" t="str">
        <f>VLOOKUP(L298,Map!$C$18:$D$29,2,0)</f>
        <v>GLT</v>
      </c>
      <c r="L298" s="12" t="s">
        <v>44</v>
      </c>
      <c r="M298" s="52">
        <v>80299365.485116392</v>
      </c>
      <c r="N298" s="56">
        <f t="shared" si="111"/>
        <v>0</v>
      </c>
      <c r="O298" s="56">
        <f t="shared" si="112"/>
        <v>95556244.927288502</v>
      </c>
      <c r="P298" s="31">
        <f t="shared" si="113"/>
        <v>86998.229127970088</v>
      </c>
      <c r="Q298" s="31">
        <f t="shared" si="114"/>
        <v>0</v>
      </c>
      <c r="R298" s="60">
        <f t="shared" si="115"/>
        <v>103527.8926622844</v>
      </c>
      <c r="S298" s="45">
        <f>INDEX(FX!$D$3:$O$19,MATCH(B298,FX!$B$3:$B$32,0),MATCH(D298,FX!$D$2:$O$2,0))</f>
        <v>923</v>
      </c>
      <c r="T298" s="12" t="s">
        <v>81</v>
      </c>
      <c r="U298" s="12" t="s">
        <v>32</v>
      </c>
      <c r="V298" s="12" t="s">
        <v>83</v>
      </c>
      <c r="W298" s="8" t="str">
        <f>VLOOKUP(I298,Map!$F$18:$H$51,3,0)</f>
        <v>Variable</v>
      </c>
      <c r="X298" s="88" t="s">
        <v>149</v>
      </c>
      <c r="Y298" s="107" t="str">
        <f>VLOOKUP(L298,Map!$C$18:$D$29,2,0)</f>
        <v>GLT</v>
      </c>
      <c r="Z298" s="52"/>
      <c r="AA298" s="56">
        <f t="shared" si="116"/>
        <v>0</v>
      </c>
      <c r="AB298" s="56">
        <f t="shared" si="117"/>
        <v>0</v>
      </c>
      <c r="AC298" s="31">
        <f t="shared" si="118"/>
        <v>0</v>
      </c>
      <c r="AD298" s="31">
        <f t="shared" si="119"/>
        <v>0</v>
      </c>
      <c r="AE298" s="60">
        <f t="shared" si="120"/>
        <v>0</v>
      </c>
      <c r="AF298" s="8"/>
    </row>
    <row r="299" spans="2:32" s="1" customFormat="1" ht="13" hidden="1" x14ac:dyDescent="0.3">
      <c r="B299" s="12">
        <v>2026</v>
      </c>
      <c r="C299" s="12" t="s">
        <v>176</v>
      </c>
      <c r="D299" s="12" t="s">
        <v>162</v>
      </c>
      <c r="E299" s="12" t="s">
        <v>88</v>
      </c>
      <c r="F299" s="12" t="s">
        <v>87</v>
      </c>
      <c r="G299" s="83">
        <v>46196</v>
      </c>
      <c r="H299" s="93">
        <v>473180</v>
      </c>
      <c r="I299" s="12" t="s">
        <v>29</v>
      </c>
      <c r="J299" s="8" t="str">
        <f>IFERROR(VLOOKUP(I299,Map!$F$18:$G$56,2,0),"Add in Map")</f>
        <v>3P</v>
      </c>
      <c r="K299" s="8" t="str">
        <f>VLOOKUP(L299,Map!$C$18:$D$29,2,0)</f>
        <v>PNT</v>
      </c>
      <c r="L299" s="12" t="s">
        <v>46</v>
      </c>
      <c r="M299" s="52">
        <v>4357553.2273475425</v>
      </c>
      <c r="N299" s="56">
        <f t="shared" si="111"/>
        <v>0</v>
      </c>
      <c r="O299" s="56">
        <f t="shared" si="112"/>
        <v>5185488.3405435756</v>
      </c>
      <c r="P299" s="31">
        <f t="shared" si="113"/>
        <v>4721.0760859670017</v>
      </c>
      <c r="Q299" s="31">
        <f t="shared" si="114"/>
        <v>0</v>
      </c>
      <c r="R299" s="60">
        <f t="shared" si="115"/>
        <v>5618.0805423007314</v>
      </c>
      <c r="S299" s="45">
        <f>INDEX(FX!$D$3:$O$19,MATCH(B299,FX!$B$3:$B$32,0),MATCH(D299,FX!$D$2:$O$2,0))</f>
        <v>923</v>
      </c>
      <c r="T299" s="12" t="s">
        <v>81</v>
      </c>
      <c r="U299" s="12" t="s">
        <v>32</v>
      </c>
      <c r="V299" s="12" t="s">
        <v>83</v>
      </c>
      <c r="W299" s="8" t="str">
        <f>VLOOKUP(I299,Map!$F$18:$H$51,3,0)</f>
        <v>Variable</v>
      </c>
      <c r="X299" s="88" t="s">
        <v>149</v>
      </c>
      <c r="Y299" s="107" t="str">
        <f>VLOOKUP(L299,Map!$C$18:$D$29,2,0)</f>
        <v>PNT</v>
      </c>
      <c r="Z299" s="52"/>
      <c r="AA299" s="56">
        <f t="shared" si="116"/>
        <v>0</v>
      </c>
      <c r="AB299" s="56">
        <f t="shared" si="117"/>
        <v>0</v>
      </c>
      <c r="AC299" s="31">
        <f t="shared" si="118"/>
        <v>0</v>
      </c>
      <c r="AD299" s="31">
        <f t="shared" si="119"/>
        <v>0</v>
      </c>
      <c r="AE299" s="60">
        <f t="shared" si="120"/>
        <v>0</v>
      </c>
      <c r="AF299" s="8"/>
    </row>
    <row r="300" spans="2:32" s="1" customFormat="1" ht="13" hidden="1" x14ac:dyDescent="0.3">
      <c r="B300" s="12">
        <v>2026</v>
      </c>
      <c r="C300" s="12" t="s">
        <v>176</v>
      </c>
      <c r="D300" s="12" t="s">
        <v>162</v>
      </c>
      <c r="E300" s="12" t="s">
        <v>88</v>
      </c>
      <c r="F300" s="12" t="s">
        <v>87</v>
      </c>
      <c r="G300" s="83">
        <v>46196</v>
      </c>
      <c r="H300" s="93">
        <v>473180</v>
      </c>
      <c r="I300" s="12" t="s">
        <v>29</v>
      </c>
      <c r="J300" s="8" t="str">
        <f>IFERROR(VLOOKUP(I300,Map!$F$18:$G$56,2,0),"Add in Map")</f>
        <v>3P</v>
      </c>
      <c r="K300" s="8" t="str">
        <f>VLOOKUP(L300,Map!$C$18:$D$29,2,0)</f>
        <v>GTT</v>
      </c>
      <c r="L300" s="12" t="s">
        <v>48</v>
      </c>
      <c r="M300" s="52">
        <v>8665554.4856066834</v>
      </c>
      <c r="N300" s="56">
        <f t="shared" si="111"/>
        <v>0</v>
      </c>
      <c r="O300" s="56">
        <f t="shared" si="112"/>
        <v>10312009.837871952</v>
      </c>
      <c r="P300" s="31">
        <f t="shared" si="113"/>
        <v>9388.4663982737638</v>
      </c>
      <c r="Q300" s="31">
        <f t="shared" si="114"/>
        <v>0</v>
      </c>
      <c r="R300" s="60">
        <f t="shared" si="115"/>
        <v>11172.275013945778</v>
      </c>
      <c r="S300" s="45">
        <f>INDEX(FX!$D$3:$O$19,MATCH(B300,FX!$B$3:$B$32,0),MATCH(D300,FX!$D$2:$O$2,0))</f>
        <v>923</v>
      </c>
      <c r="T300" s="12" t="s">
        <v>81</v>
      </c>
      <c r="U300" s="12" t="s">
        <v>32</v>
      </c>
      <c r="V300" s="12" t="s">
        <v>83</v>
      </c>
      <c r="W300" s="8" t="str">
        <f>VLOOKUP(I300,Map!$F$18:$H$51,3,0)</f>
        <v>Variable</v>
      </c>
      <c r="X300" s="88" t="s">
        <v>149</v>
      </c>
      <c r="Y300" s="107" t="str">
        <f>VLOOKUP(L300,Map!$C$18:$D$29,2,0)</f>
        <v>GTT</v>
      </c>
      <c r="Z300" s="52"/>
      <c r="AA300" s="56">
        <f t="shared" si="116"/>
        <v>0</v>
      </c>
      <c r="AB300" s="56">
        <f t="shared" si="117"/>
        <v>0</v>
      </c>
      <c r="AC300" s="31">
        <f t="shared" si="118"/>
        <v>0</v>
      </c>
      <c r="AD300" s="31">
        <f t="shared" si="119"/>
        <v>0</v>
      </c>
      <c r="AE300" s="60">
        <f t="shared" si="120"/>
        <v>0</v>
      </c>
      <c r="AF300" s="8"/>
    </row>
    <row r="301" spans="2:32" s="1" customFormat="1" ht="13" hidden="1" x14ac:dyDescent="0.3">
      <c r="B301" s="12">
        <v>2026</v>
      </c>
      <c r="C301" s="12" t="s">
        <v>176</v>
      </c>
      <c r="D301" s="12" t="s">
        <v>162</v>
      </c>
      <c r="E301" s="12" t="s">
        <v>88</v>
      </c>
      <c r="F301" s="12" t="s">
        <v>87</v>
      </c>
      <c r="G301" s="83">
        <v>46196</v>
      </c>
      <c r="H301" s="93">
        <v>473180</v>
      </c>
      <c r="I301" s="12" t="s">
        <v>29</v>
      </c>
      <c r="J301" s="8" t="str">
        <f>IFERROR(VLOOKUP(I301,Map!$F$18:$G$56,2,0),"Add in Map")</f>
        <v>3P</v>
      </c>
      <c r="K301" s="8" t="str">
        <f>VLOOKUP(L301,Map!$C$18:$D$29,2,0)</f>
        <v>DGT</v>
      </c>
      <c r="L301" s="12" t="s">
        <v>50</v>
      </c>
      <c r="M301" s="52">
        <v>3213667.7413034462</v>
      </c>
      <c r="N301" s="56">
        <f t="shared" si="111"/>
        <v>0</v>
      </c>
      <c r="O301" s="56">
        <f t="shared" si="112"/>
        <v>3824264.6121511008</v>
      </c>
      <c r="P301" s="31">
        <f t="shared" si="113"/>
        <v>3481.763533373181</v>
      </c>
      <c r="Q301" s="31">
        <f t="shared" si="114"/>
        <v>0</v>
      </c>
      <c r="R301" s="60">
        <f t="shared" si="115"/>
        <v>4143.2986047140848</v>
      </c>
      <c r="S301" s="45">
        <f>INDEX(FX!$D$3:$O$19,MATCH(B301,FX!$B$3:$B$32,0),MATCH(D301,FX!$D$2:$O$2,0))</f>
        <v>923</v>
      </c>
      <c r="T301" s="12" t="s">
        <v>81</v>
      </c>
      <c r="U301" s="12" t="s">
        <v>32</v>
      </c>
      <c r="V301" s="12" t="s">
        <v>83</v>
      </c>
      <c r="W301" s="8" t="str">
        <f>VLOOKUP(I301,Map!$F$18:$H$51,3,0)</f>
        <v>Variable</v>
      </c>
      <c r="X301" s="88" t="s">
        <v>149</v>
      </c>
      <c r="Y301" s="107" t="str">
        <f>VLOOKUP(L301,Map!$C$18:$D$29,2,0)</f>
        <v>DGT</v>
      </c>
      <c r="Z301" s="52"/>
      <c r="AA301" s="56">
        <f t="shared" si="116"/>
        <v>0</v>
      </c>
      <c r="AB301" s="56">
        <f t="shared" si="117"/>
        <v>0</v>
      </c>
      <c r="AC301" s="31">
        <f t="shared" si="118"/>
        <v>0</v>
      </c>
      <c r="AD301" s="31">
        <f t="shared" si="119"/>
        <v>0</v>
      </c>
      <c r="AE301" s="60">
        <f t="shared" si="120"/>
        <v>0</v>
      </c>
      <c r="AF301" s="8"/>
    </row>
    <row r="302" spans="2:32" s="1" customFormat="1" ht="13" hidden="1" x14ac:dyDescent="0.3">
      <c r="B302" s="12">
        <v>2026</v>
      </c>
      <c r="C302" s="12" t="s">
        <v>176</v>
      </c>
      <c r="D302" s="12" t="s">
        <v>162</v>
      </c>
      <c r="E302" s="12" t="s">
        <v>88</v>
      </c>
      <c r="F302" s="12" t="s">
        <v>87</v>
      </c>
      <c r="G302" s="83">
        <v>46196</v>
      </c>
      <c r="H302" s="93">
        <v>473180</v>
      </c>
      <c r="I302" s="12" t="s">
        <v>29</v>
      </c>
      <c r="J302" s="8" t="str">
        <f>IFERROR(VLOOKUP(I302,Map!$F$18:$G$56,2,0),"Add in Map")</f>
        <v>3P</v>
      </c>
      <c r="K302" s="8" t="str">
        <f>VLOOKUP(L302,Map!$C$18:$D$29,2,0)</f>
        <v>DLT</v>
      </c>
      <c r="L302" s="12" t="s">
        <v>52</v>
      </c>
      <c r="M302" s="52">
        <v>1618812.9006997291</v>
      </c>
      <c r="N302" s="56">
        <f t="shared" si="111"/>
        <v>0</v>
      </c>
      <c r="O302" s="56">
        <f t="shared" si="112"/>
        <v>1926387.3518326776</v>
      </c>
      <c r="P302" s="31">
        <f t="shared" si="113"/>
        <v>1753.8601307689373</v>
      </c>
      <c r="Q302" s="31">
        <f t="shared" si="114"/>
        <v>0</v>
      </c>
      <c r="R302" s="60">
        <f t="shared" si="115"/>
        <v>2087.0935556150353</v>
      </c>
      <c r="S302" s="45">
        <f>INDEX(FX!$D$3:$O$19,MATCH(B302,FX!$B$3:$B$32,0),MATCH(D302,FX!$D$2:$O$2,0))</f>
        <v>923</v>
      </c>
      <c r="T302" s="12" t="s">
        <v>81</v>
      </c>
      <c r="U302" s="12" t="s">
        <v>32</v>
      </c>
      <c r="V302" s="12" t="s">
        <v>83</v>
      </c>
      <c r="W302" s="8" t="str">
        <f>VLOOKUP(I302,Map!$F$18:$H$51,3,0)</f>
        <v>Variable</v>
      </c>
      <c r="X302" s="88" t="s">
        <v>149</v>
      </c>
      <c r="Y302" s="107" t="str">
        <f>VLOOKUP(L302,Map!$C$18:$D$29,2,0)</f>
        <v>DLT</v>
      </c>
      <c r="Z302" s="52"/>
      <c r="AA302" s="56">
        <f t="shared" si="116"/>
        <v>0</v>
      </c>
      <c r="AB302" s="56">
        <f t="shared" si="117"/>
        <v>0</v>
      </c>
      <c r="AC302" s="31">
        <f t="shared" si="118"/>
        <v>0</v>
      </c>
      <c r="AD302" s="31">
        <f t="shared" si="119"/>
        <v>0</v>
      </c>
      <c r="AE302" s="60">
        <f t="shared" si="120"/>
        <v>0</v>
      </c>
      <c r="AF302" s="8"/>
    </row>
    <row r="303" spans="2:32" s="1" customFormat="1" ht="13" hidden="1" x14ac:dyDescent="0.3">
      <c r="B303" s="12">
        <v>2026</v>
      </c>
      <c r="C303" s="12" t="s">
        <v>176</v>
      </c>
      <c r="D303" s="12" t="s">
        <v>162</v>
      </c>
      <c r="E303" s="12" t="s">
        <v>88</v>
      </c>
      <c r="F303" s="12" t="s">
        <v>87</v>
      </c>
      <c r="G303" s="83">
        <v>46196</v>
      </c>
      <c r="H303" s="93">
        <v>473180</v>
      </c>
      <c r="I303" s="12" t="s">
        <v>29</v>
      </c>
      <c r="J303" s="8" t="str">
        <f>IFERROR(VLOOKUP(I303,Map!$F$18:$G$56,2,0),"Add in Map")</f>
        <v>3P</v>
      </c>
      <c r="K303" s="8" t="str">
        <f>VLOOKUP(L303,Map!$C$18:$D$29,2,0)</f>
        <v>DMT</v>
      </c>
      <c r="L303" s="12" t="s">
        <v>54</v>
      </c>
      <c r="M303" s="52">
        <v>0</v>
      </c>
      <c r="N303" s="56">
        <f t="shared" si="111"/>
        <v>0</v>
      </c>
      <c r="O303" s="56">
        <f t="shared" si="112"/>
        <v>0</v>
      </c>
      <c r="P303" s="48">
        <f t="shared" si="113"/>
        <v>0</v>
      </c>
      <c r="Q303" s="31">
        <f t="shared" si="114"/>
        <v>0</v>
      </c>
      <c r="R303" s="60">
        <f t="shared" si="115"/>
        <v>0</v>
      </c>
      <c r="S303" s="45">
        <f>INDEX(FX!$D$3:$O$19,MATCH(B303,FX!$B$3:$B$32,0),MATCH(D303,FX!$D$2:$O$2,0))</f>
        <v>923</v>
      </c>
      <c r="T303" s="12" t="s">
        <v>81</v>
      </c>
      <c r="U303" s="12" t="s">
        <v>32</v>
      </c>
      <c r="V303" s="12" t="s">
        <v>83</v>
      </c>
      <c r="W303" s="8" t="str">
        <f>VLOOKUP(I303,Map!$F$18:$H$51,3,0)</f>
        <v>Variable</v>
      </c>
      <c r="X303" s="88" t="s">
        <v>149</v>
      </c>
      <c r="Y303" s="107" t="str">
        <f>VLOOKUP(L303,Map!$C$18:$D$29,2,0)</f>
        <v>DMT</v>
      </c>
      <c r="Z303" s="52"/>
      <c r="AA303" s="56">
        <f t="shared" si="116"/>
        <v>0</v>
      </c>
      <c r="AB303" s="56">
        <f t="shared" si="117"/>
        <v>0</v>
      </c>
      <c r="AC303" s="48">
        <f t="shared" si="118"/>
        <v>0</v>
      </c>
      <c r="AD303" s="31">
        <f t="shared" si="119"/>
        <v>0</v>
      </c>
      <c r="AE303" s="60">
        <f t="shared" si="120"/>
        <v>0</v>
      </c>
      <c r="AF303" s="8"/>
    </row>
    <row r="304" spans="2:32" s="37" customFormat="1" hidden="1" x14ac:dyDescent="0.35">
      <c r="B304" s="13">
        <v>2026</v>
      </c>
      <c r="C304" s="13" t="s">
        <v>176</v>
      </c>
      <c r="D304" s="13" t="s">
        <v>162</v>
      </c>
      <c r="E304" s="13" t="s">
        <v>88</v>
      </c>
      <c r="F304" s="13" t="s">
        <v>87</v>
      </c>
      <c r="G304" s="85">
        <v>46196</v>
      </c>
      <c r="H304" s="94">
        <v>473180</v>
      </c>
      <c r="I304" s="13" t="s">
        <v>29</v>
      </c>
      <c r="J304" s="29" t="str">
        <f>IFERROR(VLOOKUP(I304,Map!$F$18:$G$56,2,0),"Add in Map")</f>
        <v>3P</v>
      </c>
      <c r="K304" s="29" t="str">
        <f>VLOOKUP(L304,Map!$C$18:$D$29,2,0)</f>
        <v>TOTAL</v>
      </c>
      <c r="L304" s="13" t="s">
        <v>56</v>
      </c>
      <c r="M304" s="57">
        <f>SUM(M293:M303)</f>
        <v>251810582.00000003</v>
      </c>
      <c r="N304" s="57">
        <f t="shared" si="111"/>
        <v>47844010.580000006</v>
      </c>
      <c r="O304" s="57">
        <f t="shared" si="112"/>
        <v>299654592.58000004</v>
      </c>
      <c r="P304" s="11">
        <f t="shared" si="113"/>
        <v>272817.5319609968</v>
      </c>
      <c r="Q304" s="11">
        <f t="shared" si="114"/>
        <v>51835.33107258939</v>
      </c>
      <c r="R304" s="61">
        <f t="shared" si="115"/>
        <v>324652.86303358618</v>
      </c>
      <c r="S304" s="46">
        <f>INDEX(FX!$D$3:$O$19,MATCH(B304,FX!$B$3:$B$32,0),MATCH(D304,FX!$D$2:$O$2,0))</f>
        <v>923</v>
      </c>
      <c r="T304" s="13" t="s">
        <v>81</v>
      </c>
      <c r="U304" s="13" t="s">
        <v>32</v>
      </c>
      <c r="V304" s="13" t="s">
        <v>83</v>
      </c>
      <c r="W304" s="29" t="str">
        <f>VLOOKUP(I304,Map!$F$18:$H$51,3,0)</f>
        <v>Variable</v>
      </c>
      <c r="X304" s="90" t="s">
        <v>149</v>
      </c>
      <c r="Y304" s="109" t="str">
        <f>VLOOKUP(L304,Map!$C$18:$D$29,2,0)</f>
        <v>TOTAL</v>
      </c>
      <c r="Z304" s="53"/>
      <c r="AA304" s="57">
        <f t="shared" si="116"/>
        <v>0</v>
      </c>
      <c r="AB304" s="57">
        <f t="shared" si="117"/>
        <v>0</v>
      </c>
      <c r="AC304" s="11">
        <f t="shared" si="118"/>
        <v>0</v>
      </c>
      <c r="AD304" s="11">
        <f t="shared" si="119"/>
        <v>0</v>
      </c>
      <c r="AE304" s="61">
        <f t="shared" si="120"/>
        <v>0</v>
      </c>
      <c r="AF304" s="87"/>
    </row>
    <row r="305" spans="2:32" s="5" customFormat="1" ht="13" hidden="1" x14ac:dyDescent="0.3">
      <c r="B305" s="114">
        <v>2026</v>
      </c>
      <c r="C305" s="114" t="s">
        <v>176</v>
      </c>
      <c r="D305" s="114" t="s">
        <v>162</v>
      </c>
      <c r="E305" s="114" t="s">
        <v>88</v>
      </c>
      <c r="F305" s="114" t="s">
        <v>87</v>
      </c>
      <c r="G305" s="115">
        <v>46196</v>
      </c>
      <c r="H305" s="116">
        <v>432245</v>
      </c>
      <c r="I305" s="114" t="s">
        <v>29</v>
      </c>
      <c r="J305" s="117" t="str">
        <f>IFERROR(VLOOKUP(I305,Map!$F$18:$G$56,2,0),"Add in Map")</f>
        <v>3P</v>
      </c>
      <c r="K305" s="117" t="str">
        <f>VLOOKUP(L305,Map!$C$18:$D$29,2,0)</f>
        <v>CNT</v>
      </c>
      <c r="L305" s="114" t="s">
        <v>31</v>
      </c>
      <c r="M305" s="118">
        <v>-18530452.810323246</v>
      </c>
      <c r="N305" s="119">
        <f t="shared" si="111"/>
        <v>0</v>
      </c>
      <c r="O305" s="119">
        <f t="shared" si="112"/>
        <v>-22051238.844284661</v>
      </c>
      <c r="P305" s="120">
        <f t="shared" si="113"/>
        <v>-20076.330238703409</v>
      </c>
      <c r="Q305" s="120">
        <f t="shared" si="114"/>
        <v>0</v>
      </c>
      <c r="R305" s="121">
        <f t="shared" si="115"/>
        <v>-23890.832984057055</v>
      </c>
      <c r="S305" s="122">
        <f>INDEX(FX!$D$3:$O$19,MATCH(B305,FX!$B$3:$B$32,0),MATCH(D305,FX!$D$2:$O$2,0))</f>
        <v>923</v>
      </c>
      <c r="T305" s="114" t="s">
        <v>81</v>
      </c>
      <c r="U305" s="114" t="s">
        <v>32</v>
      </c>
      <c r="V305" s="114" t="s">
        <v>93</v>
      </c>
      <c r="W305" s="117" t="str">
        <f>VLOOKUP(I305,Map!$F$18:$H$51,3,0)</f>
        <v>Variable</v>
      </c>
      <c r="X305" s="123" t="s">
        <v>149</v>
      </c>
      <c r="Y305" s="124" t="str">
        <f>VLOOKUP(L305,Map!$C$18:$D$29,2,0)</f>
        <v>CNT</v>
      </c>
      <c r="Z305" s="118"/>
      <c r="AA305" s="119">
        <f t="shared" si="116"/>
        <v>0</v>
      </c>
      <c r="AB305" s="119">
        <f t="shared" si="117"/>
        <v>0</v>
      </c>
      <c r="AC305" s="120">
        <f t="shared" si="118"/>
        <v>0</v>
      </c>
      <c r="AD305" s="120">
        <f t="shared" si="119"/>
        <v>0</v>
      </c>
      <c r="AE305" s="121">
        <f t="shared" si="120"/>
        <v>0</v>
      </c>
      <c r="AF305" s="117"/>
    </row>
    <row r="306" spans="2:32" s="1" customFormat="1" ht="13" hidden="1" x14ac:dyDescent="0.3">
      <c r="B306" s="12">
        <v>2026</v>
      </c>
      <c r="C306" s="12" t="s">
        <v>176</v>
      </c>
      <c r="D306" s="12" t="s">
        <v>162</v>
      </c>
      <c r="E306" s="12" t="s">
        <v>88</v>
      </c>
      <c r="F306" s="12" t="s">
        <v>87</v>
      </c>
      <c r="G306" s="83">
        <v>46196</v>
      </c>
      <c r="H306" s="93">
        <v>432245</v>
      </c>
      <c r="I306" s="12" t="s">
        <v>29</v>
      </c>
      <c r="J306" s="8" t="str">
        <f>IFERROR(VLOOKUP(I306,Map!$F$18:$G$56,2,0),"Add in Map")</f>
        <v>3P</v>
      </c>
      <c r="K306" s="8" t="str">
        <f>VLOOKUP(L306,Map!$C$18:$D$29,2,0)</f>
        <v>CVT</v>
      </c>
      <c r="L306" s="12" t="s">
        <v>36</v>
      </c>
      <c r="M306" s="52">
        <v>-377971.17779717781</v>
      </c>
      <c r="N306" s="56">
        <f t="shared" si="111"/>
        <v>0</v>
      </c>
      <c r="O306" s="56">
        <f t="shared" si="112"/>
        <v>-449785.70157864154</v>
      </c>
      <c r="P306" s="31">
        <f t="shared" si="113"/>
        <v>-409.50290118870834</v>
      </c>
      <c r="Q306" s="31">
        <f t="shared" si="114"/>
        <v>0</v>
      </c>
      <c r="R306" s="60">
        <f t="shared" si="115"/>
        <v>-487.30845241456291</v>
      </c>
      <c r="S306" s="45">
        <f>INDEX(FX!$D$3:$O$19,MATCH(B306,FX!$B$3:$B$32,0),MATCH(D306,FX!$D$2:$O$2,0))</f>
        <v>923</v>
      </c>
      <c r="T306" s="12" t="s">
        <v>81</v>
      </c>
      <c r="U306" s="12" t="s">
        <v>32</v>
      </c>
      <c r="V306" s="12" t="s">
        <v>93</v>
      </c>
      <c r="W306" s="8" t="str">
        <f>VLOOKUP(I306,Map!$F$18:$H$51,3,0)</f>
        <v>Variable</v>
      </c>
      <c r="X306" s="88" t="s">
        <v>149</v>
      </c>
      <c r="Y306" s="107" t="str">
        <f>VLOOKUP(L306,Map!$C$18:$D$29,2,0)</f>
        <v>CVT</v>
      </c>
      <c r="Z306" s="52"/>
      <c r="AA306" s="56">
        <f t="shared" si="116"/>
        <v>0</v>
      </c>
      <c r="AB306" s="56">
        <f t="shared" si="117"/>
        <v>0</v>
      </c>
      <c r="AC306" s="31">
        <f t="shared" si="118"/>
        <v>0</v>
      </c>
      <c r="AD306" s="31">
        <f t="shared" si="119"/>
        <v>0</v>
      </c>
      <c r="AE306" s="60">
        <f t="shared" si="120"/>
        <v>0</v>
      </c>
      <c r="AF306" s="8"/>
    </row>
    <row r="307" spans="2:32" s="1" customFormat="1" ht="13" hidden="1" x14ac:dyDescent="0.3">
      <c r="B307" s="12">
        <v>2026</v>
      </c>
      <c r="C307" s="12" t="s">
        <v>176</v>
      </c>
      <c r="D307" s="12" t="s">
        <v>162</v>
      </c>
      <c r="E307" s="12" t="s">
        <v>88</v>
      </c>
      <c r="F307" s="12" t="s">
        <v>87</v>
      </c>
      <c r="G307" s="83">
        <v>46196</v>
      </c>
      <c r="H307" s="93">
        <v>432245</v>
      </c>
      <c r="I307" s="12" t="s">
        <v>29</v>
      </c>
      <c r="J307" s="8" t="str">
        <f>IFERROR(VLOOKUP(I307,Map!$F$18:$G$56,2,0),"Add in Map")</f>
        <v>3P</v>
      </c>
      <c r="K307" s="8" t="str">
        <f>VLOOKUP(L307,Map!$C$18:$D$29,2,0)</f>
        <v>CDT</v>
      </c>
      <c r="L307" s="12" t="s">
        <v>38</v>
      </c>
      <c r="M307" s="52">
        <v>-1554002.8635011325</v>
      </c>
      <c r="N307" s="56">
        <f t="shared" si="111"/>
        <v>0</v>
      </c>
      <c r="O307" s="56">
        <f t="shared" si="112"/>
        <v>-1849263.4075663476</v>
      </c>
      <c r="P307" s="31">
        <f t="shared" si="113"/>
        <v>-1683.6434057433721</v>
      </c>
      <c r="Q307" s="31">
        <f t="shared" si="114"/>
        <v>0</v>
      </c>
      <c r="R307" s="60">
        <f t="shared" si="115"/>
        <v>-2003.5356528346126</v>
      </c>
      <c r="S307" s="45">
        <f>INDEX(FX!$D$3:$O$19,MATCH(B307,FX!$B$3:$B$32,0),MATCH(D307,FX!$D$2:$O$2,0))</f>
        <v>923</v>
      </c>
      <c r="T307" s="12" t="s">
        <v>81</v>
      </c>
      <c r="U307" s="12" t="s">
        <v>32</v>
      </c>
      <c r="V307" s="12" t="s">
        <v>93</v>
      </c>
      <c r="W307" s="8" t="str">
        <f>VLOOKUP(I307,Map!$F$18:$H$51,3,0)</f>
        <v>Variable</v>
      </c>
      <c r="X307" s="88" t="s">
        <v>149</v>
      </c>
      <c r="Y307" s="107" t="str">
        <f>VLOOKUP(L307,Map!$C$18:$D$29,2,0)</f>
        <v>CDT</v>
      </c>
      <c r="Z307" s="52"/>
      <c r="AA307" s="56">
        <f t="shared" si="116"/>
        <v>0</v>
      </c>
      <c r="AB307" s="56">
        <f t="shared" si="117"/>
        <v>0</v>
      </c>
      <c r="AC307" s="31">
        <f t="shared" si="118"/>
        <v>0</v>
      </c>
      <c r="AD307" s="31">
        <f t="shared" si="119"/>
        <v>0</v>
      </c>
      <c r="AE307" s="60">
        <f t="shared" si="120"/>
        <v>0</v>
      </c>
      <c r="AF307" s="8"/>
    </row>
    <row r="308" spans="2:32" s="1" customFormat="1" ht="13" hidden="1" x14ac:dyDescent="0.3">
      <c r="B308" s="12">
        <v>2026</v>
      </c>
      <c r="C308" s="12" t="s">
        <v>176</v>
      </c>
      <c r="D308" s="12" t="s">
        <v>162</v>
      </c>
      <c r="E308" s="12" t="s">
        <v>88</v>
      </c>
      <c r="F308" s="12" t="s">
        <v>87</v>
      </c>
      <c r="G308" s="83">
        <v>46196</v>
      </c>
      <c r="H308" s="93">
        <v>432245</v>
      </c>
      <c r="I308" s="12" t="s">
        <v>29</v>
      </c>
      <c r="J308" s="8" t="str">
        <f>IFERROR(VLOOKUP(I308,Map!$F$18:$G$56,2,0),"Add in Map")</f>
        <v>3P</v>
      </c>
      <c r="K308" s="8" t="str">
        <f>VLOOKUP(L308,Map!$C$18:$D$29,2,0)</f>
        <v>DFT</v>
      </c>
      <c r="L308" s="12" t="s">
        <v>40</v>
      </c>
      <c r="M308" s="52">
        <v>-40127779.364692219</v>
      </c>
      <c r="N308" s="56">
        <f t="shared" si="111"/>
        <v>0</v>
      </c>
      <c r="O308" s="56">
        <f t="shared" si="112"/>
        <v>-47752057.443983741</v>
      </c>
      <c r="P308" s="31">
        <f t="shared" si="113"/>
        <v>-43475.383927077157</v>
      </c>
      <c r="Q308" s="31">
        <f t="shared" si="114"/>
        <v>0</v>
      </c>
      <c r="R308" s="60">
        <f t="shared" si="115"/>
        <v>-51735.706873221818</v>
      </c>
      <c r="S308" s="45">
        <f>INDEX(FX!$D$3:$O$19,MATCH(B308,FX!$B$3:$B$32,0),MATCH(D308,FX!$D$2:$O$2,0))</f>
        <v>923</v>
      </c>
      <c r="T308" s="12" t="s">
        <v>81</v>
      </c>
      <c r="U308" s="12" t="s">
        <v>32</v>
      </c>
      <c r="V308" s="12" t="s">
        <v>93</v>
      </c>
      <c r="W308" s="8" t="str">
        <f>VLOOKUP(I308,Map!$F$18:$H$51,3,0)</f>
        <v>Variable</v>
      </c>
      <c r="X308" s="88" t="s">
        <v>149</v>
      </c>
      <c r="Y308" s="107" t="str">
        <f>VLOOKUP(L308,Map!$C$18:$D$29,2,0)</f>
        <v>DFT</v>
      </c>
      <c r="Z308" s="52"/>
      <c r="AA308" s="56">
        <f t="shared" si="116"/>
        <v>0</v>
      </c>
      <c r="AB308" s="56">
        <f t="shared" si="117"/>
        <v>0</v>
      </c>
      <c r="AC308" s="31">
        <f t="shared" si="118"/>
        <v>0</v>
      </c>
      <c r="AD308" s="31">
        <f t="shared" si="119"/>
        <v>0</v>
      </c>
      <c r="AE308" s="60">
        <f t="shared" si="120"/>
        <v>0</v>
      </c>
      <c r="AF308" s="8"/>
    </row>
    <row r="309" spans="2:32" s="1" customFormat="1" ht="13" hidden="1" x14ac:dyDescent="0.3">
      <c r="B309" s="12">
        <v>2026</v>
      </c>
      <c r="C309" s="12" t="s">
        <v>176</v>
      </c>
      <c r="D309" s="12" t="s">
        <v>162</v>
      </c>
      <c r="E309" s="12" t="s">
        <v>88</v>
      </c>
      <c r="F309" s="12" t="s">
        <v>87</v>
      </c>
      <c r="G309" s="83">
        <v>46196</v>
      </c>
      <c r="H309" s="93">
        <v>432245</v>
      </c>
      <c r="I309" s="12" t="s">
        <v>29</v>
      </c>
      <c r="J309" s="8" t="str">
        <f>IFERROR(VLOOKUP(I309,Map!$F$18:$G$56,2,0),"Add in Map")</f>
        <v>3P</v>
      </c>
      <c r="K309" s="8" t="str">
        <f>VLOOKUP(L309,Map!$C$18:$D$29,2,0)</f>
        <v>DVT</v>
      </c>
      <c r="L309" s="12" t="s">
        <v>42</v>
      </c>
      <c r="M309" s="52">
        <v>-175678.81334375456</v>
      </c>
      <c r="N309" s="56">
        <f t="shared" si="111"/>
        <v>0</v>
      </c>
      <c r="O309" s="56">
        <f t="shared" si="112"/>
        <v>-209057.78787906791</v>
      </c>
      <c r="P309" s="31">
        <f t="shared" si="113"/>
        <v>-190.33457567037331</v>
      </c>
      <c r="Q309" s="31">
        <f t="shared" si="114"/>
        <v>0</v>
      </c>
      <c r="R309" s="60">
        <f t="shared" si="115"/>
        <v>-226.49814504774423</v>
      </c>
      <c r="S309" s="45">
        <f>INDEX(FX!$D$3:$O$19,MATCH(B309,FX!$B$3:$B$32,0),MATCH(D309,FX!$D$2:$O$2,0))</f>
        <v>923</v>
      </c>
      <c r="T309" s="12" t="s">
        <v>81</v>
      </c>
      <c r="U309" s="12" t="s">
        <v>32</v>
      </c>
      <c r="V309" s="12" t="s">
        <v>93</v>
      </c>
      <c r="W309" s="8" t="str">
        <f>VLOOKUP(I309,Map!$F$18:$H$51,3,0)</f>
        <v>Variable</v>
      </c>
      <c r="X309" s="88" t="s">
        <v>149</v>
      </c>
      <c r="Y309" s="107" t="str">
        <f>VLOOKUP(L309,Map!$C$18:$D$29,2,0)</f>
        <v>DVT</v>
      </c>
      <c r="Z309" s="52"/>
      <c r="AA309" s="56">
        <f t="shared" si="116"/>
        <v>0</v>
      </c>
      <c r="AB309" s="56">
        <f t="shared" si="117"/>
        <v>0</v>
      </c>
      <c r="AC309" s="31">
        <f t="shared" si="118"/>
        <v>0</v>
      </c>
      <c r="AD309" s="31">
        <f t="shared" si="119"/>
        <v>0</v>
      </c>
      <c r="AE309" s="60">
        <f t="shared" si="120"/>
        <v>0</v>
      </c>
      <c r="AF309" s="8"/>
    </row>
    <row r="310" spans="2:32" s="1" customFormat="1" ht="13" hidden="1" x14ac:dyDescent="0.3">
      <c r="B310" s="12">
        <v>2026</v>
      </c>
      <c r="C310" s="12" t="s">
        <v>176</v>
      </c>
      <c r="D310" s="12" t="s">
        <v>162</v>
      </c>
      <c r="E310" s="12" t="s">
        <v>88</v>
      </c>
      <c r="F310" s="12" t="s">
        <v>87</v>
      </c>
      <c r="G310" s="83">
        <v>46196</v>
      </c>
      <c r="H310" s="93">
        <v>432245</v>
      </c>
      <c r="I310" s="12" t="s">
        <v>29</v>
      </c>
      <c r="J310" s="8" t="str">
        <f>IFERROR(VLOOKUP(I310,Map!$F$18:$G$56,2,0),"Add in Map")</f>
        <v>3P</v>
      </c>
      <c r="K310" s="8" t="str">
        <f>VLOOKUP(L310,Map!$C$18:$D$29,2,0)</f>
        <v>GLT</v>
      </c>
      <c r="L310" s="12" t="s">
        <v>44</v>
      </c>
      <c r="M310" s="52">
        <v>-31755830.030153159</v>
      </c>
      <c r="N310" s="56">
        <f t="shared" si="111"/>
        <v>0</v>
      </c>
      <c r="O310" s="56">
        <f t="shared" si="112"/>
        <v>-37789437.73588226</v>
      </c>
      <c r="P310" s="31">
        <f t="shared" si="113"/>
        <v>-34405.016284022924</v>
      </c>
      <c r="Q310" s="31">
        <f t="shared" si="114"/>
        <v>0</v>
      </c>
      <c r="R310" s="60">
        <f t="shared" si="115"/>
        <v>-40941.969377987276</v>
      </c>
      <c r="S310" s="45">
        <f>INDEX(FX!$D$3:$O$19,MATCH(B310,FX!$B$3:$B$32,0),MATCH(D310,FX!$D$2:$O$2,0))</f>
        <v>923</v>
      </c>
      <c r="T310" s="12" t="s">
        <v>81</v>
      </c>
      <c r="U310" s="12" t="s">
        <v>32</v>
      </c>
      <c r="V310" s="12" t="s">
        <v>93</v>
      </c>
      <c r="W310" s="8" t="str">
        <f>VLOOKUP(I310,Map!$F$18:$H$51,3,0)</f>
        <v>Variable</v>
      </c>
      <c r="X310" s="88" t="s">
        <v>149</v>
      </c>
      <c r="Y310" s="107" t="str">
        <f>VLOOKUP(L310,Map!$C$18:$D$29,2,0)</f>
        <v>GLT</v>
      </c>
      <c r="Z310" s="52"/>
      <c r="AA310" s="56">
        <f t="shared" si="116"/>
        <v>0</v>
      </c>
      <c r="AB310" s="56">
        <f t="shared" si="117"/>
        <v>0</v>
      </c>
      <c r="AC310" s="31">
        <f t="shared" si="118"/>
        <v>0</v>
      </c>
      <c r="AD310" s="31">
        <f t="shared" si="119"/>
        <v>0</v>
      </c>
      <c r="AE310" s="60">
        <f t="shared" si="120"/>
        <v>0</v>
      </c>
      <c r="AF310" s="8"/>
    </row>
    <row r="311" spans="2:32" s="1" customFormat="1" ht="13" hidden="1" x14ac:dyDescent="0.3">
      <c r="B311" s="12">
        <v>2026</v>
      </c>
      <c r="C311" s="12" t="s">
        <v>176</v>
      </c>
      <c r="D311" s="12" t="s">
        <v>162</v>
      </c>
      <c r="E311" s="12" t="s">
        <v>88</v>
      </c>
      <c r="F311" s="12" t="s">
        <v>87</v>
      </c>
      <c r="G311" s="83">
        <v>46196</v>
      </c>
      <c r="H311" s="93">
        <v>432245</v>
      </c>
      <c r="I311" s="12" t="s">
        <v>29</v>
      </c>
      <c r="J311" s="8" t="str">
        <f>IFERROR(VLOOKUP(I311,Map!$F$18:$G$56,2,0),"Add in Map")</f>
        <v>3P</v>
      </c>
      <c r="K311" s="8" t="str">
        <f>VLOOKUP(L311,Map!$C$18:$D$29,2,0)</f>
        <v>PNT</v>
      </c>
      <c r="L311" s="12" t="s">
        <v>46</v>
      </c>
      <c r="M311" s="52">
        <v>-1723272.8901281594</v>
      </c>
      <c r="N311" s="56">
        <f t="shared" si="111"/>
        <v>0</v>
      </c>
      <c r="O311" s="56">
        <f t="shared" si="112"/>
        <v>-2050694.7392525095</v>
      </c>
      <c r="P311" s="31">
        <f t="shared" si="113"/>
        <v>-1867.0345505180492</v>
      </c>
      <c r="Q311" s="31">
        <f t="shared" si="114"/>
        <v>0</v>
      </c>
      <c r="R311" s="60">
        <f t="shared" si="115"/>
        <v>-2221.7711151164785</v>
      </c>
      <c r="S311" s="45">
        <f>INDEX(FX!$D$3:$O$19,MATCH(B311,FX!$B$3:$B$32,0),MATCH(D311,FX!$D$2:$O$2,0))</f>
        <v>923</v>
      </c>
      <c r="T311" s="12" t="s">
        <v>81</v>
      </c>
      <c r="U311" s="12" t="s">
        <v>32</v>
      </c>
      <c r="V311" s="12" t="s">
        <v>93</v>
      </c>
      <c r="W311" s="8" t="str">
        <f>VLOOKUP(I311,Map!$F$18:$H$51,3,0)</f>
        <v>Variable</v>
      </c>
      <c r="X311" s="88" t="s">
        <v>149</v>
      </c>
      <c r="Y311" s="107" t="str">
        <f>VLOOKUP(L311,Map!$C$18:$D$29,2,0)</f>
        <v>PNT</v>
      </c>
      <c r="Z311" s="52"/>
      <c r="AA311" s="56">
        <f t="shared" si="116"/>
        <v>0</v>
      </c>
      <c r="AB311" s="56">
        <f t="shared" si="117"/>
        <v>0</v>
      </c>
      <c r="AC311" s="31">
        <f t="shared" si="118"/>
        <v>0</v>
      </c>
      <c r="AD311" s="31">
        <f t="shared" si="119"/>
        <v>0</v>
      </c>
      <c r="AE311" s="60">
        <f t="shared" si="120"/>
        <v>0</v>
      </c>
      <c r="AF311" s="8"/>
    </row>
    <row r="312" spans="2:32" s="1" customFormat="1" ht="13" hidden="1" x14ac:dyDescent="0.3">
      <c r="B312" s="12">
        <v>2026</v>
      </c>
      <c r="C312" s="12" t="s">
        <v>176</v>
      </c>
      <c r="D312" s="12" t="s">
        <v>162</v>
      </c>
      <c r="E312" s="12" t="s">
        <v>88</v>
      </c>
      <c r="F312" s="12" t="s">
        <v>87</v>
      </c>
      <c r="G312" s="83">
        <v>46196</v>
      </c>
      <c r="H312" s="93">
        <v>432245</v>
      </c>
      <c r="I312" s="12" t="s">
        <v>29</v>
      </c>
      <c r="J312" s="8" t="str">
        <f>IFERROR(VLOOKUP(I312,Map!$F$18:$G$56,2,0),"Add in Map")</f>
        <v>3P</v>
      </c>
      <c r="K312" s="8" t="str">
        <f>VLOOKUP(L312,Map!$C$18:$D$29,2,0)</f>
        <v>GTT</v>
      </c>
      <c r="L312" s="12" t="s">
        <v>48</v>
      </c>
      <c r="M312" s="52">
        <v>-3426949.5617989968</v>
      </c>
      <c r="N312" s="56">
        <f t="shared" si="111"/>
        <v>0</v>
      </c>
      <c r="O312" s="56">
        <f t="shared" si="112"/>
        <v>-4078069.9785408061</v>
      </c>
      <c r="P312" s="31">
        <f t="shared" si="113"/>
        <v>-3712.8380951235067</v>
      </c>
      <c r="Q312" s="31">
        <f t="shared" si="114"/>
        <v>0</v>
      </c>
      <c r="R312" s="60">
        <f t="shared" si="115"/>
        <v>-4418.2773331969729</v>
      </c>
      <c r="S312" s="45">
        <f>INDEX(FX!$D$3:$O$19,MATCH(B312,FX!$B$3:$B$32,0),MATCH(D312,FX!$D$2:$O$2,0))</f>
        <v>923</v>
      </c>
      <c r="T312" s="12" t="s">
        <v>81</v>
      </c>
      <c r="U312" s="12" t="s">
        <v>32</v>
      </c>
      <c r="V312" s="12" t="s">
        <v>93</v>
      </c>
      <c r="W312" s="8" t="str">
        <f>VLOOKUP(I312,Map!$F$18:$H$51,3,0)</f>
        <v>Variable</v>
      </c>
      <c r="X312" s="88" t="s">
        <v>149</v>
      </c>
      <c r="Y312" s="107" t="str">
        <f>VLOOKUP(L312,Map!$C$18:$D$29,2,0)</f>
        <v>GTT</v>
      </c>
      <c r="Z312" s="52"/>
      <c r="AA312" s="56">
        <f t="shared" si="116"/>
        <v>0</v>
      </c>
      <c r="AB312" s="56">
        <f t="shared" si="117"/>
        <v>0</v>
      </c>
      <c r="AC312" s="31">
        <f t="shared" si="118"/>
        <v>0</v>
      </c>
      <c r="AD312" s="31">
        <f t="shared" si="119"/>
        <v>0</v>
      </c>
      <c r="AE312" s="60">
        <f t="shared" si="120"/>
        <v>0</v>
      </c>
      <c r="AF312" s="8"/>
    </row>
    <row r="313" spans="2:32" s="1" customFormat="1" ht="13" hidden="1" x14ac:dyDescent="0.3">
      <c r="B313" s="12">
        <v>2026</v>
      </c>
      <c r="C313" s="12" t="s">
        <v>176</v>
      </c>
      <c r="D313" s="12" t="s">
        <v>162</v>
      </c>
      <c r="E313" s="12" t="s">
        <v>88</v>
      </c>
      <c r="F313" s="12" t="s">
        <v>87</v>
      </c>
      <c r="G313" s="83">
        <v>46196</v>
      </c>
      <c r="H313" s="93">
        <v>432245</v>
      </c>
      <c r="I313" s="12" t="s">
        <v>29</v>
      </c>
      <c r="J313" s="8" t="str">
        <f>IFERROR(VLOOKUP(I313,Map!$F$18:$G$56,2,0),"Add in Map")</f>
        <v>3P</v>
      </c>
      <c r="K313" s="8" t="str">
        <f>VLOOKUP(L313,Map!$C$18:$D$29,2,0)</f>
        <v>DGT</v>
      </c>
      <c r="L313" s="12" t="s">
        <v>50</v>
      </c>
      <c r="M313" s="52">
        <v>-1270902.7767490151</v>
      </c>
      <c r="N313" s="56">
        <f t="shared" si="111"/>
        <v>0</v>
      </c>
      <c r="O313" s="56">
        <f t="shared" si="112"/>
        <v>-1512374.3043313278</v>
      </c>
      <c r="P313" s="31">
        <f t="shared" si="113"/>
        <v>-1376.9260853185428</v>
      </c>
      <c r="Q313" s="31">
        <f t="shared" si="114"/>
        <v>0</v>
      </c>
      <c r="R313" s="60">
        <f t="shared" si="115"/>
        <v>-1638.542041529066</v>
      </c>
      <c r="S313" s="45">
        <f>INDEX(FX!$D$3:$O$19,MATCH(B313,FX!$B$3:$B$32,0),MATCH(D313,FX!$D$2:$O$2,0))</f>
        <v>923</v>
      </c>
      <c r="T313" s="12" t="s">
        <v>81</v>
      </c>
      <c r="U313" s="12" t="s">
        <v>32</v>
      </c>
      <c r="V313" s="12" t="s">
        <v>93</v>
      </c>
      <c r="W313" s="8" t="str">
        <f>VLOOKUP(I313,Map!$F$18:$H$51,3,0)</f>
        <v>Variable</v>
      </c>
      <c r="X313" s="88" t="s">
        <v>149</v>
      </c>
      <c r="Y313" s="107" t="str">
        <f>VLOOKUP(L313,Map!$C$18:$D$29,2,0)</f>
        <v>DGT</v>
      </c>
      <c r="Z313" s="52"/>
      <c r="AA313" s="56">
        <f t="shared" si="116"/>
        <v>0</v>
      </c>
      <c r="AB313" s="56">
        <f t="shared" si="117"/>
        <v>0</v>
      </c>
      <c r="AC313" s="31">
        <f t="shared" si="118"/>
        <v>0</v>
      </c>
      <c r="AD313" s="31">
        <f t="shared" si="119"/>
        <v>0</v>
      </c>
      <c r="AE313" s="60">
        <f t="shared" si="120"/>
        <v>0</v>
      </c>
      <c r="AF313" s="8"/>
    </row>
    <row r="314" spans="2:32" s="1" customFormat="1" ht="13" hidden="1" x14ac:dyDescent="0.3">
      <c r="B314" s="12">
        <v>2026</v>
      </c>
      <c r="C314" s="12" t="s">
        <v>176</v>
      </c>
      <c r="D314" s="12" t="s">
        <v>162</v>
      </c>
      <c r="E314" s="12" t="s">
        <v>88</v>
      </c>
      <c r="F314" s="12" t="s">
        <v>87</v>
      </c>
      <c r="G314" s="83">
        <v>46196</v>
      </c>
      <c r="H314" s="93">
        <v>432245</v>
      </c>
      <c r="I314" s="12" t="s">
        <v>29</v>
      </c>
      <c r="J314" s="8" t="str">
        <f>IFERROR(VLOOKUP(I314,Map!$F$18:$G$56,2,0),"Add in Map")</f>
        <v>3P</v>
      </c>
      <c r="K314" s="8" t="str">
        <f>VLOOKUP(L314,Map!$C$18:$D$29,2,0)</f>
        <v>DLT</v>
      </c>
      <c r="L314" s="12" t="s">
        <v>52</v>
      </c>
      <c r="M314" s="52">
        <v>-640188.71151314536</v>
      </c>
      <c r="N314" s="56">
        <f t="shared" si="111"/>
        <v>0</v>
      </c>
      <c r="O314" s="56">
        <f t="shared" si="112"/>
        <v>-761824.56670064293</v>
      </c>
      <c r="P314" s="31">
        <f t="shared" si="113"/>
        <v>-693.59557043677717</v>
      </c>
      <c r="Q314" s="31">
        <f t="shared" si="114"/>
        <v>0</v>
      </c>
      <c r="R314" s="60">
        <f t="shared" si="115"/>
        <v>-825.37872881976477</v>
      </c>
      <c r="S314" s="45">
        <f>INDEX(FX!$D$3:$O$19,MATCH(B314,FX!$B$3:$B$32,0),MATCH(D314,FX!$D$2:$O$2,0))</f>
        <v>923</v>
      </c>
      <c r="T314" s="12" t="s">
        <v>81</v>
      </c>
      <c r="U314" s="12" t="s">
        <v>32</v>
      </c>
      <c r="V314" s="12" t="s">
        <v>93</v>
      </c>
      <c r="W314" s="8" t="str">
        <f>VLOOKUP(I314,Map!$F$18:$H$51,3,0)</f>
        <v>Variable</v>
      </c>
      <c r="X314" s="88" t="s">
        <v>149</v>
      </c>
      <c r="Y314" s="107" t="str">
        <f>VLOOKUP(L314,Map!$C$18:$D$29,2,0)</f>
        <v>DLT</v>
      </c>
      <c r="Z314" s="52"/>
      <c r="AA314" s="56">
        <f t="shared" si="116"/>
        <v>0</v>
      </c>
      <c r="AB314" s="56">
        <f t="shared" si="117"/>
        <v>0</v>
      </c>
      <c r="AC314" s="31">
        <f t="shared" si="118"/>
        <v>0</v>
      </c>
      <c r="AD314" s="31">
        <f t="shared" si="119"/>
        <v>0</v>
      </c>
      <c r="AE314" s="60">
        <f t="shared" si="120"/>
        <v>0</v>
      </c>
      <c r="AF314" s="8"/>
    </row>
    <row r="315" spans="2:32" s="1" customFormat="1" ht="13" hidden="1" x14ac:dyDescent="0.3">
      <c r="B315" s="12">
        <v>2026</v>
      </c>
      <c r="C315" s="12" t="s">
        <v>176</v>
      </c>
      <c r="D315" s="12" t="s">
        <v>162</v>
      </c>
      <c r="E315" s="12" t="s">
        <v>88</v>
      </c>
      <c r="F315" s="12" t="s">
        <v>87</v>
      </c>
      <c r="G315" s="83">
        <v>46196</v>
      </c>
      <c r="H315" s="93">
        <v>432245</v>
      </c>
      <c r="I315" s="12" t="s">
        <v>29</v>
      </c>
      <c r="J315" s="8" t="str">
        <f>IFERROR(VLOOKUP(I315,Map!$F$18:$G$56,2,0),"Add in Map")</f>
        <v>3P</v>
      </c>
      <c r="K315" s="8" t="str">
        <f>VLOOKUP(L315,Map!$C$18:$D$29,2,0)</f>
        <v>DMT</v>
      </c>
      <c r="L315" s="12" t="s">
        <v>54</v>
      </c>
      <c r="M315" s="52"/>
      <c r="N315" s="56">
        <f t="shared" si="111"/>
        <v>0</v>
      </c>
      <c r="O315" s="56">
        <f t="shared" si="112"/>
        <v>0</v>
      </c>
      <c r="P315" s="48">
        <f t="shared" si="113"/>
        <v>0</v>
      </c>
      <c r="Q315" s="31">
        <f t="shared" si="114"/>
        <v>0</v>
      </c>
      <c r="R315" s="60">
        <f t="shared" si="115"/>
        <v>0</v>
      </c>
      <c r="S315" s="45">
        <f>INDEX(FX!$D$3:$O$19,MATCH(B315,FX!$B$3:$B$32,0),MATCH(D315,FX!$D$2:$O$2,0))</f>
        <v>923</v>
      </c>
      <c r="T315" s="12" t="s">
        <v>81</v>
      </c>
      <c r="U315" s="12" t="s">
        <v>32</v>
      </c>
      <c r="V315" s="12" t="s">
        <v>93</v>
      </c>
      <c r="W315" s="8" t="str">
        <f>VLOOKUP(I315,Map!$F$18:$H$51,3,0)</f>
        <v>Variable</v>
      </c>
      <c r="X315" s="88" t="s">
        <v>149</v>
      </c>
      <c r="Y315" s="107" t="str">
        <f>VLOOKUP(L315,Map!$C$18:$D$29,2,0)</f>
        <v>DMT</v>
      </c>
      <c r="Z315" s="52"/>
      <c r="AA315" s="56">
        <f t="shared" si="116"/>
        <v>0</v>
      </c>
      <c r="AB315" s="56">
        <f t="shared" si="117"/>
        <v>0</v>
      </c>
      <c r="AC315" s="48">
        <f t="shared" si="118"/>
        <v>0</v>
      </c>
      <c r="AD315" s="31">
        <f t="shared" si="119"/>
        <v>0</v>
      </c>
      <c r="AE315" s="60">
        <f t="shared" si="120"/>
        <v>0</v>
      </c>
      <c r="AF315" s="8"/>
    </row>
    <row r="316" spans="2:32" s="37" customFormat="1" hidden="1" x14ac:dyDescent="0.35">
      <c r="B316" s="13">
        <v>2026</v>
      </c>
      <c r="C316" s="13" t="s">
        <v>176</v>
      </c>
      <c r="D316" s="13" t="s">
        <v>162</v>
      </c>
      <c r="E316" s="13" t="s">
        <v>88</v>
      </c>
      <c r="F316" s="13" t="s">
        <v>87</v>
      </c>
      <c r="G316" s="85">
        <v>46196</v>
      </c>
      <c r="H316" s="94">
        <v>432245</v>
      </c>
      <c r="I316" s="13" t="s">
        <v>29</v>
      </c>
      <c r="J316" s="29" t="str">
        <f>IFERROR(VLOOKUP(I316,Map!$F$18:$G$56,2,0),"Add in Map")</f>
        <v>3P</v>
      </c>
      <c r="K316" s="29" t="str">
        <f>VLOOKUP(L316,Map!$C$18:$D$29,2,0)</f>
        <v>TOTAL</v>
      </c>
      <c r="L316" s="13" t="s">
        <v>56</v>
      </c>
      <c r="M316" s="57">
        <f>SUM(M305:M315)</f>
        <v>-99583029</v>
      </c>
      <c r="N316" s="57">
        <f t="shared" si="111"/>
        <v>-18920775.510000002</v>
      </c>
      <c r="O316" s="57">
        <f t="shared" si="112"/>
        <v>-118503804.50999999</v>
      </c>
      <c r="P316" s="11">
        <f t="shared" si="113"/>
        <v>-107890.60563380281</v>
      </c>
      <c r="Q316" s="11">
        <f t="shared" si="114"/>
        <v>-20499.215070422535</v>
      </c>
      <c r="R316" s="61">
        <f t="shared" si="115"/>
        <v>-128389.82070422535</v>
      </c>
      <c r="S316" s="46">
        <f>INDEX(FX!$D$3:$O$19,MATCH(B316,FX!$B$3:$B$32,0),MATCH(D316,FX!$D$2:$O$2,0))</f>
        <v>923</v>
      </c>
      <c r="T316" s="13" t="s">
        <v>81</v>
      </c>
      <c r="U316" s="13" t="s">
        <v>32</v>
      </c>
      <c r="V316" s="13" t="s">
        <v>93</v>
      </c>
      <c r="W316" s="29" t="str">
        <f>VLOOKUP(I316,Map!$F$18:$H$51,3,0)</f>
        <v>Variable</v>
      </c>
      <c r="X316" s="90" t="s">
        <v>149</v>
      </c>
      <c r="Y316" s="109" t="str">
        <f>VLOOKUP(L316,Map!$C$18:$D$29,2,0)</f>
        <v>TOTAL</v>
      </c>
      <c r="Z316" s="53"/>
      <c r="AA316" s="57">
        <f t="shared" si="116"/>
        <v>0</v>
      </c>
      <c r="AB316" s="57">
        <f t="shared" si="117"/>
        <v>0</v>
      </c>
      <c r="AC316" s="11">
        <f t="shared" si="118"/>
        <v>0</v>
      </c>
      <c r="AD316" s="11">
        <f t="shared" si="119"/>
        <v>0</v>
      </c>
      <c r="AE316" s="61">
        <f t="shared" si="120"/>
        <v>0</v>
      </c>
      <c r="AF316" s="87"/>
    </row>
    <row r="317" spans="2:32" s="5" customFormat="1" ht="13" x14ac:dyDescent="0.3">
      <c r="B317" s="114">
        <v>2026</v>
      </c>
      <c r="C317" s="114" t="s">
        <v>178</v>
      </c>
      <c r="D317" s="114" t="s">
        <v>162</v>
      </c>
      <c r="E317" s="114" t="s">
        <v>88</v>
      </c>
      <c r="F317" s="114" t="s">
        <v>87</v>
      </c>
      <c r="G317" s="115">
        <v>46198</v>
      </c>
      <c r="H317" s="116">
        <v>2797165</v>
      </c>
      <c r="I317" s="114" t="s">
        <v>180</v>
      </c>
      <c r="J317" s="117" t="str">
        <f>IFERROR(VLOOKUP(I317,Map!$F$18:$G$56,2,0),"Add in Map")</f>
        <v>OBS</v>
      </c>
      <c r="K317" s="117" t="str">
        <f>VLOOKUP(L317,Map!$C$18:$D$29,2,0)</f>
        <v>CNT</v>
      </c>
      <c r="L317" s="114" t="s">
        <v>31</v>
      </c>
      <c r="M317" s="118">
        <v>143503.44119999997</v>
      </c>
      <c r="N317" s="119">
        <f t="shared" si="111"/>
        <v>0</v>
      </c>
      <c r="O317" s="119">
        <f t="shared" si="112"/>
        <v>170769.09502799995</v>
      </c>
      <c r="P317" s="120">
        <f t="shared" si="113"/>
        <v>155.4750175514626</v>
      </c>
      <c r="Q317" s="120">
        <f t="shared" si="114"/>
        <v>0</v>
      </c>
      <c r="R317" s="121">
        <f t="shared" si="115"/>
        <v>185.01527088624047</v>
      </c>
      <c r="S317" s="122">
        <f>INDEX(FX!$D$3:$O$19,MATCH(B317,FX!$B$3:$B$32,0),MATCH(D317,FX!$D$2:$O$2,0))</f>
        <v>923</v>
      </c>
      <c r="T317" s="114" t="s">
        <v>81</v>
      </c>
      <c r="U317" s="114" t="s">
        <v>32</v>
      </c>
      <c r="V317" s="114" t="s">
        <v>83</v>
      </c>
      <c r="W317" s="117" t="str">
        <f>VLOOKUP(I317,Map!$F$18:$H$51,3,0)</f>
        <v>Variable</v>
      </c>
      <c r="X317" s="123" t="s">
        <v>149</v>
      </c>
      <c r="Y317" s="124" t="str">
        <f>VLOOKUP(L317,Map!$C$18:$D$29,2,0)</f>
        <v>CNT</v>
      </c>
      <c r="Z317" s="118"/>
      <c r="AA317" s="119">
        <f t="shared" si="116"/>
        <v>0</v>
      </c>
      <c r="AB317" s="119">
        <f t="shared" si="117"/>
        <v>0</v>
      </c>
      <c r="AC317" s="120">
        <f t="shared" si="118"/>
        <v>0</v>
      </c>
      <c r="AD317" s="120">
        <f t="shared" si="119"/>
        <v>0</v>
      </c>
      <c r="AE317" s="121">
        <f t="shared" si="120"/>
        <v>0</v>
      </c>
      <c r="AF317" s="117"/>
    </row>
    <row r="318" spans="2:32" s="1" customFormat="1" ht="13" x14ac:dyDescent="0.3">
      <c r="B318" s="12">
        <v>2026</v>
      </c>
      <c r="C318" s="12" t="s">
        <v>178</v>
      </c>
      <c r="D318" s="12" t="s">
        <v>162</v>
      </c>
      <c r="E318" s="12" t="s">
        <v>88</v>
      </c>
      <c r="F318" s="12" t="s">
        <v>87</v>
      </c>
      <c r="G318" s="83">
        <v>46198</v>
      </c>
      <c r="H318" s="93">
        <v>2797165</v>
      </c>
      <c r="I318" s="12" t="s">
        <v>180</v>
      </c>
      <c r="J318" s="8" t="str">
        <f>IFERROR(VLOOKUP(I318,Map!$F$18:$G$56,2,0),"Add in Map")</f>
        <v>OBS</v>
      </c>
      <c r="K318" s="8" t="str">
        <f>VLOOKUP(L318,Map!$C$18:$D$29,2,0)</f>
        <v>CVT</v>
      </c>
      <c r="L318" s="12" t="s">
        <v>36</v>
      </c>
      <c r="M318" s="52">
        <v>1378056.7438603332</v>
      </c>
      <c r="N318" s="56">
        <f t="shared" si="111"/>
        <v>0</v>
      </c>
      <c r="O318" s="56">
        <f t="shared" si="112"/>
        <v>1639887.5251937965</v>
      </c>
      <c r="P318" s="31">
        <f t="shared" si="113"/>
        <v>1493.0192241173709</v>
      </c>
      <c r="Q318" s="31">
        <f t="shared" si="114"/>
        <v>0</v>
      </c>
      <c r="R318" s="60">
        <f t="shared" si="115"/>
        <v>1776.6928766996712</v>
      </c>
      <c r="S318" s="45">
        <f>INDEX(FX!$D$3:$O$19,MATCH(B318,FX!$B$3:$B$32,0),MATCH(D318,FX!$D$2:$O$2,0))</f>
        <v>923</v>
      </c>
      <c r="T318" s="12" t="s">
        <v>81</v>
      </c>
      <c r="U318" s="12" t="s">
        <v>32</v>
      </c>
      <c r="V318" s="12" t="s">
        <v>83</v>
      </c>
      <c r="W318" s="8" t="str">
        <f>VLOOKUP(I318,Map!$F$18:$H$51,3,0)</f>
        <v>Variable</v>
      </c>
      <c r="X318" s="88" t="s">
        <v>149</v>
      </c>
      <c r="Y318" s="107" t="str">
        <f>VLOOKUP(L318,Map!$C$18:$D$29,2,0)</f>
        <v>CVT</v>
      </c>
      <c r="Z318" s="52"/>
      <c r="AA318" s="56">
        <f t="shared" si="116"/>
        <v>0</v>
      </c>
      <c r="AB318" s="56">
        <f t="shared" si="117"/>
        <v>0</v>
      </c>
      <c r="AC318" s="31">
        <f t="shared" si="118"/>
        <v>0</v>
      </c>
      <c r="AD318" s="31">
        <f t="shared" si="119"/>
        <v>0</v>
      </c>
      <c r="AE318" s="60">
        <f t="shared" si="120"/>
        <v>0</v>
      </c>
      <c r="AF318" s="8"/>
    </row>
    <row r="319" spans="2:32" s="1" customFormat="1" ht="13" x14ac:dyDescent="0.3">
      <c r="B319" s="12">
        <v>2026</v>
      </c>
      <c r="C319" s="12" t="s">
        <v>178</v>
      </c>
      <c r="D319" s="12" t="s">
        <v>162</v>
      </c>
      <c r="E319" s="12" t="s">
        <v>88</v>
      </c>
      <c r="F319" s="12" t="s">
        <v>87</v>
      </c>
      <c r="G319" s="83">
        <v>46198</v>
      </c>
      <c r="H319" s="93">
        <v>2797165</v>
      </c>
      <c r="I319" s="12" t="s">
        <v>180</v>
      </c>
      <c r="J319" s="8" t="str">
        <f>IFERROR(VLOOKUP(I319,Map!$F$18:$G$56,2,0),"Add in Map")</f>
        <v>OBS</v>
      </c>
      <c r="K319" s="8" t="str">
        <f>VLOOKUP(L319,Map!$C$18:$D$29,2,0)</f>
        <v>CDT</v>
      </c>
      <c r="L319" s="12" t="s">
        <v>38</v>
      </c>
      <c r="M319" s="52">
        <v>33282.400971439871</v>
      </c>
      <c r="N319" s="56">
        <f t="shared" si="111"/>
        <v>0</v>
      </c>
      <c r="O319" s="56">
        <f t="shared" si="112"/>
        <v>39606.057156013441</v>
      </c>
      <c r="P319" s="31">
        <f t="shared" si="113"/>
        <v>36.058939297334639</v>
      </c>
      <c r="Q319" s="31">
        <f t="shared" si="114"/>
        <v>0</v>
      </c>
      <c r="R319" s="60">
        <f t="shared" si="115"/>
        <v>42.910137763828217</v>
      </c>
      <c r="S319" s="45">
        <f>INDEX(FX!$D$3:$O$19,MATCH(B319,FX!$B$3:$B$32,0),MATCH(D319,FX!$D$2:$O$2,0))</f>
        <v>923</v>
      </c>
      <c r="T319" s="12" t="s">
        <v>81</v>
      </c>
      <c r="U319" s="12" t="s">
        <v>32</v>
      </c>
      <c r="V319" s="12" t="s">
        <v>83</v>
      </c>
      <c r="W319" s="8" t="str">
        <f>VLOOKUP(I319,Map!$F$18:$H$51,3,0)</f>
        <v>Variable</v>
      </c>
      <c r="X319" s="88" t="s">
        <v>149</v>
      </c>
      <c r="Y319" s="107" t="str">
        <f>VLOOKUP(L319,Map!$C$18:$D$29,2,0)</f>
        <v>CDT</v>
      </c>
      <c r="Z319" s="52"/>
      <c r="AA319" s="56">
        <f t="shared" si="116"/>
        <v>0</v>
      </c>
      <c r="AB319" s="56">
        <f t="shared" si="117"/>
        <v>0</v>
      </c>
      <c r="AC319" s="31">
        <f t="shared" si="118"/>
        <v>0</v>
      </c>
      <c r="AD319" s="31">
        <f t="shared" si="119"/>
        <v>0</v>
      </c>
      <c r="AE319" s="60">
        <f t="shared" si="120"/>
        <v>0</v>
      </c>
      <c r="AF319" s="8"/>
    </row>
    <row r="320" spans="2:32" s="1" customFormat="1" ht="13" x14ac:dyDescent="0.3">
      <c r="B320" s="12">
        <v>2026</v>
      </c>
      <c r="C320" s="12" t="s">
        <v>178</v>
      </c>
      <c r="D320" s="12" t="s">
        <v>162</v>
      </c>
      <c r="E320" s="12" t="s">
        <v>88</v>
      </c>
      <c r="F320" s="12" t="s">
        <v>87</v>
      </c>
      <c r="G320" s="83">
        <v>46198</v>
      </c>
      <c r="H320" s="93">
        <v>2797165</v>
      </c>
      <c r="I320" s="12" t="s">
        <v>180</v>
      </c>
      <c r="J320" s="8" t="str">
        <f>IFERROR(VLOOKUP(I320,Map!$F$18:$G$56,2,0),"Add in Map")</f>
        <v>OBS</v>
      </c>
      <c r="K320" s="8" t="str">
        <f>VLOOKUP(L320,Map!$C$18:$D$29,2,0)</f>
        <v>DFT</v>
      </c>
      <c r="L320" s="12" t="s">
        <v>40</v>
      </c>
      <c r="M320" s="52">
        <v>0</v>
      </c>
      <c r="N320" s="56">
        <f t="shared" si="111"/>
        <v>0</v>
      </c>
      <c r="O320" s="56">
        <f t="shared" si="112"/>
        <v>0</v>
      </c>
      <c r="P320" s="31">
        <f t="shared" si="113"/>
        <v>0</v>
      </c>
      <c r="Q320" s="31">
        <f t="shared" si="114"/>
        <v>0</v>
      </c>
      <c r="R320" s="60">
        <f t="shared" si="115"/>
        <v>0</v>
      </c>
      <c r="S320" s="45">
        <f>INDEX(FX!$D$3:$O$19,MATCH(B320,FX!$B$3:$B$32,0),MATCH(D320,FX!$D$2:$O$2,0))</f>
        <v>923</v>
      </c>
      <c r="T320" s="12" t="s">
        <v>81</v>
      </c>
      <c r="U320" s="12" t="s">
        <v>32</v>
      </c>
      <c r="V320" s="12" t="s">
        <v>83</v>
      </c>
      <c r="W320" s="8" t="str">
        <f>VLOOKUP(I320,Map!$F$18:$H$51,3,0)</f>
        <v>Variable</v>
      </c>
      <c r="X320" s="88" t="s">
        <v>149</v>
      </c>
      <c r="Y320" s="107" t="str">
        <f>VLOOKUP(L320,Map!$C$18:$D$29,2,0)</f>
        <v>DFT</v>
      </c>
      <c r="Z320" s="52"/>
      <c r="AA320" s="56">
        <f t="shared" si="116"/>
        <v>0</v>
      </c>
      <c r="AB320" s="56">
        <f t="shared" si="117"/>
        <v>0</v>
      </c>
      <c r="AC320" s="31">
        <f t="shared" si="118"/>
        <v>0</v>
      </c>
      <c r="AD320" s="31">
        <f t="shared" si="119"/>
        <v>0</v>
      </c>
      <c r="AE320" s="60">
        <f t="shared" si="120"/>
        <v>0</v>
      </c>
      <c r="AF320" s="8"/>
    </row>
    <row r="321" spans="2:32" s="1" customFormat="1" ht="13" x14ac:dyDescent="0.3">
      <c r="B321" s="12">
        <v>2026</v>
      </c>
      <c r="C321" s="12" t="s">
        <v>178</v>
      </c>
      <c r="D321" s="12" t="s">
        <v>162</v>
      </c>
      <c r="E321" s="12" t="s">
        <v>88</v>
      </c>
      <c r="F321" s="12" t="s">
        <v>87</v>
      </c>
      <c r="G321" s="83">
        <v>46198</v>
      </c>
      <c r="H321" s="93">
        <v>2797165</v>
      </c>
      <c r="I321" s="12" t="s">
        <v>180</v>
      </c>
      <c r="J321" s="8" t="str">
        <f>IFERROR(VLOOKUP(I321,Map!$F$18:$G$56,2,0),"Add in Map")</f>
        <v>OBS</v>
      </c>
      <c r="K321" s="8" t="str">
        <f>VLOOKUP(L321,Map!$C$18:$D$29,2,0)</f>
        <v>DVT</v>
      </c>
      <c r="L321" s="12" t="s">
        <v>42</v>
      </c>
      <c r="M321" s="52">
        <v>3502708.6834552004</v>
      </c>
      <c r="N321" s="56">
        <f t="shared" si="111"/>
        <v>0</v>
      </c>
      <c r="O321" s="56">
        <f t="shared" si="112"/>
        <v>4168223.3333116882</v>
      </c>
      <c r="P321" s="31">
        <f t="shared" si="113"/>
        <v>3794.9173168528714</v>
      </c>
      <c r="Q321" s="31">
        <f t="shared" si="114"/>
        <v>0</v>
      </c>
      <c r="R321" s="60">
        <f t="shared" si="115"/>
        <v>4515.9516070549171</v>
      </c>
      <c r="S321" s="45">
        <f>INDEX(FX!$D$3:$O$19,MATCH(B321,FX!$B$3:$B$32,0),MATCH(D321,FX!$D$2:$O$2,0))</f>
        <v>923</v>
      </c>
      <c r="T321" s="12" t="s">
        <v>81</v>
      </c>
      <c r="U321" s="12" t="s">
        <v>32</v>
      </c>
      <c r="V321" s="12" t="s">
        <v>83</v>
      </c>
      <c r="W321" s="8" t="str">
        <f>VLOOKUP(I321,Map!$F$18:$H$51,3,0)</f>
        <v>Variable</v>
      </c>
      <c r="X321" s="88" t="s">
        <v>149</v>
      </c>
      <c r="Y321" s="107" t="str">
        <f>VLOOKUP(L321,Map!$C$18:$D$29,2,0)</f>
        <v>DVT</v>
      </c>
      <c r="Z321" s="52"/>
      <c r="AA321" s="56">
        <f t="shared" si="116"/>
        <v>0</v>
      </c>
      <c r="AB321" s="56">
        <f t="shared" si="117"/>
        <v>0</v>
      </c>
      <c r="AC321" s="31">
        <f t="shared" si="118"/>
        <v>0</v>
      </c>
      <c r="AD321" s="31">
        <f t="shared" si="119"/>
        <v>0</v>
      </c>
      <c r="AE321" s="60">
        <f t="shared" si="120"/>
        <v>0</v>
      </c>
      <c r="AF321" s="8"/>
    </row>
    <row r="322" spans="2:32" s="1" customFormat="1" ht="13" x14ac:dyDescent="0.3">
      <c r="B322" s="12">
        <v>2026</v>
      </c>
      <c r="C322" s="12" t="s">
        <v>178</v>
      </c>
      <c r="D322" s="12" t="s">
        <v>162</v>
      </c>
      <c r="E322" s="12" t="s">
        <v>88</v>
      </c>
      <c r="F322" s="12" t="s">
        <v>87</v>
      </c>
      <c r="G322" s="83">
        <v>46198</v>
      </c>
      <c r="H322" s="93">
        <v>2797165</v>
      </c>
      <c r="I322" s="12" t="s">
        <v>180</v>
      </c>
      <c r="J322" s="8" t="str">
        <f>IFERROR(VLOOKUP(I322,Map!$F$18:$G$56,2,0),"Add in Map")</f>
        <v>OBS</v>
      </c>
      <c r="K322" s="8" t="str">
        <f>VLOOKUP(L322,Map!$C$18:$D$29,2,0)</f>
        <v>GLT</v>
      </c>
      <c r="L322" s="12" t="s">
        <v>44</v>
      </c>
      <c r="M322" s="52">
        <v>0</v>
      </c>
      <c r="N322" s="56">
        <f t="shared" si="111"/>
        <v>0</v>
      </c>
      <c r="O322" s="56">
        <f t="shared" si="112"/>
        <v>0</v>
      </c>
      <c r="P322" s="31">
        <f t="shared" si="113"/>
        <v>0</v>
      </c>
      <c r="Q322" s="31">
        <f t="shared" si="114"/>
        <v>0</v>
      </c>
      <c r="R322" s="60">
        <f t="shared" si="115"/>
        <v>0</v>
      </c>
      <c r="S322" s="45">
        <f>INDEX(FX!$D$3:$O$19,MATCH(B322,FX!$B$3:$B$32,0),MATCH(D322,FX!$D$2:$O$2,0))</f>
        <v>923</v>
      </c>
      <c r="T322" s="12" t="s">
        <v>81</v>
      </c>
      <c r="U322" s="12" t="s">
        <v>32</v>
      </c>
      <c r="V322" s="12" t="s">
        <v>83</v>
      </c>
      <c r="W322" s="8" t="str">
        <f>VLOOKUP(I322,Map!$F$18:$H$51,3,0)</f>
        <v>Variable</v>
      </c>
      <c r="X322" s="88" t="s">
        <v>149</v>
      </c>
      <c r="Y322" s="107" t="str">
        <f>VLOOKUP(L322,Map!$C$18:$D$29,2,0)</f>
        <v>GLT</v>
      </c>
      <c r="Z322" s="52"/>
      <c r="AA322" s="56">
        <f t="shared" si="116"/>
        <v>0</v>
      </c>
      <c r="AB322" s="56">
        <f t="shared" si="117"/>
        <v>0</v>
      </c>
      <c r="AC322" s="31">
        <f t="shared" si="118"/>
        <v>0</v>
      </c>
      <c r="AD322" s="31">
        <f t="shared" si="119"/>
        <v>0</v>
      </c>
      <c r="AE322" s="60">
        <f t="shared" si="120"/>
        <v>0</v>
      </c>
      <c r="AF322" s="8"/>
    </row>
    <row r="323" spans="2:32" s="1" customFormat="1" ht="13" x14ac:dyDescent="0.3">
      <c r="B323" s="12">
        <v>2026</v>
      </c>
      <c r="C323" s="12" t="s">
        <v>178</v>
      </c>
      <c r="D323" s="12" t="s">
        <v>162</v>
      </c>
      <c r="E323" s="12" t="s">
        <v>88</v>
      </c>
      <c r="F323" s="12" t="s">
        <v>87</v>
      </c>
      <c r="G323" s="83">
        <v>46198</v>
      </c>
      <c r="H323" s="93">
        <v>2797165</v>
      </c>
      <c r="I323" s="12" t="s">
        <v>180</v>
      </c>
      <c r="J323" s="8" t="str">
        <f>IFERROR(VLOOKUP(I323,Map!$F$18:$G$56,2,0),"Add in Map")</f>
        <v>OBS</v>
      </c>
      <c r="K323" s="8" t="str">
        <f>VLOOKUP(L323,Map!$C$18:$D$29,2,0)</f>
        <v>PNT</v>
      </c>
      <c r="L323" s="12" t="s">
        <v>46</v>
      </c>
      <c r="M323" s="52">
        <v>2884589.3517596959</v>
      </c>
      <c r="N323" s="56">
        <f t="shared" si="111"/>
        <v>0</v>
      </c>
      <c r="O323" s="56">
        <f t="shared" si="112"/>
        <v>3432661.3285940378</v>
      </c>
      <c r="P323" s="31">
        <f t="shared" si="113"/>
        <v>3125.2322337591504</v>
      </c>
      <c r="Q323" s="31">
        <f t="shared" si="114"/>
        <v>0</v>
      </c>
      <c r="R323" s="60">
        <f t="shared" si="115"/>
        <v>3719.0263581733889</v>
      </c>
      <c r="S323" s="45">
        <f>INDEX(FX!$D$3:$O$19,MATCH(B323,FX!$B$3:$B$32,0),MATCH(D323,FX!$D$2:$O$2,0))</f>
        <v>923</v>
      </c>
      <c r="T323" s="12" t="s">
        <v>81</v>
      </c>
      <c r="U323" s="12" t="s">
        <v>32</v>
      </c>
      <c r="V323" s="12" t="s">
        <v>83</v>
      </c>
      <c r="W323" s="8" t="str">
        <f>VLOOKUP(I323,Map!$F$18:$H$51,3,0)</f>
        <v>Variable</v>
      </c>
      <c r="X323" s="88" t="s">
        <v>149</v>
      </c>
      <c r="Y323" s="107" t="str">
        <f>VLOOKUP(L323,Map!$C$18:$D$29,2,0)</f>
        <v>PNT</v>
      </c>
      <c r="Z323" s="52"/>
      <c r="AA323" s="56">
        <f t="shared" si="116"/>
        <v>0</v>
      </c>
      <c r="AB323" s="56">
        <f t="shared" si="117"/>
        <v>0</v>
      </c>
      <c r="AC323" s="31">
        <f t="shared" si="118"/>
        <v>0</v>
      </c>
      <c r="AD323" s="31">
        <f t="shared" si="119"/>
        <v>0</v>
      </c>
      <c r="AE323" s="60">
        <f t="shared" si="120"/>
        <v>0</v>
      </c>
      <c r="AF323" s="8"/>
    </row>
    <row r="324" spans="2:32" s="1" customFormat="1" ht="13" x14ac:dyDescent="0.3">
      <c r="B324" s="12">
        <v>2026</v>
      </c>
      <c r="C324" s="12" t="s">
        <v>178</v>
      </c>
      <c r="D324" s="12" t="s">
        <v>162</v>
      </c>
      <c r="E324" s="12" t="s">
        <v>88</v>
      </c>
      <c r="F324" s="12" t="s">
        <v>87</v>
      </c>
      <c r="G324" s="83">
        <v>46198</v>
      </c>
      <c r="H324" s="93">
        <v>2797165</v>
      </c>
      <c r="I324" s="12" t="s">
        <v>180</v>
      </c>
      <c r="J324" s="8" t="str">
        <f>IFERROR(VLOOKUP(I324,Map!$F$18:$G$56,2,0),"Add in Map")</f>
        <v>OBS</v>
      </c>
      <c r="K324" s="8" t="str">
        <f>VLOOKUP(L324,Map!$C$18:$D$29,2,0)</f>
        <v>GTT</v>
      </c>
      <c r="L324" s="12" t="s">
        <v>48</v>
      </c>
      <c r="M324" s="52">
        <v>335315.9859183919</v>
      </c>
      <c r="N324" s="56">
        <f t="shared" si="111"/>
        <v>0</v>
      </c>
      <c r="O324" s="56">
        <f t="shared" si="112"/>
        <v>399026.02324288635</v>
      </c>
      <c r="P324" s="31">
        <f t="shared" si="113"/>
        <v>363.28925884982874</v>
      </c>
      <c r="Q324" s="31">
        <f t="shared" si="114"/>
        <v>0</v>
      </c>
      <c r="R324" s="60">
        <f t="shared" si="115"/>
        <v>432.31421803129621</v>
      </c>
      <c r="S324" s="45">
        <f>INDEX(FX!$D$3:$O$19,MATCH(B324,FX!$B$3:$B$32,0),MATCH(D324,FX!$D$2:$O$2,0))</f>
        <v>923</v>
      </c>
      <c r="T324" s="12" t="s">
        <v>81</v>
      </c>
      <c r="U324" s="12" t="s">
        <v>32</v>
      </c>
      <c r="V324" s="12" t="s">
        <v>83</v>
      </c>
      <c r="W324" s="8" t="str">
        <f>VLOOKUP(I324,Map!$F$18:$H$51,3,0)</f>
        <v>Variable</v>
      </c>
      <c r="X324" s="88" t="s">
        <v>149</v>
      </c>
      <c r="Y324" s="107" t="str">
        <f>VLOOKUP(L324,Map!$C$18:$D$29,2,0)</f>
        <v>GTT</v>
      </c>
      <c r="Z324" s="52"/>
      <c r="AA324" s="56">
        <f t="shared" si="116"/>
        <v>0</v>
      </c>
      <c r="AB324" s="56">
        <f t="shared" si="117"/>
        <v>0</v>
      </c>
      <c r="AC324" s="31">
        <f t="shared" si="118"/>
        <v>0</v>
      </c>
      <c r="AD324" s="31">
        <f t="shared" si="119"/>
        <v>0</v>
      </c>
      <c r="AE324" s="60">
        <f t="shared" si="120"/>
        <v>0</v>
      </c>
      <c r="AF324" s="8"/>
    </row>
    <row r="325" spans="2:32" s="1" customFormat="1" ht="13" x14ac:dyDescent="0.3">
      <c r="B325" s="12">
        <v>2026</v>
      </c>
      <c r="C325" s="12" t="s">
        <v>178</v>
      </c>
      <c r="D325" s="12" t="s">
        <v>162</v>
      </c>
      <c r="E325" s="12" t="s">
        <v>88</v>
      </c>
      <c r="F325" s="12" t="s">
        <v>87</v>
      </c>
      <c r="G325" s="83">
        <v>46198</v>
      </c>
      <c r="H325" s="93">
        <v>2797165</v>
      </c>
      <c r="I325" s="12" t="s">
        <v>180</v>
      </c>
      <c r="J325" s="8" t="str">
        <f>IFERROR(VLOOKUP(I325,Map!$F$18:$G$56,2,0),"Add in Map")</f>
        <v>OBS</v>
      </c>
      <c r="K325" s="8" t="str">
        <f>VLOOKUP(L325,Map!$C$18:$D$29,2,0)</f>
        <v>DGT</v>
      </c>
      <c r="L325" s="12" t="s">
        <v>50</v>
      </c>
      <c r="M325" s="52">
        <v>248588.8098970273</v>
      </c>
      <c r="N325" s="56">
        <f t="shared" si="111"/>
        <v>0</v>
      </c>
      <c r="O325" s="56">
        <f t="shared" si="112"/>
        <v>295820.68377746246</v>
      </c>
      <c r="P325" s="31">
        <f t="shared" si="113"/>
        <v>269.32698797077711</v>
      </c>
      <c r="Q325" s="31">
        <f t="shared" si="114"/>
        <v>0</v>
      </c>
      <c r="R325" s="60">
        <f t="shared" si="115"/>
        <v>320.49911568522475</v>
      </c>
      <c r="S325" s="45">
        <f>INDEX(FX!$D$3:$O$19,MATCH(B325,FX!$B$3:$B$32,0),MATCH(D325,FX!$D$2:$O$2,0))</f>
        <v>923</v>
      </c>
      <c r="T325" s="12" t="s">
        <v>81</v>
      </c>
      <c r="U325" s="12" t="s">
        <v>32</v>
      </c>
      <c r="V325" s="12" t="s">
        <v>83</v>
      </c>
      <c r="W325" s="8" t="str">
        <f>VLOOKUP(I325,Map!$F$18:$H$51,3,0)</f>
        <v>Variable</v>
      </c>
      <c r="X325" s="88" t="s">
        <v>149</v>
      </c>
      <c r="Y325" s="107" t="str">
        <f>VLOOKUP(L325,Map!$C$18:$D$29,2,0)</f>
        <v>DGT</v>
      </c>
      <c r="Z325" s="52"/>
      <c r="AA325" s="56">
        <f t="shared" si="116"/>
        <v>0</v>
      </c>
      <c r="AB325" s="56">
        <f t="shared" si="117"/>
        <v>0</v>
      </c>
      <c r="AC325" s="31">
        <f t="shared" si="118"/>
        <v>0</v>
      </c>
      <c r="AD325" s="31">
        <f t="shared" si="119"/>
        <v>0</v>
      </c>
      <c r="AE325" s="60">
        <f t="shared" si="120"/>
        <v>0</v>
      </c>
      <c r="AF325" s="8"/>
    </row>
    <row r="326" spans="2:32" s="1" customFormat="1" ht="13" x14ac:dyDescent="0.3">
      <c r="B326" s="12">
        <v>2026</v>
      </c>
      <c r="C326" s="12" t="s">
        <v>178</v>
      </c>
      <c r="D326" s="12" t="s">
        <v>162</v>
      </c>
      <c r="E326" s="12" t="s">
        <v>88</v>
      </c>
      <c r="F326" s="12" t="s">
        <v>87</v>
      </c>
      <c r="G326" s="83">
        <v>46198</v>
      </c>
      <c r="H326" s="93">
        <v>2797165</v>
      </c>
      <c r="I326" s="12" t="s">
        <v>180</v>
      </c>
      <c r="J326" s="8" t="str">
        <f>IFERROR(VLOOKUP(I326,Map!$F$18:$G$56,2,0),"Add in Map")</f>
        <v>OBS</v>
      </c>
      <c r="K326" s="8" t="str">
        <f>VLOOKUP(L326,Map!$C$18:$D$29,2,0)</f>
        <v>DLT</v>
      </c>
      <c r="L326" s="12" t="s">
        <v>52</v>
      </c>
      <c r="M326" s="52">
        <v>413665.51334637374</v>
      </c>
      <c r="N326" s="56">
        <f t="shared" si="111"/>
        <v>0</v>
      </c>
      <c r="O326" s="56">
        <f t="shared" si="112"/>
        <v>492261.96088218474</v>
      </c>
      <c r="P326" s="31">
        <f t="shared" si="113"/>
        <v>448.17498737418606</v>
      </c>
      <c r="Q326" s="31">
        <f t="shared" si="114"/>
        <v>0</v>
      </c>
      <c r="R326" s="60">
        <f t="shared" si="115"/>
        <v>533.32823497528136</v>
      </c>
      <c r="S326" s="45">
        <f>INDEX(FX!$D$3:$O$19,MATCH(B326,FX!$B$3:$B$32,0),MATCH(D326,FX!$D$2:$O$2,0))</f>
        <v>923</v>
      </c>
      <c r="T326" s="12" t="s">
        <v>81</v>
      </c>
      <c r="U326" s="12" t="s">
        <v>32</v>
      </c>
      <c r="V326" s="12" t="s">
        <v>83</v>
      </c>
      <c r="W326" s="8" t="str">
        <f>VLOOKUP(I326,Map!$F$18:$H$51,3,0)</f>
        <v>Variable</v>
      </c>
      <c r="X326" s="88" t="s">
        <v>149</v>
      </c>
      <c r="Y326" s="107" t="str">
        <f>VLOOKUP(L326,Map!$C$18:$D$29,2,0)</f>
        <v>DLT</v>
      </c>
      <c r="Z326" s="52"/>
      <c r="AA326" s="56">
        <f t="shared" si="116"/>
        <v>0</v>
      </c>
      <c r="AB326" s="56">
        <f t="shared" si="117"/>
        <v>0</v>
      </c>
      <c r="AC326" s="31">
        <f t="shared" si="118"/>
        <v>0</v>
      </c>
      <c r="AD326" s="31">
        <f t="shared" si="119"/>
        <v>0</v>
      </c>
      <c r="AE326" s="60">
        <f t="shared" si="120"/>
        <v>0</v>
      </c>
      <c r="AF326" s="8"/>
    </row>
    <row r="327" spans="2:32" s="1" customFormat="1" ht="13" x14ac:dyDescent="0.3">
      <c r="B327" s="12">
        <v>2026</v>
      </c>
      <c r="C327" s="12" t="s">
        <v>178</v>
      </c>
      <c r="D327" s="12" t="s">
        <v>162</v>
      </c>
      <c r="E327" s="12" t="s">
        <v>88</v>
      </c>
      <c r="F327" s="12" t="s">
        <v>87</v>
      </c>
      <c r="G327" s="83">
        <v>46198</v>
      </c>
      <c r="H327" s="93">
        <v>2797165</v>
      </c>
      <c r="I327" s="12" t="s">
        <v>180</v>
      </c>
      <c r="J327" s="8" t="str">
        <f>IFERROR(VLOOKUP(I327,Map!$F$18:$G$56,2,0),"Add in Map")</f>
        <v>OBS</v>
      </c>
      <c r="K327" s="8" t="str">
        <f>VLOOKUP(L327,Map!$C$18:$D$29,2,0)</f>
        <v>DMT</v>
      </c>
      <c r="L327" s="12" t="s">
        <v>54</v>
      </c>
      <c r="M327" s="52">
        <v>23698.510791537909</v>
      </c>
      <c r="N327" s="56">
        <f t="shared" si="111"/>
        <v>0</v>
      </c>
      <c r="O327" s="56">
        <f t="shared" si="112"/>
        <v>28201.227841930111</v>
      </c>
      <c r="P327" s="48">
        <f t="shared" si="113"/>
        <v>25.675526318025902</v>
      </c>
      <c r="Q327" s="31">
        <f t="shared" si="114"/>
        <v>0</v>
      </c>
      <c r="R327" s="60">
        <f t="shared" si="115"/>
        <v>30.553876318450822</v>
      </c>
      <c r="S327" s="45">
        <f>INDEX(FX!$D$3:$O$19,MATCH(B327,FX!$B$3:$B$32,0),MATCH(D327,FX!$D$2:$O$2,0))</f>
        <v>923</v>
      </c>
      <c r="T327" s="12" t="s">
        <v>81</v>
      </c>
      <c r="U327" s="12" t="s">
        <v>32</v>
      </c>
      <c r="V327" s="12" t="s">
        <v>83</v>
      </c>
      <c r="W327" s="8" t="str">
        <f>VLOOKUP(I327,Map!$F$18:$H$51,3,0)</f>
        <v>Variable</v>
      </c>
      <c r="X327" s="88" t="s">
        <v>149</v>
      </c>
      <c r="Y327" s="107" t="str">
        <f>VLOOKUP(L327,Map!$C$18:$D$29,2,0)</f>
        <v>DMT</v>
      </c>
      <c r="Z327" s="52"/>
      <c r="AA327" s="56">
        <f t="shared" si="116"/>
        <v>0</v>
      </c>
      <c r="AB327" s="56">
        <f t="shared" si="117"/>
        <v>0</v>
      </c>
      <c r="AC327" s="48">
        <f t="shared" si="118"/>
        <v>0</v>
      </c>
      <c r="AD327" s="31">
        <f t="shared" si="119"/>
        <v>0</v>
      </c>
      <c r="AE327" s="60">
        <f t="shared" si="120"/>
        <v>0</v>
      </c>
      <c r="AF327" s="8"/>
    </row>
    <row r="328" spans="2:32" s="37" customFormat="1" x14ac:dyDescent="0.35">
      <c r="B328" s="13">
        <v>2026</v>
      </c>
      <c r="C328" s="13" t="s">
        <v>178</v>
      </c>
      <c r="D328" s="13" t="s">
        <v>162</v>
      </c>
      <c r="E328" s="13" t="s">
        <v>88</v>
      </c>
      <c r="F328" s="13" t="s">
        <v>87</v>
      </c>
      <c r="G328" s="85">
        <v>46198</v>
      </c>
      <c r="H328" s="94">
        <v>2797165</v>
      </c>
      <c r="I328" s="13" t="s">
        <v>180</v>
      </c>
      <c r="J328" s="29" t="str">
        <f>IFERROR(VLOOKUP(I328,Map!$F$18:$G$56,2,0),"Add in Map")</f>
        <v>OBS</v>
      </c>
      <c r="K328" s="29" t="str">
        <f>VLOOKUP(L328,Map!$C$18:$D$29,2,0)</f>
        <v>TOTAL</v>
      </c>
      <c r="L328" s="13" t="s">
        <v>56</v>
      </c>
      <c r="M328" s="57">
        <f>SUM(M317:M327)</f>
        <v>8963409.4412000012</v>
      </c>
      <c r="N328" s="57">
        <f t="shared" si="111"/>
        <v>1703047.7938280003</v>
      </c>
      <c r="O328" s="57">
        <f t="shared" si="112"/>
        <v>10666457.235028001</v>
      </c>
      <c r="P328" s="11">
        <f t="shared" si="113"/>
        <v>9711.1694920910086</v>
      </c>
      <c r="Q328" s="11">
        <f t="shared" si="114"/>
        <v>1845.1222034972916</v>
      </c>
      <c r="R328" s="61">
        <f t="shared" si="115"/>
        <v>11556.291695588299</v>
      </c>
      <c r="S328" s="46">
        <f>INDEX(FX!$D$3:$O$19,MATCH(B328,FX!$B$3:$B$32,0),MATCH(D328,FX!$D$2:$O$2,0))</f>
        <v>923</v>
      </c>
      <c r="T328" s="13" t="s">
        <v>81</v>
      </c>
      <c r="U328" s="13" t="s">
        <v>32</v>
      </c>
      <c r="V328" s="13" t="s">
        <v>83</v>
      </c>
      <c r="W328" s="29" t="str">
        <f>VLOOKUP(I328,Map!$F$18:$H$51,3,0)</f>
        <v>Variable</v>
      </c>
      <c r="X328" s="90" t="s">
        <v>149</v>
      </c>
      <c r="Y328" s="109" t="str">
        <f>VLOOKUP(L328,Map!$C$18:$D$29,2,0)</f>
        <v>TOTAL</v>
      </c>
      <c r="Z328" s="53"/>
      <c r="AA328" s="57">
        <f t="shared" si="116"/>
        <v>0</v>
      </c>
      <c r="AB328" s="57">
        <f t="shared" si="117"/>
        <v>0</v>
      </c>
      <c r="AC328" s="11">
        <f t="shared" si="118"/>
        <v>0</v>
      </c>
      <c r="AD328" s="11">
        <f t="shared" si="119"/>
        <v>0</v>
      </c>
      <c r="AE328" s="61">
        <f t="shared" si="120"/>
        <v>0</v>
      </c>
      <c r="AF328" s="87"/>
    </row>
    <row r="329" spans="2:32" s="5" customFormat="1" ht="13" x14ac:dyDescent="0.3">
      <c r="B329" s="114">
        <v>2026</v>
      </c>
      <c r="C329" s="114" t="s">
        <v>179</v>
      </c>
      <c r="D329" s="114" t="s">
        <v>159</v>
      </c>
      <c r="E329" s="114" t="s">
        <v>88</v>
      </c>
      <c r="F329" s="114" t="s">
        <v>172</v>
      </c>
      <c r="G329" s="115">
        <v>46167</v>
      </c>
      <c r="H329" s="116">
        <v>2726878</v>
      </c>
      <c r="I329" s="114" t="s">
        <v>180</v>
      </c>
      <c r="J329" s="117" t="str">
        <f>IFERROR(VLOOKUP(I329,Map!$F$18:$G$56,2,0),"Add in Map")</f>
        <v>OBS</v>
      </c>
      <c r="K329" s="117" t="str">
        <f>VLOOKUP(L329,Map!$C$18:$D$29,2,0)</f>
        <v>CNT</v>
      </c>
      <c r="L329" s="114" t="s">
        <v>31</v>
      </c>
      <c r="M329" s="118">
        <v>776008.16137669364</v>
      </c>
      <c r="N329" s="119">
        <f t="shared" si="111"/>
        <v>0</v>
      </c>
      <c r="O329" s="119">
        <f t="shared" si="112"/>
        <v>923449.71203826542</v>
      </c>
      <c r="P329" s="120">
        <f t="shared" si="113"/>
        <v>870.94069739247323</v>
      </c>
      <c r="Q329" s="120">
        <f t="shared" si="114"/>
        <v>0</v>
      </c>
      <c r="R329" s="121">
        <f t="shared" si="115"/>
        <v>1036.4194298970431</v>
      </c>
      <c r="S329" s="122">
        <f>INDEX(FX!$D$3:$O$19,MATCH(B329,FX!$B$3:$B$32,0),MATCH(D329,FX!$D$2:$O$2,0))</f>
        <v>891</v>
      </c>
      <c r="T329" s="114" t="s">
        <v>81</v>
      </c>
      <c r="U329" s="114" t="s">
        <v>32</v>
      </c>
      <c r="V329" s="114" t="s">
        <v>83</v>
      </c>
      <c r="W329" s="117" t="str">
        <f>VLOOKUP(I329,Map!$F$18:$H$51,3,0)</f>
        <v>Variable</v>
      </c>
      <c r="X329" s="123" t="s">
        <v>172</v>
      </c>
      <c r="Y329" s="124" t="str">
        <f>VLOOKUP(L329,Map!$C$18:$D$29,2,0)</f>
        <v>CNT</v>
      </c>
      <c r="Z329" s="118"/>
      <c r="AA329" s="119">
        <f t="shared" si="116"/>
        <v>0</v>
      </c>
      <c r="AB329" s="119">
        <f t="shared" si="117"/>
        <v>0</v>
      </c>
      <c r="AC329" s="120">
        <f t="shared" si="118"/>
        <v>0</v>
      </c>
      <c r="AD329" s="120">
        <f t="shared" si="119"/>
        <v>0</v>
      </c>
      <c r="AE329" s="121">
        <f t="shared" si="120"/>
        <v>0</v>
      </c>
      <c r="AF329" s="117"/>
    </row>
    <row r="330" spans="2:32" s="1" customFormat="1" ht="13" x14ac:dyDescent="0.3">
      <c r="B330" s="12">
        <v>2026</v>
      </c>
      <c r="C330" s="12" t="s">
        <v>179</v>
      </c>
      <c r="D330" s="12" t="s">
        <v>159</v>
      </c>
      <c r="E330" s="12" t="s">
        <v>88</v>
      </c>
      <c r="F330" s="12" t="s">
        <v>172</v>
      </c>
      <c r="G330" s="83">
        <v>46167</v>
      </c>
      <c r="H330" s="93">
        <v>2726878</v>
      </c>
      <c r="I330" s="12" t="s">
        <v>180</v>
      </c>
      <c r="J330" s="8" t="str">
        <f>IFERROR(VLOOKUP(I330,Map!$F$18:$G$56,2,0),"Add in Map")</f>
        <v>OBS</v>
      </c>
      <c r="K330" s="8" t="str">
        <f>VLOOKUP(L330,Map!$C$18:$D$29,2,0)</f>
        <v>CVT</v>
      </c>
      <c r="L330" s="12" t="s">
        <v>36</v>
      </c>
      <c r="M330" s="52">
        <v>25460.296341823469</v>
      </c>
      <c r="N330" s="56">
        <f t="shared" si="111"/>
        <v>0</v>
      </c>
      <c r="O330" s="56">
        <f t="shared" si="112"/>
        <v>30297.752646769924</v>
      </c>
      <c r="P330" s="31">
        <f t="shared" si="113"/>
        <v>28.574967835941042</v>
      </c>
      <c r="Q330" s="31">
        <f t="shared" si="114"/>
        <v>0</v>
      </c>
      <c r="R330" s="60">
        <f t="shared" si="115"/>
        <v>34.004211724769839</v>
      </c>
      <c r="S330" s="45">
        <f>INDEX(FX!$D$3:$O$19,MATCH(B330,FX!$B$3:$B$32,0),MATCH(D330,FX!$D$2:$O$2,0))</f>
        <v>891</v>
      </c>
      <c r="T330" s="12" t="s">
        <v>81</v>
      </c>
      <c r="U330" s="12" t="s">
        <v>32</v>
      </c>
      <c r="V330" s="12" t="s">
        <v>83</v>
      </c>
      <c r="W330" s="8" t="str">
        <f>VLOOKUP(I330,Map!$F$18:$H$51,3,0)</f>
        <v>Variable</v>
      </c>
      <c r="X330" s="88" t="s">
        <v>172</v>
      </c>
      <c r="Y330" s="107" t="str">
        <f>VLOOKUP(L330,Map!$C$18:$D$29,2,0)</f>
        <v>CVT</v>
      </c>
      <c r="Z330" s="52"/>
      <c r="AA330" s="56">
        <f t="shared" si="116"/>
        <v>0</v>
      </c>
      <c r="AB330" s="56">
        <f t="shared" si="117"/>
        <v>0</v>
      </c>
      <c r="AC330" s="31">
        <f t="shared" si="118"/>
        <v>0</v>
      </c>
      <c r="AD330" s="31">
        <f t="shared" si="119"/>
        <v>0</v>
      </c>
      <c r="AE330" s="60">
        <f t="shared" si="120"/>
        <v>0</v>
      </c>
      <c r="AF330" s="8"/>
    </row>
    <row r="331" spans="2:32" s="1" customFormat="1" ht="13" x14ac:dyDescent="0.3">
      <c r="B331" s="12">
        <v>2026</v>
      </c>
      <c r="C331" s="12" t="s">
        <v>179</v>
      </c>
      <c r="D331" s="12" t="s">
        <v>159</v>
      </c>
      <c r="E331" s="12" t="s">
        <v>88</v>
      </c>
      <c r="F331" s="12" t="s">
        <v>172</v>
      </c>
      <c r="G331" s="83">
        <v>46167</v>
      </c>
      <c r="H331" s="93">
        <v>2726878</v>
      </c>
      <c r="I331" s="12" t="s">
        <v>180</v>
      </c>
      <c r="J331" s="8" t="str">
        <f>IFERROR(VLOOKUP(I331,Map!$F$18:$G$56,2,0),"Add in Map")</f>
        <v>OBS</v>
      </c>
      <c r="K331" s="8" t="str">
        <f>VLOOKUP(L331,Map!$C$18:$D$29,2,0)</f>
        <v>CDT</v>
      </c>
      <c r="L331" s="12" t="s">
        <v>38</v>
      </c>
      <c r="M331" s="52">
        <v>0</v>
      </c>
      <c r="N331" s="56">
        <f t="shared" si="111"/>
        <v>0</v>
      </c>
      <c r="O331" s="56">
        <f t="shared" si="112"/>
        <v>0</v>
      </c>
      <c r="P331" s="31">
        <f t="shared" si="113"/>
        <v>0</v>
      </c>
      <c r="Q331" s="31">
        <f t="shared" si="114"/>
        <v>0</v>
      </c>
      <c r="R331" s="60">
        <f t="shared" si="115"/>
        <v>0</v>
      </c>
      <c r="S331" s="45">
        <f>INDEX(FX!$D$3:$O$19,MATCH(B331,FX!$B$3:$B$32,0),MATCH(D331,FX!$D$2:$O$2,0))</f>
        <v>891</v>
      </c>
      <c r="T331" s="12" t="s">
        <v>81</v>
      </c>
      <c r="U331" s="12" t="s">
        <v>32</v>
      </c>
      <c r="V331" s="12" t="s">
        <v>83</v>
      </c>
      <c r="W331" s="8" t="str">
        <f>VLOOKUP(I331,Map!$F$18:$H$51,3,0)</f>
        <v>Variable</v>
      </c>
      <c r="X331" s="88" t="s">
        <v>172</v>
      </c>
      <c r="Y331" s="107" t="str">
        <f>VLOOKUP(L331,Map!$C$18:$D$29,2,0)</f>
        <v>CDT</v>
      </c>
      <c r="Z331" s="52"/>
      <c r="AA331" s="56">
        <f t="shared" si="116"/>
        <v>0</v>
      </c>
      <c r="AB331" s="56">
        <f t="shared" si="117"/>
        <v>0</v>
      </c>
      <c r="AC331" s="31">
        <f t="shared" si="118"/>
        <v>0</v>
      </c>
      <c r="AD331" s="31">
        <f t="shared" si="119"/>
        <v>0</v>
      </c>
      <c r="AE331" s="60">
        <f t="shared" si="120"/>
        <v>0</v>
      </c>
      <c r="AF331" s="8"/>
    </row>
    <row r="332" spans="2:32" s="1" customFormat="1" ht="13" x14ac:dyDescent="0.3">
      <c r="B332" s="12">
        <v>2026</v>
      </c>
      <c r="C332" s="12" t="s">
        <v>179</v>
      </c>
      <c r="D332" s="12" t="s">
        <v>159</v>
      </c>
      <c r="E332" s="12" t="s">
        <v>88</v>
      </c>
      <c r="F332" s="12" t="s">
        <v>172</v>
      </c>
      <c r="G332" s="83">
        <v>46167</v>
      </c>
      <c r="H332" s="93">
        <v>2726878</v>
      </c>
      <c r="I332" s="12" t="s">
        <v>180</v>
      </c>
      <c r="J332" s="8" t="str">
        <f>IFERROR(VLOOKUP(I332,Map!$F$18:$G$56,2,0),"Add in Map")</f>
        <v>OBS</v>
      </c>
      <c r="K332" s="8" t="str">
        <f>VLOOKUP(L332,Map!$C$18:$D$29,2,0)</f>
        <v>DFT</v>
      </c>
      <c r="L332" s="12" t="s">
        <v>40</v>
      </c>
      <c r="M332" s="52">
        <v>2306170.8470718595</v>
      </c>
      <c r="N332" s="56">
        <f t="shared" si="111"/>
        <v>0</v>
      </c>
      <c r="O332" s="56">
        <f t="shared" si="112"/>
        <v>2744343.3080155128</v>
      </c>
      <c r="P332" s="31">
        <f t="shared" si="113"/>
        <v>2588.2950023253193</v>
      </c>
      <c r="Q332" s="31">
        <f t="shared" si="114"/>
        <v>0</v>
      </c>
      <c r="R332" s="60">
        <f t="shared" si="115"/>
        <v>3080.0710527671299</v>
      </c>
      <c r="S332" s="45">
        <f>INDEX(FX!$D$3:$O$19,MATCH(B332,FX!$B$3:$B$32,0),MATCH(D332,FX!$D$2:$O$2,0))</f>
        <v>891</v>
      </c>
      <c r="T332" s="12" t="s">
        <v>81</v>
      </c>
      <c r="U332" s="12" t="s">
        <v>32</v>
      </c>
      <c r="V332" s="12" t="s">
        <v>83</v>
      </c>
      <c r="W332" s="8" t="str">
        <f>VLOOKUP(I332,Map!$F$18:$H$51,3,0)</f>
        <v>Variable</v>
      </c>
      <c r="X332" s="88" t="s">
        <v>172</v>
      </c>
      <c r="Y332" s="107" t="str">
        <f>VLOOKUP(L332,Map!$C$18:$D$29,2,0)</f>
        <v>DFT</v>
      </c>
      <c r="Z332" s="52"/>
      <c r="AA332" s="56">
        <f t="shared" si="116"/>
        <v>0</v>
      </c>
      <c r="AB332" s="56">
        <f t="shared" si="117"/>
        <v>0</v>
      </c>
      <c r="AC332" s="31">
        <f t="shared" si="118"/>
        <v>0</v>
      </c>
      <c r="AD332" s="31">
        <f t="shared" si="119"/>
        <v>0</v>
      </c>
      <c r="AE332" s="60">
        <f t="shared" si="120"/>
        <v>0</v>
      </c>
      <c r="AF332" s="8"/>
    </row>
    <row r="333" spans="2:32" s="1" customFormat="1" ht="13" x14ac:dyDescent="0.3">
      <c r="B333" s="12">
        <v>2026</v>
      </c>
      <c r="C333" s="12" t="s">
        <v>179</v>
      </c>
      <c r="D333" s="12" t="s">
        <v>159</v>
      </c>
      <c r="E333" s="12" t="s">
        <v>88</v>
      </c>
      <c r="F333" s="12" t="s">
        <v>172</v>
      </c>
      <c r="G333" s="83">
        <v>46167</v>
      </c>
      <c r="H333" s="93">
        <v>2726878</v>
      </c>
      <c r="I333" s="12" t="s">
        <v>180</v>
      </c>
      <c r="J333" s="8" t="str">
        <f>IFERROR(VLOOKUP(I333,Map!$F$18:$G$56,2,0),"Add in Map")</f>
        <v>OBS</v>
      </c>
      <c r="K333" s="8" t="str">
        <f>VLOOKUP(L333,Map!$C$18:$D$29,2,0)</f>
        <v>DVT</v>
      </c>
      <c r="L333" s="12" t="s">
        <v>42</v>
      </c>
      <c r="M333" s="52">
        <v>0</v>
      </c>
      <c r="N333" s="56">
        <f t="shared" si="111"/>
        <v>0</v>
      </c>
      <c r="O333" s="56">
        <f t="shared" si="112"/>
        <v>0</v>
      </c>
      <c r="P333" s="31">
        <f t="shared" si="113"/>
        <v>0</v>
      </c>
      <c r="Q333" s="31">
        <f t="shared" si="114"/>
        <v>0</v>
      </c>
      <c r="R333" s="60">
        <f t="shared" si="115"/>
        <v>0</v>
      </c>
      <c r="S333" s="45">
        <f>INDEX(FX!$D$3:$O$19,MATCH(B333,FX!$B$3:$B$32,0),MATCH(D333,FX!$D$2:$O$2,0))</f>
        <v>891</v>
      </c>
      <c r="T333" s="12" t="s">
        <v>81</v>
      </c>
      <c r="U333" s="12" t="s">
        <v>32</v>
      </c>
      <c r="V333" s="12" t="s">
        <v>83</v>
      </c>
      <c r="W333" s="8" t="str">
        <f>VLOOKUP(I333,Map!$F$18:$H$51,3,0)</f>
        <v>Variable</v>
      </c>
      <c r="X333" s="88" t="s">
        <v>172</v>
      </c>
      <c r="Y333" s="107" t="str">
        <f>VLOOKUP(L333,Map!$C$18:$D$29,2,0)</f>
        <v>DVT</v>
      </c>
      <c r="Z333" s="52"/>
      <c r="AA333" s="56">
        <f t="shared" si="116"/>
        <v>0</v>
      </c>
      <c r="AB333" s="56">
        <f t="shared" si="117"/>
        <v>0</v>
      </c>
      <c r="AC333" s="31">
        <f t="shared" si="118"/>
        <v>0</v>
      </c>
      <c r="AD333" s="31">
        <f t="shared" si="119"/>
        <v>0</v>
      </c>
      <c r="AE333" s="60">
        <f t="shared" si="120"/>
        <v>0</v>
      </c>
      <c r="AF333" s="8"/>
    </row>
    <row r="334" spans="2:32" s="1" customFormat="1" ht="13" x14ac:dyDescent="0.3">
      <c r="B334" s="12">
        <v>2026</v>
      </c>
      <c r="C334" s="12" t="s">
        <v>179</v>
      </c>
      <c r="D334" s="12" t="s">
        <v>159</v>
      </c>
      <c r="E334" s="12" t="s">
        <v>88</v>
      </c>
      <c r="F334" s="12" t="s">
        <v>172</v>
      </c>
      <c r="G334" s="83">
        <v>46167</v>
      </c>
      <c r="H334" s="93">
        <v>2726878</v>
      </c>
      <c r="I334" s="12" t="s">
        <v>180</v>
      </c>
      <c r="J334" s="8" t="str">
        <f>IFERROR(VLOOKUP(I334,Map!$F$18:$G$56,2,0),"Add in Map")</f>
        <v>OBS</v>
      </c>
      <c r="K334" s="8" t="str">
        <f>VLOOKUP(L334,Map!$C$18:$D$29,2,0)</f>
        <v>GLT</v>
      </c>
      <c r="L334" s="12" t="s">
        <v>44</v>
      </c>
      <c r="M334" s="52">
        <v>988997.74719378981</v>
      </c>
      <c r="N334" s="56">
        <f t="shared" si="111"/>
        <v>0</v>
      </c>
      <c r="O334" s="56">
        <f t="shared" si="112"/>
        <v>1176907.3191606097</v>
      </c>
      <c r="P334" s="31">
        <f t="shared" si="113"/>
        <v>1109.9862482534118</v>
      </c>
      <c r="Q334" s="31">
        <f t="shared" si="114"/>
        <v>0</v>
      </c>
      <c r="R334" s="60">
        <f t="shared" si="115"/>
        <v>1320.88363542156</v>
      </c>
      <c r="S334" s="45">
        <f>INDEX(FX!$D$3:$O$19,MATCH(B334,FX!$B$3:$B$32,0),MATCH(D334,FX!$D$2:$O$2,0))</f>
        <v>891</v>
      </c>
      <c r="T334" s="12" t="s">
        <v>81</v>
      </c>
      <c r="U334" s="12" t="s">
        <v>32</v>
      </c>
      <c r="V334" s="12" t="s">
        <v>83</v>
      </c>
      <c r="W334" s="8" t="str">
        <f>VLOOKUP(I334,Map!$F$18:$H$51,3,0)</f>
        <v>Variable</v>
      </c>
      <c r="X334" s="88" t="s">
        <v>172</v>
      </c>
      <c r="Y334" s="107" t="str">
        <f>VLOOKUP(L334,Map!$C$18:$D$29,2,0)</f>
        <v>GLT</v>
      </c>
      <c r="Z334" s="52"/>
      <c r="AA334" s="56">
        <f t="shared" si="116"/>
        <v>0</v>
      </c>
      <c r="AB334" s="56">
        <f t="shared" si="117"/>
        <v>0</v>
      </c>
      <c r="AC334" s="31">
        <f t="shared" si="118"/>
        <v>0</v>
      </c>
      <c r="AD334" s="31">
        <f t="shared" si="119"/>
        <v>0</v>
      </c>
      <c r="AE334" s="60">
        <f t="shared" si="120"/>
        <v>0</v>
      </c>
      <c r="AF334" s="8"/>
    </row>
    <row r="335" spans="2:32" s="1" customFormat="1" ht="13" x14ac:dyDescent="0.3">
      <c r="B335" s="12">
        <v>2026</v>
      </c>
      <c r="C335" s="12" t="s">
        <v>179</v>
      </c>
      <c r="D335" s="12" t="s">
        <v>159</v>
      </c>
      <c r="E335" s="12" t="s">
        <v>88</v>
      </c>
      <c r="F335" s="12" t="s">
        <v>172</v>
      </c>
      <c r="G335" s="83">
        <v>46167</v>
      </c>
      <c r="H335" s="93">
        <v>2726878</v>
      </c>
      <c r="I335" s="12" t="s">
        <v>180</v>
      </c>
      <c r="J335" s="8" t="str">
        <f>IFERROR(VLOOKUP(I335,Map!$F$18:$G$56,2,0),"Add in Map")</f>
        <v>OBS</v>
      </c>
      <c r="K335" s="8" t="str">
        <f>VLOOKUP(L335,Map!$C$18:$D$29,2,0)</f>
        <v>PNT</v>
      </c>
      <c r="L335" s="12" t="s">
        <v>46</v>
      </c>
      <c r="M335" s="52">
        <v>297061.77438005869</v>
      </c>
      <c r="N335" s="56">
        <f t="shared" si="111"/>
        <v>0</v>
      </c>
      <c r="O335" s="56">
        <f t="shared" si="112"/>
        <v>353503.51151226985</v>
      </c>
      <c r="P335" s="31">
        <f t="shared" si="113"/>
        <v>333.40266484855073</v>
      </c>
      <c r="Q335" s="31">
        <f t="shared" si="114"/>
        <v>0</v>
      </c>
      <c r="R335" s="60">
        <f t="shared" si="115"/>
        <v>396.74917116977537</v>
      </c>
      <c r="S335" s="45">
        <f>INDEX(FX!$D$3:$O$19,MATCH(B335,FX!$B$3:$B$32,0),MATCH(D335,FX!$D$2:$O$2,0))</f>
        <v>891</v>
      </c>
      <c r="T335" s="12" t="s">
        <v>81</v>
      </c>
      <c r="U335" s="12" t="s">
        <v>32</v>
      </c>
      <c r="V335" s="12" t="s">
        <v>83</v>
      </c>
      <c r="W335" s="8" t="str">
        <f>VLOOKUP(I335,Map!$F$18:$H$51,3,0)</f>
        <v>Variable</v>
      </c>
      <c r="X335" s="88" t="s">
        <v>172</v>
      </c>
      <c r="Y335" s="107" t="str">
        <f>VLOOKUP(L335,Map!$C$18:$D$29,2,0)</f>
        <v>PNT</v>
      </c>
      <c r="Z335" s="52"/>
      <c r="AA335" s="56">
        <f t="shared" si="116"/>
        <v>0</v>
      </c>
      <c r="AB335" s="56">
        <f t="shared" si="117"/>
        <v>0</v>
      </c>
      <c r="AC335" s="31">
        <f t="shared" si="118"/>
        <v>0</v>
      </c>
      <c r="AD335" s="31">
        <f t="shared" si="119"/>
        <v>0</v>
      </c>
      <c r="AE335" s="60">
        <f t="shared" si="120"/>
        <v>0</v>
      </c>
      <c r="AF335" s="8"/>
    </row>
    <row r="336" spans="2:32" s="1" customFormat="1" ht="13" x14ac:dyDescent="0.3">
      <c r="B336" s="12">
        <v>2026</v>
      </c>
      <c r="C336" s="12" t="s">
        <v>179</v>
      </c>
      <c r="D336" s="12" t="s">
        <v>159</v>
      </c>
      <c r="E336" s="12" t="s">
        <v>88</v>
      </c>
      <c r="F336" s="12" t="s">
        <v>172</v>
      </c>
      <c r="G336" s="83">
        <v>46167</v>
      </c>
      <c r="H336" s="93">
        <v>2726878</v>
      </c>
      <c r="I336" s="12" t="s">
        <v>180</v>
      </c>
      <c r="J336" s="8" t="str">
        <f>IFERROR(VLOOKUP(I336,Map!$F$18:$G$56,2,0),"Add in Map")</f>
        <v>OBS</v>
      </c>
      <c r="K336" s="8" t="str">
        <f>VLOOKUP(L336,Map!$C$18:$D$29,2,0)</f>
        <v>GTT</v>
      </c>
      <c r="L336" s="12" t="s">
        <v>48</v>
      </c>
      <c r="M336" s="52">
        <v>289862.97240586369</v>
      </c>
      <c r="N336" s="56">
        <f t="shared" si="111"/>
        <v>0</v>
      </c>
      <c r="O336" s="56">
        <f t="shared" si="112"/>
        <v>344936.93716297776</v>
      </c>
      <c r="P336" s="31">
        <f t="shared" si="113"/>
        <v>325.32320135338239</v>
      </c>
      <c r="Q336" s="31">
        <f t="shared" si="114"/>
        <v>0</v>
      </c>
      <c r="R336" s="60">
        <f t="shared" si="115"/>
        <v>387.13460961052505</v>
      </c>
      <c r="S336" s="45">
        <f>INDEX(FX!$D$3:$O$19,MATCH(B336,FX!$B$3:$B$32,0),MATCH(D336,FX!$D$2:$O$2,0))</f>
        <v>891</v>
      </c>
      <c r="T336" s="12" t="s">
        <v>81</v>
      </c>
      <c r="U336" s="12" t="s">
        <v>32</v>
      </c>
      <c r="V336" s="12" t="s">
        <v>83</v>
      </c>
      <c r="W336" s="8" t="str">
        <f>VLOOKUP(I336,Map!$F$18:$H$51,3,0)</f>
        <v>Variable</v>
      </c>
      <c r="X336" s="88" t="s">
        <v>172</v>
      </c>
      <c r="Y336" s="107" t="str">
        <f>VLOOKUP(L336,Map!$C$18:$D$29,2,0)</f>
        <v>GTT</v>
      </c>
      <c r="Z336" s="52"/>
      <c r="AA336" s="56">
        <f t="shared" si="116"/>
        <v>0</v>
      </c>
      <c r="AB336" s="56">
        <f t="shared" si="117"/>
        <v>0</v>
      </c>
      <c r="AC336" s="31">
        <f t="shared" si="118"/>
        <v>0</v>
      </c>
      <c r="AD336" s="31">
        <f t="shared" si="119"/>
        <v>0</v>
      </c>
      <c r="AE336" s="60">
        <f t="shared" si="120"/>
        <v>0</v>
      </c>
      <c r="AF336" s="8"/>
    </row>
    <row r="337" spans="2:32" s="1" customFormat="1" ht="13" x14ac:dyDescent="0.3">
      <c r="B337" s="12">
        <v>2026</v>
      </c>
      <c r="C337" s="12" t="s">
        <v>179</v>
      </c>
      <c r="D337" s="12" t="s">
        <v>159</v>
      </c>
      <c r="E337" s="12" t="s">
        <v>88</v>
      </c>
      <c r="F337" s="12" t="s">
        <v>172</v>
      </c>
      <c r="G337" s="83">
        <v>46167</v>
      </c>
      <c r="H337" s="93">
        <v>2726878</v>
      </c>
      <c r="I337" s="12" t="s">
        <v>180</v>
      </c>
      <c r="J337" s="8" t="str">
        <f>IFERROR(VLOOKUP(I337,Map!$F$18:$G$56,2,0),"Add in Map")</f>
        <v>OBS</v>
      </c>
      <c r="K337" s="8" t="str">
        <f>VLOOKUP(L337,Map!$C$18:$D$29,2,0)</f>
        <v>DGT</v>
      </c>
      <c r="L337" s="12" t="s">
        <v>50</v>
      </c>
      <c r="M337" s="52">
        <v>341087.29270985181</v>
      </c>
      <c r="N337" s="56">
        <f t="shared" ref="N337:N364" si="121">IF(L337="TOTAL",(M337*0.19),0)</f>
        <v>0</v>
      </c>
      <c r="O337" s="56">
        <f t="shared" ref="O337:O364" si="122">M337*1.19</f>
        <v>405893.87832472363</v>
      </c>
      <c r="P337" s="31">
        <f t="shared" ref="P337:P364" si="123">M337/S337</f>
        <v>382.81402099871133</v>
      </c>
      <c r="Q337" s="31">
        <f t="shared" ref="Q337:Q364" si="124">IF(L337="TOTAL",(P337*0.19),0)</f>
        <v>0</v>
      </c>
      <c r="R337" s="60">
        <f t="shared" ref="R337:R364" si="125">P337*1.19</f>
        <v>455.54868498846645</v>
      </c>
      <c r="S337" s="45">
        <f>INDEX(FX!$D$3:$O$19,MATCH(B337,FX!$B$3:$B$32,0),MATCH(D337,FX!$D$2:$O$2,0))</f>
        <v>891</v>
      </c>
      <c r="T337" s="12" t="s">
        <v>81</v>
      </c>
      <c r="U337" s="12" t="s">
        <v>32</v>
      </c>
      <c r="V337" s="12" t="s">
        <v>83</v>
      </c>
      <c r="W337" s="8" t="str">
        <f>VLOOKUP(I337,Map!$F$18:$H$51,3,0)</f>
        <v>Variable</v>
      </c>
      <c r="X337" s="88" t="s">
        <v>172</v>
      </c>
      <c r="Y337" s="107" t="str">
        <f>VLOOKUP(L337,Map!$C$18:$D$29,2,0)</f>
        <v>DGT</v>
      </c>
      <c r="Z337" s="52"/>
      <c r="AA337" s="56">
        <f t="shared" ref="AA337:AA364" si="126">IF(Y337="TOTAL",(Z337*0.19),0)</f>
        <v>0</v>
      </c>
      <c r="AB337" s="56">
        <f t="shared" ref="AB337:AB364" si="127">Z337*1.19</f>
        <v>0</v>
      </c>
      <c r="AC337" s="31">
        <f t="shared" ref="AC337:AC364" si="128">Z337/S337</f>
        <v>0</v>
      </c>
      <c r="AD337" s="31">
        <f t="shared" ref="AD337:AD364" si="129">IF(Y337="TOTAL",(AC337*0.19),0)</f>
        <v>0</v>
      </c>
      <c r="AE337" s="60">
        <f t="shared" ref="AE337:AE364" si="130">AC337*1.19</f>
        <v>0</v>
      </c>
      <c r="AF337" s="8"/>
    </row>
    <row r="338" spans="2:32" s="1" customFormat="1" ht="13" x14ac:dyDescent="0.3">
      <c r="B338" s="12">
        <v>2026</v>
      </c>
      <c r="C338" s="12" t="s">
        <v>179</v>
      </c>
      <c r="D338" s="12" t="s">
        <v>159</v>
      </c>
      <c r="E338" s="12" t="s">
        <v>88</v>
      </c>
      <c r="F338" s="12" t="s">
        <v>172</v>
      </c>
      <c r="G338" s="83">
        <v>46167</v>
      </c>
      <c r="H338" s="93">
        <v>2726878</v>
      </c>
      <c r="I338" s="12" t="s">
        <v>180</v>
      </c>
      <c r="J338" s="8" t="str">
        <f>IFERROR(VLOOKUP(I338,Map!$F$18:$G$56,2,0),"Add in Map")</f>
        <v>OBS</v>
      </c>
      <c r="K338" s="8" t="str">
        <f>VLOOKUP(L338,Map!$C$18:$D$29,2,0)</f>
        <v>DLT</v>
      </c>
      <c r="L338" s="12" t="s">
        <v>52</v>
      </c>
      <c r="M338" s="52">
        <v>25125.908520059806</v>
      </c>
      <c r="N338" s="56">
        <f t="shared" si="121"/>
        <v>0</v>
      </c>
      <c r="O338" s="56">
        <f t="shared" si="122"/>
        <v>29899.831138871166</v>
      </c>
      <c r="P338" s="31">
        <f t="shared" si="123"/>
        <v>28.199672862019984</v>
      </c>
      <c r="Q338" s="31">
        <f t="shared" si="124"/>
        <v>0</v>
      </c>
      <c r="R338" s="60">
        <f t="shared" si="125"/>
        <v>33.557610705803782</v>
      </c>
      <c r="S338" s="45">
        <f>INDEX(FX!$D$3:$O$19,MATCH(B338,FX!$B$3:$B$32,0),MATCH(D338,FX!$D$2:$O$2,0))</f>
        <v>891</v>
      </c>
      <c r="T338" s="12" t="s">
        <v>81</v>
      </c>
      <c r="U338" s="12" t="s">
        <v>32</v>
      </c>
      <c r="V338" s="12" t="s">
        <v>83</v>
      </c>
      <c r="W338" s="8" t="str">
        <f>VLOOKUP(I338,Map!$F$18:$H$51,3,0)</f>
        <v>Variable</v>
      </c>
      <c r="X338" s="88" t="s">
        <v>172</v>
      </c>
      <c r="Y338" s="107" t="str">
        <f>VLOOKUP(L338,Map!$C$18:$D$29,2,0)</f>
        <v>DLT</v>
      </c>
      <c r="Z338" s="52"/>
      <c r="AA338" s="56">
        <f t="shared" si="126"/>
        <v>0</v>
      </c>
      <c r="AB338" s="56">
        <f t="shared" si="127"/>
        <v>0</v>
      </c>
      <c r="AC338" s="31">
        <f t="shared" si="128"/>
        <v>0</v>
      </c>
      <c r="AD338" s="31">
        <f t="shared" si="129"/>
        <v>0</v>
      </c>
      <c r="AE338" s="60">
        <f t="shared" si="130"/>
        <v>0</v>
      </c>
      <c r="AF338" s="8"/>
    </row>
    <row r="339" spans="2:32" s="1" customFormat="1" ht="13" x14ac:dyDescent="0.3">
      <c r="B339" s="12">
        <v>2026</v>
      </c>
      <c r="C339" s="12" t="s">
        <v>179</v>
      </c>
      <c r="D339" s="12" t="s">
        <v>159</v>
      </c>
      <c r="E339" s="12" t="s">
        <v>88</v>
      </c>
      <c r="F339" s="12" t="s">
        <v>172</v>
      </c>
      <c r="G339" s="83">
        <v>46167</v>
      </c>
      <c r="H339" s="93">
        <v>2726878</v>
      </c>
      <c r="I339" s="12" t="s">
        <v>180</v>
      </c>
      <c r="J339" s="8" t="str">
        <f>IFERROR(VLOOKUP(I339,Map!$F$18:$G$56,2,0),"Add in Map")</f>
        <v>OBS</v>
      </c>
      <c r="K339" s="8" t="str">
        <f>VLOOKUP(L339,Map!$C$18:$D$29,2,0)</f>
        <v>DMT</v>
      </c>
      <c r="L339" s="12" t="s">
        <v>54</v>
      </c>
      <c r="M339" s="52"/>
      <c r="N339" s="56">
        <f t="shared" si="121"/>
        <v>0</v>
      </c>
      <c r="O339" s="56">
        <f t="shared" si="122"/>
        <v>0</v>
      </c>
      <c r="P339" s="48">
        <f t="shared" si="123"/>
        <v>0</v>
      </c>
      <c r="Q339" s="31">
        <f t="shared" si="124"/>
        <v>0</v>
      </c>
      <c r="R339" s="60">
        <f t="shared" si="125"/>
        <v>0</v>
      </c>
      <c r="S339" s="45">
        <f>INDEX(FX!$D$3:$O$19,MATCH(B339,FX!$B$3:$B$32,0),MATCH(D339,FX!$D$2:$O$2,0))</f>
        <v>891</v>
      </c>
      <c r="T339" s="12" t="s">
        <v>81</v>
      </c>
      <c r="U339" s="12" t="s">
        <v>32</v>
      </c>
      <c r="V339" s="12" t="s">
        <v>83</v>
      </c>
      <c r="W339" s="8" t="str">
        <f>VLOOKUP(I339,Map!$F$18:$H$51,3,0)</f>
        <v>Variable</v>
      </c>
      <c r="X339" s="88" t="s">
        <v>172</v>
      </c>
      <c r="Y339" s="107" t="str">
        <f>VLOOKUP(L339,Map!$C$18:$D$29,2,0)</f>
        <v>DMT</v>
      </c>
      <c r="Z339" s="52"/>
      <c r="AA339" s="56">
        <f t="shared" si="126"/>
        <v>0</v>
      </c>
      <c r="AB339" s="56">
        <f t="shared" si="127"/>
        <v>0</v>
      </c>
      <c r="AC339" s="48">
        <f t="shared" si="128"/>
        <v>0</v>
      </c>
      <c r="AD339" s="31">
        <f t="shared" si="129"/>
        <v>0</v>
      </c>
      <c r="AE339" s="60">
        <f t="shared" si="130"/>
        <v>0</v>
      </c>
      <c r="AF339" s="8"/>
    </row>
    <row r="340" spans="2:32" s="37" customFormat="1" x14ac:dyDescent="0.35">
      <c r="B340" s="13">
        <v>2026</v>
      </c>
      <c r="C340" s="13" t="s">
        <v>179</v>
      </c>
      <c r="D340" s="13" t="s">
        <v>159</v>
      </c>
      <c r="E340" s="13" t="s">
        <v>88</v>
      </c>
      <c r="F340" s="13" t="s">
        <v>172</v>
      </c>
      <c r="G340" s="85">
        <v>46167</v>
      </c>
      <c r="H340" s="94">
        <v>2726878</v>
      </c>
      <c r="I340" s="13" t="s">
        <v>180</v>
      </c>
      <c r="J340" s="29" t="str">
        <f>IFERROR(VLOOKUP(I340,Map!$F$18:$G$56,2,0),"Add in Map")</f>
        <v>OBS</v>
      </c>
      <c r="K340" s="29" t="str">
        <f>VLOOKUP(L340,Map!$C$18:$D$29,2,0)</f>
        <v>TOTAL</v>
      </c>
      <c r="L340" s="13" t="s">
        <v>56</v>
      </c>
      <c r="M340" s="126">
        <f>SUM(M329:M339)</f>
        <v>5049775.0000000009</v>
      </c>
      <c r="N340" s="57">
        <f t="shared" si="121"/>
        <v>959457.25000000023</v>
      </c>
      <c r="O340" s="57">
        <f t="shared" si="122"/>
        <v>6009232.2500000009</v>
      </c>
      <c r="P340" s="11">
        <f t="shared" si="123"/>
        <v>5667.5364758698106</v>
      </c>
      <c r="Q340" s="11">
        <f t="shared" si="124"/>
        <v>1076.831930415264</v>
      </c>
      <c r="R340" s="61">
        <f t="shared" si="125"/>
        <v>6744.3684062850743</v>
      </c>
      <c r="S340" s="46">
        <f>INDEX(FX!$D$3:$O$19,MATCH(B340,FX!$B$3:$B$32,0),MATCH(D340,FX!$D$2:$O$2,0))</f>
        <v>891</v>
      </c>
      <c r="T340" s="13" t="s">
        <v>81</v>
      </c>
      <c r="U340" s="13" t="s">
        <v>32</v>
      </c>
      <c r="V340" s="13" t="s">
        <v>83</v>
      </c>
      <c r="W340" s="29" t="str">
        <f>VLOOKUP(I340,Map!$F$18:$H$51,3,0)</f>
        <v>Variable</v>
      </c>
      <c r="X340" s="90" t="s">
        <v>172</v>
      </c>
      <c r="Y340" s="109" t="str">
        <f>VLOOKUP(L340,Map!$C$18:$D$29,2,0)</f>
        <v>TOTAL</v>
      </c>
      <c r="Z340" s="53"/>
      <c r="AA340" s="57">
        <f t="shared" si="126"/>
        <v>0</v>
      </c>
      <c r="AB340" s="57">
        <f t="shared" si="127"/>
        <v>0</v>
      </c>
      <c r="AC340" s="11">
        <f t="shared" si="128"/>
        <v>0</v>
      </c>
      <c r="AD340" s="11">
        <f t="shared" si="129"/>
        <v>0</v>
      </c>
      <c r="AE340" s="61">
        <f t="shared" si="130"/>
        <v>0</v>
      </c>
      <c r="AF340" s="87"/>
    </row>
    <row r="341" spans="2:32" s="5" customFormat="1" ht="13" x14ac:dyDescent="0.3">
      <c r="B341" s="114">
        <v>2026</v>
      </c>
      <c r="C341" s="114" t="s">
        <v>182</v>
      </c>
      <c r="D341" s="114" t="s">
        <v>80</v>
      </c>
      <c r="E341" s="114" t="s">
        <v>88</v>
      </c>
      <c r="F341" s="114" t="s">
        <v>172</v>
      </c>
      <c r="G341" s="115"/>
      <c r="H341" s="116"/>
      <c r="I341" s="114" t="s">
        <v>180</v>
      </c>
      <c r="J341" s="117" t="str">
        <f>IFERROR(VLOOKUP(I341,Map!$F$18:$G$56,2,0),"Add in Map")</f>
        <v>OBS</v>
      </c>
      <c r="K341" s="117" t="str">
        <f>VLOOKUP(L341,Map!$C$18:$D$29,2,0)</f>
        <v>CNT</v>
      </c>
      <c r="L341" s="114" t="s">
        <v>31</v>
      </c>
      <c r="M341" s="118">
        <v>1423328.1076252724</v>
      </c>
      <c r="N341" s="119">
        <f t="shared" si="121"/>
        <v>0</v>
      </c>
      <c r="O341" s="119">
        <f t="shared" si="122"/>
        <v>1693760.448074074</v>
      </c>
      <c r="P341" s="120">
        <f t="shared" si="123"/>
        <v>1540.398384875836</v>
      </c>
      <c r="Q341" s="120">
        <f t="shared" si="124"/>
        <v>0</v>
      </c>
      <c r="R341" s="121">
        <f t="shared" si="125"/>
        <v>1833.0740780022447</v>
      </c>
      <c r="S341" s="122">
        <f>INDEX(FX!$D$3:$O$19,MATCH(B341,FX!$B$3:$B$32,0),MATCH(D341,FX!$D$2:$O$2,0))</f>
        <v>924</v>
      </c>
      <c r="T341" s="114" t="s">
        <v>81</v>
      </c>
      <c r="U341" s="114" t="s">
        <v>32</v>
      </c>
      <c r="V341" s="114" t="s">
        <v>83</v>
      </c>
      <c r="W341" s="117" t="str">
        <f>VLOOKUP(I341,Map!$F$18:$H$51,3,0)</f>
        <v>Variable</v>
      </c>
      <c r="X341" s="123" t="s">
        <v>172</v>
      </c>
      <c r="Y341" s="124" t="str">
        <f>VLOOKUP(L341,Map!$C$18:$D$29,2,0)</f>
        <v>CNT</v>
      </c>
      <c r="Z341" s="118"/>
      <c r="AA341" s="119">
        <f t="shared" si="126"/>
        <v>0</v>
      </c>
      <c r="AB341" s="119">
        <f t="shared" si="127"/>
        <v>0</v>
      </c>
      <c r="AC341" s="120">
        <f t="shared" si="128"/>
        <v>0</v>
      </c>
      <c r="AD341" s="120">
        <f t="shared" si="129"/>
        <v>0</v>
      </c>
      <c r="AE341" s="121">
        <f t="shared" si="130"/>
        <v>0</v>
      </c>
      <c r="AF341" s="117"/>
    </row>
    <row r="342" spans="2:32" s="1" customFormat="1" ht="13" x14ac:dyDescent="0.3">
      <c r="B342" s="12">
        <v>2026</v>
      </c>
      <c r="C342" s="12" t="s">
        <v>182</v>
      </c>
      <c r="D342" s="12" t="s">
        <v>80</v>
      </c>
      <c r="E342" s="12" t="s">
        <v>88</v>
      </c>
      <c r="F342" s="12" t="s">
        <v>172</v>
      </c>
      <c r="G342" s="83"/>
      <c r="H342" s="93"/>
      <c r="I342" s="12" t="s">
        <v>180</v>
      </c>
      <c r="J342" s="8" t="str">
        <f>IFERROR(VLOOKUP(I342,Map!$F$18:$G$56,2,0),"Add in Map")</f>
        <v>OBS</v>
      </c>
      <c r="K342" s="8" t="str">
        <f>VLOOKUP(L342,Map!$C$18:$D$29,2,0)</f>
        <v>CVT</v>
      </c>
      <c r="L342" s="12" t="s">
        <v>36</v>
      </c>
      <c r="M342" s="52">
        <v>14982.401132897605</v>
      </c>
      <c r="N342" s="56">
        <f t="shared" si="121"/>
        <v>0</v>
      </c>
      <c r="O342" s="56">
        <f t="shared" si="122"/>
        <v>17829.057348148148</v>
      </c>
      <c r="P342" s="31">
        <f t="shared" si="123"/>
        <v>16.214719840798274</v>
      </c>
      <c r="Q342" s="31">
        <f t="shared" si="124"/>
        <v>0</v>
      </c>
      <c r="R342" s="60">
        <f t="shared" si="125"/>
        <v>19.295516610549946</v>
      </c>
      <c r="S342" s="45">
        <f>INDEX(FX!$D$3:$O$19,MATCH(B342,FX!$B$3:$B$32,0),MATCH(D342,FX!$D$2:$O$2,0))</f>
        <v>924</v>
      </c>
      <c r="T342" s="12" t="s">
        <v>81</v>
      </c>
      <c r="U342" s="12" t="s">
        <v>32</v>
      </c>
      <c r="V342" s="12" t="s">
        <v>83</v>
      </c>
      <c r="W342" s="8" t="str">
        <f>VLOOKUP(I342,Map!$F$18:$H$51,3,0)</f>
        <v>Variable</v>
      </c>
      <c r="X342" s="88" t="s">
        <v>172</v>
      </c>
      <c r="Y342" s="107" t="str">
        <f>VLOOKUP(L342,Map!$C$18:$D$29,2,0)</f>
        <v>CVT</v>
      </c>
      <c r="Z342" s="52"/>
      <c r="AA342" s="56">
        <f t="shared" si="126"/>
        <v>0</v>
      </c>
      <c r="AB342" s="56">
        <f t="shared" si="127"/>
        <v>0</v>
      </c>
      <c r="AC342" s="31">
        <f t="shared" si="128"/>
        <v>0</v>
      </c>
      <c r="AD342" s="31">
        <f t="shared" si="129"/>
        <v>0</v>
      </c>
      <c r="AE342" s="60">
        <f t="shared" si="130"/>
        <v>0</v>
      </c>
      <c r="AF342" s="8"/>
    </row>
    <row r="343" spans="2:32" s="1" customFormat="1" ht="13" x14ac:dyDescent="0.3">
      <c r="B343" s="12">
        <v>2026</v>
      </c>
      <c r="C343" s="12" t="s">
        <v>182</v>
      </c>
      <c r="D343" s="12" t="s">
        <v>80</v>
      </c>
      <c r="E343" s="12" t="s">
        <v>88</v>
      </c>
      <c r="F343" s="12" t="s">
        <v>172</v>
      </c>
      <c r="G343" s="83"/>
      <c r="H343" s="93"/>
      <c r="I343" s="12" t="s">
        <v>180</v>
      </c>
      <c r="J343" s="8" t="str">
        <f>IFERROR(VLOOKUP(I343,Map!$F$18:$G$56,2,0),"Add in Map")</f>
        <v>OBS</v>
      </c>
      <c r="K343" s="8" t="str">
        <f>VLOOKUP(L343,Map!$C$18:$D$29,2,0)</f>
        <v>CDT</v>
      </c>
      <c r="L343" s="12" t="s">
        <v>38</v>
      </c>
      <c r="M343" s="52">
        <v>164806.41246187364</v>
      </c>
      <c r="N343" s="56">
        <f t="shared" si="121"/>
        <v>0</v>
      </c>
      <c r="O343" s="56">
        <f t="shared" si="122"/>
        <v>196119.63082962963</v>
      </c>
      <c r="P343" s="31">
        <f t="shared" si="123"/>
        <v>178.361918248781</v>
      </c>
      <c r="Q343" s="31">
        <f t="shared" si="124"/>
        <v>0</v>
      </c>
      <c r="R343" s="60">
        <f t="shared" si="125"/>
        <v>212.25068271604937</v>
      </c>
      <c r="S343" s="45">
        <f>INDEX(FX!$D$3:$O$19,MATCH(B343,FX!$B$3:$B$32,0),MATCH(D343,FX!$D$2:$O$2,0))</f>
        <v>924</v>
      </c>
      <c r="T343" s="12" t="s">
        <v>81</v>
      </c>
      <c r="U343" s="12" t="s">
        <v>32</v>
      </c>
      <c r="V343" s="12" t="s">
        <v>83</v>
      </c>
      <c r="W343" s="8" t="str">
        <f>VLOOKUP(I343,Map!$F$18:$H$51,3,0)</f>
        <v>Variable</v>
      </c>
      <c r="X343" s="88" t="s">
        <v>172</v>
      </c>
      <c r="Y343" s="107" t="str">
        <f>VLOOKUP(L343,Map!$C$18:$D$29,2,0)</f>
        <v>CDT</v>
      </c>
      <c r="Z343" s="52"/>
      <c r="AA343" s="56">
        <f t="shared" si="126"/>
        <v>0</v>
      </c>
      <c r="AB343" s="56">
        <f t="shared" si="127"/>
        <v>0</v>
      </c>
      <c r="AC343" s="31">
        <f t="shared" si="128"/>
        <v>0</v>
      </c>
      <c r="AD343" s="31">
        <f t="shared" si="129"/>
        <v>0</v>
      </c>
      <c r="AE343" s="60">
        <f t="shared" si="130"/>
        <v>0</v>
      </c>
      <c r="AF343" s="8"/>
    </row>
    <row r="344" spans="2:32" s="1" customFormat="1" ht="13" x14ac:dyDescent="0.3">
      <c r="B344" s="12">
        <v>2026</v>
      </c>
      <c r="C344" s="12" t="s">
        <v>182</v>
      </c>
      <c r="D344" s="12" t="s">
        <v>80</v>
      </c>
      <c r="E344" s="12" t="s">
        <v>88</v>
      </c>
      <c r="F344" s="12" t="s">
        <v>172</v>
      </c>
      <c r="G344" s="83"/>
      <c r="H344" s="93"/>
      <c r="I344" s="12" t="s">
        <v>180</v>
      </c>
      <c r="J344" s="8" t="str">
        <f>IFERROR(VLOOKUP(I344,Map!$F$18:$G$56,2,0),"Add in Map")</f>
        <v>OBS</v>
      </c>
      <c r="K344" s="8" t="str">
        <f>VLOOKUP(L344,Map!$C$18:$D$29,2,0)</f>
        <v>DFT</v>
      </c>
      <c r="L344" s="12" t="s">
        <v>40</v>
      </c>
      <c r="M344" s="52">
        <v>3138813.0373420483</v>
      </c>
      <c r="N344" s="56">
        <f t="shared" si="121"/>
        <v>0</v>
      </c>
      <c r="O344" s="56">
        <f t="shared" si="122"/>
        <v>3735187.5144370371</v>
      </c>
      <c r="P344" s="31">
        <f t="shared" si="123"/>
        <v>3396.9838066472385</v>
      </c>
      <c r="Q344" s="31">
        <f t="shared" si="124"/>
        <v>0</v>
      </c>
      <c r="R344" s="60">
        <f t="shared" si="125"/>
        <v>4042.4107299102134</v>
      </c>
      <c r="S344" s="45">
        <f>INDEX(FX!$D$3:$O$19,MATCH(B344,FX!$B$3:$B$32,0),MATCH(D344,FX!$D$2:$O$2,0))</f>
        <v>924</v>
      </c>
      <c r="T344" s="12" t="s">
        <v>81</v>
      </c>
      <c r="U344" s="12" t="s">
        <v>32</v>
      </c>
      <c r="V344" s="12" t="s">
        <v>83</v>
      </c>
      <c r="W344" s="8" t="str">
        <f>VLOOKUP(I344,Map!$F$18:$H$51,3,0)</f>
        <v>Variable</v>
      </c>
      <c r="X344" s="88" t="s">
        <v>172</v>
      </c>
      <c r="Y344" s="107" t="str">
        <f>VLOOKUP(L344,Map!$C$18:$D$29,2,0)</f>
        <v>DFT</v>
      </c>
      <c r="Z344" s="52"/>
      <c r="AA344" s="56">
        <f t="shared" si="126"/>
        <v>0</v>
      </c>
      <c r="AB344" s="56">
        <f t="shared" si="127"/>
        <v>0</v>
      </c>
      <c r="AC344" s="31">
        <f t="shared" si="128"/>
        <v>0</v>
      </c>
      <c r="AD344" s="31">
        <f t="shared" si="129"/>
        <v>0</v>
      </c>
      <c r="AE344" s="60">
        <f t="shared" si="130"/>
        <v>0</v>
      </c>
      <c r="AF344" s="8"/>
    </row>
    <row r="345" spans="2:32" s="1" customFormat="1" ht="13" x14ac:dyDescent="0.3">
      <c r="B345" s="12">
        <v>2026</v>
      </c>
      <c r="C345" s="12" t="s">
        <v>182</v>
      </c>
      <c r="D345" s="12" t="s">
        <v>80</v>
      </c>
      <c r="E345" s="12" t="s">
        <v>88</v>
      </c>
      <c r="F345" s="12" t="s">
        <v>172</v>
      </c>
      <c r="G345" s="83"/>
      <c r="H345" s="93"/>
      <c r="I345" s="12" t="s">
        <v>180</v>
      </c>
      <c r="J345" s="8" t="str">
        <f>IFERROR(VLOOKUP(I345,Map!$F$18:$G$56,2,0),"Add in Map")</f>
        <v>OBS</v>
      </c>
      <c r="K345" s="8" t="str">
        <f>VLOOKUP(L345,Map!$C$18:$D$29,2,0)</f>
        <v>DVT</v>
      </c>
      <c r="L345" s="12" t="s">
        <v>42</v>
      </c>
      <c r="M345" s="52">
        <v>0</v>
      </c>
      <c r="N345" s="56">
        <f t="shared" si="121"/>
        <v>0</v>
      </c>
      <c r="O345" s="56">
        <f t="shared" si="122"/>
        <v>0</v>
      </c>
      <c r="P345" s="31">
        <f t="shared" si="123"/>
        <v>0</v>
      </c>
      <c r="Q345" s="31">
        <f t="shared" si="124"/>
        <v>0</v>
      </c>
      <c r="R345" s="60">
        <f t="shared" si="125"/>
        <v>0</v>
      </c>
      <c r="S345" s="45">
        <f>INDEX(FX!$D$3:$O$19,MATCH(B345,FX!$B$3:$B$32,0),MATCH(D345,FX!$D$2:$O$2,0))</f>
        <v>924</v>
      </c>
      <c r="T345" s="12" t="s">
        <v>81</v>
      </c>
      <c r="U345" s="12" t="s">
        <v>32</v>
      </c>
      <c r="V345" s="12" t="s">
        <v>83</v>
      </c>
      <c r="W345" s="8" t="str">
        <f>VLOOKUP(I345,Map!$F$18:$H$51,3,0)</f>
        <v>Variable</v>
      </c>
      <c r="X345" s="88" t="s">
        <v>172</v>
      </c>
      <c r="Y345" s="107" t="str">
        <f>VLOOKUP(L345,Map!$C$18:$D$29,2,0)</f>
        <v>DVT</v>
      </c>
      <c r="Z345" s="52"/>
      <c r="AA345" s="56">
        <f t="shared" si="126"/>
        <v>0</v>
      </c>
      <c r="AB345" s="56">
        <f t="shared" si="127"/>
        <v>0</v>
      </c>
      <c r="AC345" s="31">
        <f t="shared" si="128"/>
        <v>0</v>
      </c>
      <c r="AD345" s="31">
        <f t="shared" si="129"/>
        <v>0</v>
      </c>
      <c r="AE345" s="60">
        <f t="shared" si="130"/>
        <v>0</v>
      </c>
      <c r="AF345" s="8"/>
    </row>
    <row r="346" spans="2:32" s="1" customFormat="1" ht="13" x14ac:dyDescent="0.3">
      <c r="B346" s="12">
        <v>2026</v>
      </c>
      <c r="C346" s="12" t="s">
        <v>182</v>
      </c>
      <c r="D346" s="12" t="s">
        <v>80</v>
      </c>
      <c r="E346" s="12" t="s">
        <v>88</v>
      </c>
      <c r="F346" s="12" t="s">
        <v>172</v>
      </c>
      <c r="G346" s="83"/>
      <c r="H346" s="93"/>
      <c r="I346" s="12" t="s">
        <v>180</v>
      </c>
      <c r="J346" s="8" t="str">
        <f>IFERROR(VLOOKUP(I346,Map!$F$18:$G$56,2,0),"Add in Map")</f>
        <v>OBS</v>
      </c>
      <c r="K346" s="8" t="str">
        <f>VLOOKUP(L346,Map!$C$18:$D$29,2,0)</f>
        <v>GLT</v>
      </c>
      <c r="L346" s="12" t="s">
        <v>44</v>
      </c>
      <c r="M346" s="52">
        <v>1693011.3280174292</v>
      </c>
      <c r="N346" s="56">
        <f t="shared" si="121"/>
        <v>0</v>
      </c>
      <c r="O346" s="56">
        <f t="shared" si="122"/>
        <v>2014683.4803407406</v>
      </c>
      <c r="P346" s="31">
        <f t="shared" si="123"/>
        <v>1832.2633420102047</v>
      </c>
      <c r="Q346" s="31">
        <f t="shared" si="124"/>
        <v>0</v>
      </c>
      <c r="R346" s="60">
        <f t="shared" si="125"/>
        <v>2180.3933769921437</v>
      </c>
      <c r="S346" s="45">
        <f>INDEX(FX!$D$3:$O$19,MATCH(B346,FX!$B$3:$B$32,0),MATCH(D346,FX!$D$2:$O$2,0))</f>
        <v>924</v>
      </c>
      <c r="T346" s="12" t="s">
        <v>81</v>
      </c>
      <c r="U346" s="12" t="s">
        <v>32</v>
      </c>
      <c r="V346" s="12" t="s">
        <v>83</v>
      </c>
      <c r="W346" s="8" t="str">
        <f>VLOOKUP(I346,Map!$F$18:$H$51,3,0)</f>
        <v>Variable</v>
      </c>
      <c r="X346" s="88" t="s">
        <v>172</v>
      </c>
      <c r="Y346" s="107" t="str">
        <f>VLOOKUP(L346,Map!$C$18:$D$29,2,0)</f>
        <v>GLT</v>
      </c>
      <c r="Z346" s="52"/>
      <c r="AA346" s="56">
        <f t="shared" si="126"/>
        <v>0</v>
      </c>
      <c r="AB346" s="56">
        <f t="shared" si="127"/>
        <v>0</v>
      </c>
      <c r="AC346" s="31">
        <f t="shared" si="128"/>
        <v>0</v>
      </c>
      <c r="AD346" s="31">
        <f t="shared" si="129"/>
        <v>0</v>
      </c>
      <c r="AE346" s="60">
        <f t="shared" si="130"/>
        <v>0</v>
      </c>
      <c r="AF346" s="8"/>
    </row>
    <row r="347" spans="2:32" s="1" customFormat="1" ht="13" x14ac:dyDescent="0.3">
      <c r="B347" s="12">
        <v>2026</v>
      </c>
      <c r="C347" s="12" t="s">
        <v>182</v>
      </c>
      <c r="D347" s="12" t="s">
        <v>80</v>
      </c>
      <c r="E347" s="12" t="s">
        <v>88</v>
      </c>
      <c r="F347" s="12" t="s">
        <v>172</v>
      </c>
      <c r="G347" s="83"/>
      <c r="H347" s="93"/>
      <c r="I347" s="12" t="s">
        <v>180</v>
      </c>
      <c r="J347" s="8" t="str">
        <f>IFERROR(VLOOKUP(I347,Map!$F$18:$G$56,2,0),"Add in Map")</f>
        <v>OBS</v>
      </c>
      <c r="K347" s="8" t="str">
        <f>VLOOKUP(L347,Map!$C$18:$D$29,2,0)</f>
        <v>PNT</v>
      </c>
      <c r="L347" s="12" t="s">
        <v>46</v>
      </c>
      <c r="M347" s="52">
        <v>74912.005664488024</v>
      </c>
      <c r="N347" s="56">
        <f t="shared" si="121"/>
        <v>0</v>
      </c>
      <c r="O347" s="56">
        <f t="shared" si="122"/>
        <v>89145.286740740747</v>
      </c>
      <c r="P347" s="31">
        <f t="shared" si="123"/>
        <v>81.073599203991364</v>
      </c>
      <c r="Q347" s="31">
        <f t="shared" si="124"/>
        <v>0</v>
      </c>
      <c r="R347" s="60">
        <f t="shared" si="125"/>
        <v>96.477583052749722</v>
      </c>
      <c r="S347" s="45">
        <f>INDEX(FX!$D$3:$O$19,MATCH(B347,FX!$B$3:$B$32,0),MATCH(D347,FX!$D$2:$O$2,0))</f>
        <v>924</v>
      </c>
      <c r="T347" s="12" t="s">
        <v>81</v>
      </c>
      <c r="U347" s="12" t="s">
        <v>32</v>
      </c>
      <c r="V347" s="12" t="s">
        <v>83</v>
      </c>
      <c r="W347" s="8" t="str">
        <f>VLOOKUP(I347,Map!$F$18:$H$51,3,0)</f>
        <v>Variable</v>
      </c>
      <c r="X347" s="88" t="s">
        <v>172</v>
      </c>
      <c r="Y347" s="107" t="str">
        <f>VLOOKUP(L347,Map!$C$18:$D$29,2,0)</f>
        <v>PNT</v>
      </c>
      <c r="Z347" s="52"/>
      <c r="AA347" s="56">
        <f t="shared" si="126"/>
        <v>0</v>
      </c>
      <c r="AB347" s="56">
        <f t="shared" si="127"/>
        <v>0</v>
      </c>
      <c r="AC347" s="31">
        <f t="shared" si="128"/>
        <v>0</v>
      </c>
      <c r="AD347" s="31">
        <f t="shared" si="129"/>
        <v>0</v>
      </c>
      <c r="AE347" s="60">
        <f t="shared" si="130"/>
        <v>0</v>
      </c>
      <c r="AF347" s="8"/>
    </row>
    <row r="348" spans="2:32" s="1" customFormat="1" ht="13" x14ac:dyDescent="0.3">
      <c r="B348" s="12">
        <v>2026</v>
      </c>
      <c r="C348" s="12" t="s">
        <v>182</v>
      </c>
      <c r="D348" s="12" t="s">
        <v>80</v>
      </c>
      <c r="E348" s="12" t="s">
        <v>88</v>
      </c>
      <c r="F348" s="12" t="s">
        <v>172</v>
      </c>
      <c r="G348" s="83"/>
      <c r="H348" s="93"/>
      <c r="I348" s="12" t="s">
        <v>180</v>
      </c>
      <c r="J348" s="8" t="str">
        <f>IFERROR(VLOOKUP(I348,Map!$F$18:$G$56,2,0),"Add in Map")</f>
        <v>OBS</v>
      </c>
      <c r="K348" s="8" t="str">
        <f>VLOOKUP(L348,Map!$C$18:$D$29,2,0)</f>
        <v>GTT</v>
      </c>
      <c r="L348" s="12" t="s">
        <v>48</v>
      </c>
      <c r="M348" s="52">
        <v>209753.61586056647</v>
      </c>
      <c r="N348" s="56">
        <f t="shared" si="121"/>
        <v>0</v>
      </c>
      <c r="O348" s="56">
        <f t="shared" si="122"/>
        <v>249606.80287407408</v>
      </c>
      <c r="P348" s="31">
        <f t="shared" si="123"/>
        <v>227.00607777117582</v>
      </c>
      <c r="Q348" s="31">
        <f t="shared" si="124"/>
        <v>0</v>
      </c>
      <c r="R348" s="60">
        <f t="shared" si="125"/>
        <v>270.13723254769923</v>
      </c>
      <c r="S348" s="45">
        <f>INDEX(FX!$D$3:$O$19,MATCH(B348,FX!$B$3:$B$32,0),MATCH(D348,FX!$D$2:$O$2,0))</f>
        <v>924</v>
      </c>
      <c r="T348" s="12" t="s">
        <v>81</v>
      </c>
      <c r="U348" s="12" t="s">
        <v>32</v>
      </c>
      <c r="V348" s="12" t="s">
        <v>83</v>
      </c>
      <c r="W348" s="8" t="str">
        <f>VLOOKUP(I348,Map!$F$18:$H$51,3,0)</f>
        <v>Variable</v>
      </c>
      <c r="X348" s="88" t="s">
        <v>172</v>
      </c>
      <c r="Y348" s="107" t="str">
        <f>VLOOKUP(L348,Map!$C$18:$D$29,2,0)</f>
        <v>GTT</v>
      </c>
      <c r="Z348" s="52"/>
      <c r="AA348" s="56">
        <f t="shared" si="126"/>
        <v>0</v>
      </c>
      <c r="AB348" s="56">
        <f t="shared" si="127"/>
        <v>0</v>
      </c>
      <c r="AC348" s="31">
        <f t="shared" si="128"/>
        <v>0</v>
      </c>
      <c r="AD348" s="31">
        <f t="shared" si="129"/>
        <v>0</v>
      </c>
      <c r="AE348" s="60">
        <f t="shared" si="130"/>
        <v>0</v>
      </c>
      <c r="AF348" s="8"/>
    </row>
    <row r="349" spans="2:32" s="1" customFormat="1" ht="13" x14ac:dyDescent="0.3">
      <c r="B349" s="12">
        <v>2026</v>
      </c>
      <c r="C349" s="12" t="s">
        <v>182</v>
      </c>
      <c r="D349" s="12" t="s">
        <v>80</v>
      </c>
      <c r="E349" s="12" t="s">
        <v>88</v>
      </c>
      <c r="F349" s="12" t="s">
        <v>172</v>
      </c>
      <c r="G349" s="83"/>
      <c r="H349" s="93"/>
      <c r="I349" s="12" t="s">
        <v>180</v>
      </c>
      <c r="J349" s="8" t="str">
        <f>IFERROR(VLOOKUP(I349,Map!$F$18:$G$56,2,0),"Add in Map")</f>
        <v>OBS</v>
      </c>
      <c r="K349" s="8" t="str">
        <f>VLOOKUP(L349,Map!$C$18:$D$29,2,0)</f>
        <v>DGT</v>
      </c>
      <c r="L349" s="12" t="s">
        <v>50</v>
      </c>
      <c r="M349" s="52">
        <v>142332.81076252725</v>
      </c>
      <c r="N349" s="56">
        <f t="shared" si="121"/>
        <v>0</v>
      </c>
      <c r="O349" s="56">
        <f t="shared" si="122"/>
        <v>169376.04480740742</v>
      </c>
      <c r="P349" s="31">
        <f t="shared" si="123"/>
        <v>154.03983848758361</v>
      </c>
      <c r="Q349" s="31">
        <f t="shared" si="124"/>
        <v>0</v>
      </c>
      <c r="R349" s="60">
        <f t="shared" si="125"/>
        <v>183.3074078002245</v>
      </c>
      <c r="S349" s="45">
        <f>INDEX(FX!$D$3:$O$19,MATCH(B349,FX!$B$3:$B$32,0),MATCH(D349,FX!$D$2:$O$2,0))</f>
        <v>924</v>
      </c>
      <c r="T349" s="12" t="s">
        <v>81</v>
      </c>
      <c r="U349" s="12" t="s">
        <v>32</v>
      </c>
      <c r="V349" s="12" t="s">
        <v>83</v>
      </c>
      <c r="W349" s="8" t="str">
        <f>VLOOKUP(I349,Map!$F$18:$H$51,3,0)</f>
        <v>Variable</v>
      </c>
      <c r="X349" s="88" t="s">
        <v>172</v>
      </c>
      <c r="Y349" s="107" t="str">
        <f>VLOOKUP(L349,Map!$C$18:$D$29,2,0)</f>
        <v>DGT</v>
      </c>
      <c r="Z349" s="52"/>
      <c r="AA349" s="56">
        <f t="shared" si="126"/>
        <v>0</v>
      </c>
      <c r="AB349" s="56">
        <f t="shared" si="127"/>
        <v>0</v>
      </c>
      <c r="AC349" s="31">
        <f t="shared" si="128"/>
        <v>0</v>
      </c>
      <c r="AD349" s="31">
        <f t="shared" si="129"/>
        <v>0</v>
      </c>
      <c r="AE349" s="60">
        <f t="shared" si="130"/>
        <v>0</v>
      </c>
      <c r="AF349" s="8"/>
    </row>
    <row r="350" spans="2:32" s="1" customFormat="1" ht="13" x14ac:dyDescent="0.3">
      <c r="B350" s="12">
        <v>2026</v>
      </c>
      <c r="C350" s="12" t="s">
        <v>182</v>
      </c>
      <c r="D350" s="12" t="s">
        <v>80</v>
      </c>
      <c r="E350" s="12" t="s">
        <v>88</v>
      </c>
      <c r="F350" s="12" t="s">
        <v>172</v>
      </c>
      <c r="G350" s="83"/>
      <c r="H350" s="93"/>
      <c r="I350" s="12" t="s">
        <v>180</v>
      </c>
      <c r="J350" s="8" t="str">
        <f>IFERROR(VLOOKUP(I350,Map!$F$18:$G$56,2,0),"Add in Map")</f>
        <v>OBS</v>
      </c>
      <c r="K350" s="8" t="str">
        <f>VLOOKUP(L350,Map!$C$18:$D$29,2,0)</f>
        <v>DLT</v>
      </c>
      <c r="L350" s="12" t="s">
        <v>52</v>
      </c>
      <c r="M350" s="52">
        <v>14982.401132897605</v>
      </c>
      <c r="N350" s="56">
        <f t="shared" si="121"/>
        <v>0</v>
      </c>
      <c r="O350" s="56">
        <f t="shared" si="122"/>
        <v>17829.057348148148</v>
      </c>
      <c r="P350" s="31">
        <f t="shared" si="123"/>
        <v>16.214719840798274</v>
      </c>
      <c r="Q350" s="31">
        <f t="shared" si="124"/>
        <v>0</v>
      </c>
      <c r="R350" s="60">
        <f t="shared" si="125"/>
        <v>19.295516610549946</v>
      </c>
      <c r="S350" s="45">
        <f>INDEX(FX!$D$3:$O$19,MATCH(B350,FX!$B$3:$B$32,0),MATCH(D350,FX!$D$2:$O$2,0))</f>
        <v>924</v>
      </c>
      <c r="T350" s="12" t="s">
        <v>81</v>
      </c>
      <c r="U350" s="12" t="s">
        <v>32</v>
      </c>
      <c r="V350" s="12" t="s">
        <v>83</v>
      </c>
      <c r="W350" s="8" t="str">
        <f>VLOOKUP(I350,Map!$F$18:$H$51,3,0)</f>
        <v>Variable</v>
      </c>
      <c r="X350" s="88" t="s">
        <v>172</v>
      </c>
      <c r="Y350" s="107" t="str">
        <f>VLOOKUP(L350,Map!$C$18:$D$29,2,0)</f>
        <v>DLT</v>
      </c>
      <c r="Z350" s="52"/>
      <c r="AA350" s="56">
        <f t="shared" si="126"/>
        <v>0</v>
      </c>
      <c r="AB350" s="56">
        <f t="shared" si="127"/>
        <v>0</v>
      </c>
      <c r="AC350" s="31">
        <f t="shared" si="128"/>
        <v>0</v>
      </c>
      <c r="AD350" s="31">
        <f t="shared" si="129"/>
        <v>0</v>
      </c>
      <c r="AE350" s="60">
        <f t="shared" si="130"/>
        <v>0</v>
      </c>
      <c r="AF350" s="8"/>
    </row>
    <row r="351" spans="2:32" s="1" customFormat="1" ht="13" x14ac:dyDescent="0.3">
      <c r="B351" s="12">
        <v>2026</v>
      </c>
      <c r="C351" s="12" t="s">
        <v>182</v>
      </c>
      <c r="D351" s="12" t="s">
        <v>80</v>
      </c>
      <c r="E351" s="12" t="s">
        <v>88</v>
      </c>
      <c r="F351" s="12" t="s">
        <v>172</v>
      </c>
      <c r="G351" s="83"/>
      <c r="H351" s="93"/>
      <c r="I351" s="12" t="s">
        <v>180</v>
      </c>
      <c r="J351" s="8" t="str">
        <f>IFERROR(VLOOKUP(I351,Map!$F$18:$G$56,2,0),"Add in Map")</f>
        <v>OBS</v>
      </c>
      <c r="K351" s="8" t="str">
        <f>VLOOKUP(L351,Map!$C$18:$D$29,2,0)</f>
        <v>DMT</v>
      </c>
      <c r="L351" s="12" t="s">
        <v>54</v>
      </c>
      <c r="M351" s="52"/>
      <c r="N351" s="56">
        <f t="shared" si="121"/>
        <v>0</v>
      </c>
      <c r="O351" s="56">
        <f t="shared" si="122"/>
        <v>0</v>
      </c>
      <c r="P351" s="48">
        <f t="shared" si="123"/>
        <v>0</v>
      </c>
      <c r="Q351" s="31">
        <f t="shared" si="124"/>
        <v>0</v>
      </c>
      <c r="R351" s="60">
        <f t="shared" si="125"/>
        <v>0</v>
      </c>
      <c r="S351" s="45">
        <f>INDEX(FX!$D$3:$O$19,MATCH(B351,FX!$B$3:$B$32,0),MATCH(D351,FX!$D$2:$O$2,0))</f>
        <v>924</v>
      </c>
      <c r="T351" s="12" t="s">
        <v>81</v>
      </c>
      <c r="U351" s="12" t="s">
        <v>32</v>
      </c>
      <c r="V351" s="12" t="s">
        <v>83</v>
      </c>
      <c r="W351" s="8" t="str">
        <f>VLOOKUP(I351,Map!$F$18:$H$51,3,0)</f>
        <v>Variable</v>
      </c>
      <c r="X351" s="88" t="s">
        <v>172</v>
      </c>
      <c r="Y351" s="107" t="str">
        <f>VLOOKUP(L351,Map!$C$18:$D$29,2,0)</f>
        <v>DMT</v>
      </c>
      <c r="Z351" s="52"/>
      <c r="AA351" s="56">
        <f t="shared" si="126"/>
        <v>0</v>
      </c>
      <c r="AB351" s="56">
        <f t="shared" si="127"/>
        <v>0</v>
      </c>
      <c r="AC351" s="48">
        <f t="shared" si="128"/>
        <v>0</v>
      </c>
      <c r="AD351" s="31">
        <f t="shared" si="129"/>
        <v>0</v>
      </c>
      <c r="AE351" s="60">
        <f t="shared" si="130"/>
        <v>0</v>
      </c>
      <c r="AF351" s="8"/>
    </row>
    <row r="352" spans="2:32" s="37" customFormat="1" x14ac:dyDescent="0.35">
      <c r="B352" s="13">
        <v>2026</v>
      </c>
      <c r="C352" s="13" t="s">
        <v>182</v>
      </c>
      <c r="D352" s="13" t="s">
        <v>80</v>
      </c>
      <c r="E352" s="13" t="s">
        <v>88</v>
      </c>
      <c r="F352" s="13" t="s">
        <v>172</v>
      </c>
      <c r="G352" s="85"/>
      <c r="H352" s="94"/>
      <c r="I352" s="13" t="s">
        <v>180</v>
      </c>
      <c r="J352" s="29" t="str">
        <f>IFERROR(VLOOKUP(I352,Map!$F$18:$G$56,2,0),"Add in Map")</f>
        <v>OBS</v>
      </c>
      <c r="K352" s="29" t="str">
        <f>VLOOKUP(L352,Map!$C$18:$D$29,2,0)</f>
        <v>TOTAL</v>
      </c>
      <c r="L352" s="13" t="s">
        <v>56</v>
      </c>
      <c r="M352" s="57">
        <f>SUM(M341:M351)</f>
        <v>6876922.120000001</v>
      </c>
      <c r="N352" s="57">
        <f t="shared" si="121"/>
        <v>1306615.2028000003</v>
      </c>
      <c r="O352" s="57">
        <f t="shared" si="122"/>
        <v>8183537.3228000011</v>
      </c>
      <c r="P352" s="11">
        <f t="shared" si="123"/>
        <v>7442.5564069264083</v>
      </c>
      <c r="Q352" s="11">
        <f t="shared" si="124"/>
        <v>1414.0857173160175</v>
      </c>
      <c r="R352" s="61">
        <f t="shared" si="125"/>
        <v>8856.6421242424258</v>
      </c>
      <c r="S352" s="46">
        <f>INDEX(FX!$D$3:$O$19,MATCH(B352,FX!$B$3:$B$32,0),MATCH(D352,FX!$D$2:$O$2,0))</f>
        <v>924</v>
      </c>
      <c r="T352" s="13" t="s">
        <v>81</v>
      </c>
      <c r="U352" s="13" t="s">
        <v>32</v>
      </c>
      <c r="V352" s="13" t="s">
        <v>83</v>
      </c>
      <c r="W352" s="29" t="str">
        <f>VLOOKUP(I352,Map!$F$18:$H$51,3,0)</f>
        <v>Variable</v>
      </c>
      <c r="X352" s="90" t="s">
        <v>172</v>
      </c>
      <c r="Y352" s="109" t="str">
        <f>VLOOKUP(L352,Map!$C$18:$D$29,2,0)</f>
        <v>TOTAL</v>
      </c>
      <c r="Z352" s="53"/>
      <c r="AA352" s="57">
        <f t="shared" si="126"/>
        <v>0</v>
      </c>
      <c r="AB352" s="57">
        <f t="shared" si="127"/>
        <v>0</v>
      </c>
      <c r="AC352" s="11">
        <f t="shared" si="128"/>
        <v>0</v>
      </c>
      <c r="AD352" s="11">
        <f t="shared" si="129"/>
        <v>0</v>
      </c>
      <c r="AE352" s="61">
        <f t="shared" si="130"/>
        <v>0</v>
      </c>
      <c r="AF352" s="87"/>
    </row>
    <row r="353" spans="2:32" s="5" customFormat="1" ht="13" hidden="1" x14ac:dyDescent="0.3">
      <c r="B353" s="114">
        <v>2026</v>
      </c>
      <c r="C353" s="114" t="s">
        <v>183</v>
      </c>
      <c r="D353" s="114" t="s">
        <v>162</v>
      </c>
      <c r="E353" s="114"/>
      <c r="F353" s="114"/>
      <c r="G353" s="115"/>
      <c r="H353" s="116">
        <v>58150768</v>
      </c>
      <c r="I353" s="114" t="s">
        <v>146</v>
      </c>
      <c r="J353" s="117" t="str">
        <f>IFERROR(VLOOKUP(I353,Map!$F$18:$G$56,2,0),"Add in Map")</f>
        <v>OBS</v>
      </c>
      <c r="K353" s="117" t="str">
        <f>VLOOKUP(L353,Map!$C$18:$D$29,2,0)</f>
        <v>CNT</v>
      </c>
      <c r="L353" s="114" t="s">
        <v>31</v>
      </c>
      <c r="M353" s="118">
        <v>2793228.4421999995</v>
      </c>
      <c r="N353" s="119">
        <f t="shared" si="121"/>
        <v>0</v>
      </c>
      <c r="O353" s="119">
        <f t="shared" si="122"/>
        <v>3323941.8462179992</v>
      </c>
      <c r="P353" s="120">
        <f t="shared" si="123"/>
        <v>3026.2496665222097</v>
      </c>
      <c r="Q353" s="120">
        <f t="shared" si="124"/>
        <v>0</v>
      </c>
      <c r="R353" s="121">
        <f t="shared" si="125"/>
        <v>3601.2371031614293</v>
      </c>
      <c r="S353" s="122">
        <f>INDEX(FX!$D$3:$O$19,MATCH(B353,FX!$B$3:$B$32,0),MATCH(D353,FX!$D$2:$O$2,0))</f>
        <v>923</v>
      </c>
      <c r="T353" s="114"/>
      <c r="U353" s="114"/>
      <c r="V353" s="114"/>
      <c r="W353" s="117" t="str">
        <f>VLOOKUP(I353,Map!$F$18:$H$51,3,0)</f>
        <v>Variable</v>
      </c>
      <c r="X353" s="123"/>
      <c r="Y353" s="124" t="str">
        <f>VLOOKUP(L353,Map!$C$18:$D$29,2,0)</f>
        <v>CNT</v>
      </c>
      <c r="Z353" s="118"/>
      <c r="AA353" s="119">
        <f t="shared" si="126"/>
        <v>0</v>
      </c>
      <c r="AB353" s="119">
        <f t="shared" si="127"/>
        <v>0</v>
      </c>
      <c r="AC353" s="120">
        <f t="shared" si="128"/>
        <v>0</v>
      </c>
      <c r="AD353" s="120">
        <f t="shared" si="129"/>
        <v>0</v>
      </c>
      <c r="AE353" s="121">
        <f t="shared" si="130"/>
        <v>0</v>
      </c>
      <c r="AF353" s="117"/>
    </row>
    <row r="354" spans="2:32" s="1" customFormat="1" ht="13" hidden="1" x14ac:dyDescent="0.3">
      <c r="B354" s="12">
        <v>2026</v>
      </c>
      <c r="C354" s="12" t="s">
        <v>183</v>
      </c>
      <c r="D354" s="12" t="s">
        <v>162</v>
      </c>
      <c r="E354" s="12"/>
      <c r="F354" s="12"/>
      <c r="G354" s="83"/>
      <c r="H354" s="93">
        <v>58150768</v>
      </c>
      <c r="I354" s="12" t="s">
        <v>146</v>
      </c>
      <c r="J354" s="8" t="str">
        <f>IFERROR(VLOOKUP(I354,Map!$F$18:$G$56,2,0),"Add in Map")</f>
        <v>OBS</v>
      </c>
      <c r="K354" s="8" t="str">
        <f>VLOOKUP(L354,Map!$C$18:$D$29,2,0)</f>
        <v>CVT</v>
      </c>
      <c r="L354" s="12" t="s">
        <v>36</v>
      </c>
      <c r="M354" s="52">
        <v>65945.312999999995</v>
      </c>
      <c r="N354" s="56">
        <f t="shared" si="121"/>
        <v>0</v>
      </c>
      <c r="O354" s="56">
        <f t="shared" si="122"/>
        <v>78474.92246999999</v>
      </c>
      <c r="P354" s="31">
        <f t="shared" si="123"/>
        <v>71.446709642470196</v>
      </c>
      <c r="Q354" s="31">
        <f t="shared" si="124"/>
        <v>0</v>
      </c>
      <c r="R354" s="60">
        <f t="shared" si="125"/>
        <v>85.021584474539523</v>
      </c>
      <c r="S354" s="45">
        <f>INDEX(FX!$D$3:$O$19,MATCH(B354,FX!$B$3:$B$32,0),MATCH(D354,FX!$D$2:$O$2,0))</f>
        <v>923</v>
      </c>
      <c r="T354" s="12"/>
      <c r="U354" s="12"/>
      <c r="V354" s="12"/>
      <c r="W354" s="8" t="str">
        <f>VLOOKUP(I354,Map!$F$18:$H$51,3,0)</f>
        <v>Variable</v>
      </c>
      <c r="X354" s="88"/>
      <c r="Y354" s="107" t="str">
        <f>VLOOKUP(L354,Map!$C$18:$D$29,2,0)</f>
        <v>CVT</v>
      </c>
      <c r="Z354" s="52"/>
      <c r="AA354" s="56">
        <f t="shared" si="126"/>
        <v>0</v>
      </c>
      <c r="AB354" s="56">
        <f t="shared" si="127"/>
        <v>0</v>
      </c>
      <c r="AC354" s="31">
        <f t="shared" si="128"/>
        <v>0</v>
      </c>
      <c r="AD354" s="31">
        <f t="shared" si="129"/>
        <v>0</v>
      </c>
      <c r="AE354" s="60">
        <f t="shared" si="130"/>
        <v>0</v>
      </c>
      <c r="AF354" s="8"/>
    </row>
    <row r="355" spans="2:32" s="1" customFormat="1" ht="13" hidden="1" x14ac:dyDescent="0.3">
      <c r="B355" s="12">
        <v>2026</v>
      </c>
      <c r="C355" s="12" t="s">
        <v>183</v>
      </c>
      <c r="D355" s="12" t="s">
        <v>162</v>
      </c>
      <c r="E355" s="12"/>
      <c r="F355" s="12"/>
      <c r="G355" s="83"/>
      <c r="H355" s="93">
        <v>58150768</v>
      </c>
      <c r="I355" s="12" t="s">
        <v>146</v>
      </c>
      <c r="J355" s="8" t="str">
        <f>IFERROR(VLOOKUP(I355,Map!$F$18:$G$56,2,0),"Add in Map")</f>
        <v>OBS</v>
      </c>
      <c r="K355" s="8" t="str">
        <f>VLOOKUP(L355,Map!$C$18:$D$29,2,0)</f>
        <v>CDT</v>
      </c>
      <c r="L355" s="12" t="s">
        <v>38</v>
      </c>
      <c r="M355" s="52">
        <v>0</v>
      </c>
      <c r="N355" s="56">
        <f t="shared" si="121"/>
        <v>0</v>
      </c>
      <c r="O355" s="56">
        <f t="shared" si="122"/>
        <v>0</v>
      </c>
      <c r="P355" s="31">
        <f t="shared" si="123"/>
        <v>0</v>
      </c>
      <c r="Q355" s="31">
        <f t="shared" si="124"/>
        <v>0</v>
      </c>
      <c r="R355" s="60">
        <f t="shared" si="125"/>
        <v>0</v>
      </c>
      <c r="S355" s="45">
        <f>INDEX(FX!$D$3:$O$19,MATCH(B355,FX!$B$3:$B$32,0),MATCH(D355,FX!$D$2:$O$2,0))</f>
        <v>923</v>
      </c>
      <c r="T355" s="12"/>
      <c r="U355" s="12"/>
      <c r="V355" s="12"/>
      <c r="W355" s="8" t="str">
        <f>VLOOKUP(I355,Map!$F$18:$H$51,3,0)</f>
        <v>Variable</v>
      </c>
      <c r="X355" s="88"/>
      <c r="Y355" s="107" t="str">
        <f>VLOOKUP(L355,Map!$C$18:$D$29,2,0)</f>
        <v>CDT</v>
      </c>
      <c r="Z355" s="52"/>
      <c r="AA355" s="56">
        <f t="shared" si="126"/>
        <v>0</v>
      </c>
      <c r="AB355" s="56">
        <f t="shared" si="127"/>
        <v>0</v>
      </c>
      <c r="AC355" s="31">
        <f t="shared" si="128"/>
        <v>0</v>
      </c>
      <c r="AD355" s="31">
        <f t="shared" si="129"/>
        <v>0</v>
      </c>
      <c r="AE355" s="60">
        <f t="shared" si="130"/>
        <v>0</v>
      </c>
      <c r="AF355" s="8"/>
    </row>
    <row r="356" spans="2:32" s="1" customFormat="1" ht="13" hidden="1" x14ac:dyDescent="0.3">
      <c r="B356" s="12">
        <v>2026</v>
      </c>
      <c r="C356" s="12" t="s">
        <v>183</v>
      </c>
      <c r="D356" s="12" t="s">
        <v>162</v>
      </c>
      <c r="E356" s="12"/>
      <c r="F356" s="12"/>
      <c r="G356" s="83"/>
      <c r="H356" s="93">
        <v>58150768</v>
      </c>
      <c r="I356" s="12" t="s">
        <v>146</v>
      </c>
      <c r="J356" s="8" t="str">
        <f>IFERROR(VLOOKUP(I356,Map!$F$18:$G$56,2,0),"Add in Map")</f>
        <v>OBS</v>
      </c>
      <c r="K356" s="8" t="str">
        <f>VLOOKUP(L356,Map!$C$18:$D$29,2,0)</f>
        <v>DFT</v>
      </c>
      <c r="L356" s="12" t="s">
        <v>40</v>
      </c>
      <c r="M356" s="52">
        <v>6595377.8562000003</v>
      </c>
      <c r="N356" s="56">
        <f t="shared" si="121"/>
        <v>0</v>
      </c>
      <c r="O356" s="56">
        <f t="shared" si="122"/>
        <v>7848499.6488779997</v>
      </c>
      <c r="P356" s="31">
        <f t="shared" si="123"/>
        <v>7145.5881432286023</v>
      </c>
      <c r="Q356" s="31">
        <f t="shared" si="124"/>
        <v>0</v>
      </c>
      <c r="R356" s="60">
        <f t="shared" si="125"/>
        <v>8503.2498904420372</v>
      </c>
      <c r="S356" s="45">
        <f>INDEX(FX!$D$3:$O$19,MATCH(B356,FX!$B$3:$B$32,0),MATCH(D356,FX!$D$2:$O$2,0))</f>
        <v>923</v>
      </c>
      <c r="T356" s="12"/>
      <c r="U356" s="12"/>
      <c r="V356" s="12"/>
      <c r="W356" s="8" t="str">
        <f>VLOOKUP(I356,Map!$F$18:$H$51,3,0)</f>
        <v>Variable</v>
      </c>
      <c r="X356" s="88"/>
      <c r="Y356" s="107" t="str">
        <f>VLOOKUP(L356,Map!$C$18:$D$29,2,0)</f>
        <v>DFT</v>
      </c>
      <c r="Z356" s="52"/>
      <c r="AA356" s="56">
        <f t="shared" si="126"/>
        <v>0</v>
      </c>
      <c r="AB356" s="56">
        <f t="shared" si="127"/>
        <v>0</v>
      </c>
      <c r="AC356" s="31">
        <f t="shared" si="128"/>
        <v>0</v>
      </c>
      <c r="AD356" s="31">
        <f t="shared" si="129"/>
        <v>0</v>
      </c>
      <c r="AE356" s="60">
        <f t="shared" si="130"/>
        <v>0</v>
      </c>
      <c r="AF356" s="8"/>
    </row>
    <row r="357" spans="2:32" s="1" customFormat="1" ht="13" hidden="1" x14ac:dyDescent="0.3">
      <c r="B357" s="12">
        <v>2026</v>
      </c>
      <c r="C357" s="12" t="s">
        <v>183</v>
      </c>
      <c r="D357" s="12" t="s">
        <v>162</v>
      </c>
      <c r="E357" s="12"/>
      <c r="F357" s="12"/>
      <c r="G357" s="83"/>
      <c r="H357" s="93">
        <v>58150768</v>
      </c>
      <c r="I357" s="12" t="s">
        <v>146</v>
      </c>
      <c r="J357" s="8" t="str">
        <f>IFERROR(VLOOKUP(I357,Map!$F$18:$G$56,2,0),"Add in Map")</f>
        <v>OBS</v>
      </c>
      <c r="K357" s="8" t="str">
        <f>VLOOKUP(L357,Map!$C$18:$D$29,2,0)</f>
        <v>DVT</v>
      </c>
      <c r="L357" s="12" t="s">
        <v>42</v>
      </c>
      <c r="M357" s="52">
        <v>8454.348</v>
      </c>
      <c r="N357" s="56">
        <f t="shared" si="121"/>
        <v>0</v>
      </c>
      <c r="O357" s="56">
        <f t="shared" si="122"/>
        <v>10060.67412</v>
      </c>
      <c r="P357" s="31">
        <f t="shared" si="123"/>
        <v>9.1596403033586125</v>
      </c>
      <c r="Q357" s="31">
        <f t="shared" si="124"/>
        <v>0</v>
      </c>
      <c r="R357" s="60">
        <f t="shared" si="125"/>
        <v>10.899971960996748</v>
      </c>
      <c r="S357" s="45">
        <f>INDEX(FX!$D$3:$O$19,MATCH(B357,FX!$B$3:$B$32,0),MATCH(D357,FX!$D$2:$O$2,0))</f>
        <v>923</v>
      </c>
      <c r="T357" s="12"/>
      <c r="U357" s="12"/>
      <c r="V357" s="12"/>
      <c r="W357" s="8" t="str">
        <f>VLOOKUP(I357,Map!$F$18:$H$51,3,0)</f>
        <v>Variable</v>
      </c>
      <c r="X357" s="88"/>
      <c r="Y357" s="107" t="str">
        <f>VLOOKUP(L357,Map!$C$18:$D$29,2,0)</f>
        <v>DVT</v>
      </c>
      <c r="Z357" s="52"/>
      <c r="AA357" s="56">
        <f t="shared" si="126"/>
        <v>0</v>
      </c>
      <c r="AB357" s="56">
        <f t="shared" si="127"/>
        <v>0</v>
      </c>
      <c r="AC357" s="31">
        <f t="shared" si="128"/>
        <v>0</v>
      </c>
      <c r="AD357" s="31">
        <f t="shared" si="129"/>
        <v>0</v>
      </c>
      <c r="AE357" s="60">
        <f t="shared" si="130"/>
        <v>0</v>
      </c>
      <c r="AF357" s="8"/>
    </row>
    <row r="358" spans="2:32" s="1" customFormat="1" ht="13" hidden="1" x14ac:dyDescent="0.3">
      <c r="B358" s="12">
        <v>2026</v>
      </c>
      <c r="C358" s="12" t="s">
        <v>183</v>
      </c>
      <c r="D358" s="12" t="s">
        <v>162</v>
      </c>
      <c r="E358" s="12"/>
      <c r="F358" s="12"/>
      <c r="G358" s="83"/>
      <c r="H358" s="93">
        <v>58150768</v>
      </c>
      <c r="I358" s="12" t="s">
        <v>146</v>
      </c>
      <c r="J358" s="8" t="str">
        <f>IFERROR(VLOOKUP(I358,Map!$F$18:$G$56,2,0),"Add in Map")</f>
        <v>OBS</v>
      </c>
      <c r="K358" s="8" t="str">
        <f>VLOOKUP(L358,Map!$C$18:$D$29,2,0)</f>
        <v>GLT</v>
      </c>
      <c r="L358" s="12" t="s">
        <v>44</v>
      </c>
      <c r="M358" s="52">
        <v>5000365.5785999997</v>
      </c>
      <c r="N358" s="56">
        <f t="shared" si="121"/>
        <v>0</v>
      </c>
      <c r="O358" s="56">
        <f t="shared" si="122"/>
        <v>5950435.0385339996</v>
      </c>
      <c r="P358" s="31">
        <f t="shared" si="123"/>
        <v>5417.5141696641385</v>
      </c>
      <c r="Q358" s="31">
        <f t="shared" si="124"/>
        <v>0</v>
      </c>
      <c r="R358" s="60">
        <f t="shared" si="125"/>
        <v>6446.8418619003241</v>
      </c>
      <c r="S358" s="45">
        <f>INDEX(FX!$D$3:$O$19,MATCH(B358,FX!$B$3:$B$32,0),MATCH(D358,FX!$D$2:$O$2,0))</f>
        <v>923</v>
      </c>
      <c r="T358" s="12"/>
      <c r="U358" s="12"/>
      <c r="V358" s="12"/>
      <c r="W358" s="8" t="str">
        <f>VLOOKUP(I358,Map!$F$18:$H$51,3,0)</f>
        <v>Variable</v>
      </c>
      <c r="X358" s="88"/>
      <c r="Y358" s="107" t="str">
        <f>VLOOKUP(L358,Map!$C$18:$D$29,2,0)</f>
        <v>GLT</v>
      </c>
      <c r="Z358" s="52"/>
      <c r="AA358" s="56">
        <f t="shared" si="126"/>
        <v>0</v>
      </c>
      <c r="AB358" s="56">
        <f t="shared" si="127"/>
        <v>0</v>
      </c>
      <c r="AC358" s="31">
        <f t="shared" si="128"/>
        <v>0</v>
      </c>
      <c r="AD358" s="31">
        <f t="shared" si="129"/>
        <v>0</v>
      </c>
      <c r="AE358" s="60">
        <f t="shared" si="130"/>
        <v>0</v>
      </c>
      <c r="AF358" s="8"/>
    </row>
    <row r="359" spans="2:32" s="1" customFormat="1" ht="13" hidden="1" x14ac:dyDescent="0.3">
      <c r="B359" s="12">
        <v>2026</v>
      </c>
      <c r="C359" s="12" t="s">
        <v>183</v>
      </c>
      <c r="D359" s="12" t="s">
        <v>162</v>
      </c>
      <c r="E359" s="12"/>
      <c r="F359" s="12"/>
      <c r="G359" s="83"/>
      <c r="H359" s="93">
        <v>58150768</v>
      </c>
      <c r="I359" s="12" t="s">
        <v>146</v>
      </c>
      <c r="J359" s="8" t="str">
        <f>IFERROR(VLOOKUP(I359,Map!$F$18:$G$56,2,0),"Add in Map")</f>
        <v>OBS</v>
      </c>
      <c r="K359" s="8" t="str">
        <f>VLOOKUP(L359,Map!$C$18:$D$29,2,0)</f>
        <v>PNT</v>
      </c>
      <c r="L359" s="12" t="s">
        <v>46</v>
      </c>
      <c r="M359" s="52">
        <v>418768.47179999994</v>
      </c>
      <c r="N359" s="56">
        <f t="shared" si="121"/>
        <v>0</v>
      </c>
      <c r="O359" s="56">
        <f t="shared" si="122"/>
        <v>498334.4814419999</v>
      </c>
      <c r="P359" s="31">
        <f t="shared" si="123"/>
        <v>453.70365308775723</v>
      </c>
      <c r="Q359" s="31">
        <f t="shared" si="124"/>
        <v>0</v>
      </c>
      <c r="R359" s="60">
        <f t="shared" si="125"/>
        <v>539.90734717443104</v>
      </c>
      <c r="S359" s="45">
        <f>INDEX(FX!$D$3:$O$19,MATCH(B359,FX!$B$3:$B$32,0),MATCH(D359,FX!$D$2:$O$2,0))</f>
        <v>923</v>
      </c>
      <c r="T359" s="12"/>
      <c r="U359" s="12"/>
      <c r="V359" s="12"/>
      <c r="W359" s="8" t="str">
        <f>VLOOKUP(I359,Map!$F$18:$H$51,3,0)</f>
        <v>Variable</v>
      </c>
      <c r="X359" s="88"/>
      <c r="Y359" s="107" t="str">
        <f>VLOOKUP(L359,Map!$C$18:$D$29,2,0)</f>
        <v>PNT</v>
      </c>
      <c r="Z359" s="52"/>
      <c r="AA359" s="56">
        <f t="shared" si="126"/>
        <v>0</v>
      </c>
      <c r="AB359" s="56">
        <f t="shared" si="127"/>
        <v>0</v>
      </c>
      <c r="AC359" s="31">
        <f t="shared" si="128"/>
        <v>0</v>
      </c>
      <c r="AD359" s="31">
        <f t="shared" si="129"/>
        <v>0</v>
      </c>
      <c r="AE359" s="60">
        <f t="shared" si="130"/>
        <v>0</v>
      </c>
      <c r="AF359" s="8"/>
    </row>
    <row r="360" spans="2:32" s="1" customFormat="1" ht="13" hidden="1" x14ac:dyDescent="0.3">
      <c r="B360" s="12">
        <v>2026</v>
      </c>
      <c r="C360" s="12" t="s">
        <v>183</v>
      </c>
      <c r="D360" s="12" t="s">
        <v>162</v>
      </c>
      <c r="E360" s="12"/>
      <c r="F360" s="12"/>
      <c r="G360" s="83"/>
      <c r="H360" s="93">
        <v>58150768</v>
      </c>
      <c r="I360" s="12" t="s">
        <v>146</v>
      </c>
      <c r="J360" s="8" t="str">
        <f>IFERROR(VLOOKUP(I360,Map!$F$18:$G$56,2,0),"Add in Map")</f>
        <v>OBS</v>
      </c>
      <c r="K360" s="8" t="str">
        <f>VLOOKUP(L360,Map!$C$18:$D$29,2,0)</f>
        <v>GTT</v>
      </c>
      <c r="L360" s="12" t="s">
        <v>48</v>
      </c>
      <c r="M360" s="52">
        <v>417058.14779999998</v>
      </c>
      <c r="N360" s="56">
        <f t="shared" si="121"/>
        <v>0</v>
      </c>
      <c r="O360" s="56">
        <f t="shared" si="122"/>
        <v>496299.19588199997</v>
      </c>
      <c r="P360" s="31">
        <f t="shared" si="123"/>
        <v>451.8506476706392</v>
      </c>
      <c r="Q360" s="31">
        <f t="shared" si="124"/>
        <v>0</v>
      </c>
      <c r="R360" s="60">
        <f t="shared" si="125"/>
        <v>537.70227072806063</v>
      </c>
      <c r="S360" s="45">
        <f>INDEX(FX!$D$3:$O$19,MATCH(B360,FX!$B$3:$B$32,0),MATCH(D360,FX!$D$2:$O$2,0))</f>
        <v>923</v>
      </c>
      <c r="T360" s="12"/>
      <c r="U360" s="12"/>
      <c r="V360" s="12"/>
      <c r="W360" s="8" t="str">
        <f>VLOOKUP(I360,Map!$F$18:$H$51,3,0)</f>
        <v>Variable</v>
      </c>
      <c r="X360" s="88"/>
      <c r="Y360" s="107" t="str">
        <f>VLOOKUP(L360,Map!$C$18:$D$29,2,0)</f>
        <v>GTT</v>
      </c>
      <c r="Z360" s="52"/>
      <c r="AA360" s="56">
        <f t="shared" si="126"/>
        <v>0</v>
      </c>
      <c r="AB360" s="56">
        <f t="shared" si="127"/>
        <v>0</v>
      </c>
      <c r="AC360" s="31">
        <f t="shared" si="128"/>
        <v>0</v>
      </c>
      <c r="AD360" s="31">
        <f t="shared" si="129"/>
        <v>0</v>
      </c>
      <c r="AE360" s="60">
        <f t="shared" si="130"/>
        <v>0</v>
      </c>
      <c r="AF360" s="8"/>
    </row>
    <row r="361" spans="2:32" s="1" customFormat="1" ht="13" hidden="1" x14ac:dyDescent="0.3">
      <c r="B361" s="12">
        <v>2026</v>
      </c>
      <c r="C361" s="12" t="s">
        <v>183</v>
      </c>
      <c r="D361" s="12" t="s">
        <v>162</v>
      </c>
      <c r="E361" s="12"/>
      <c r="F361" s="12"/>
      <c r="G361" s="83"/>
      <c r="H361" s="93">
        <v>58150768</v>
      </c>
      <c r="I361" s="12" t="s">
        <v>146</v>
      </c>
      <c r="J361" s="8" t="str">
        <f>IFERROR(VLOOKUP(I361,Map!$F$18:$G$56,2,0),"Add in Map")</f>
        <v>OBS</v>
      </c>
      <c r="K361" s="8" t="str">
        <f>VLOOKUP(L361,Map!$C$18:$D$29,2,0)</f>
        <v>DGT</v>
      </c>
      <c r="L361" s="12" t="s">
        <v>50</v>
      </c>
      <c r="M361" s="52">
        <v>542035.53179999988</v>
      </c>
      <c r="N361" s="56">
        <f t="shared" si="121"/>
        <v>0</v>
      </c>
      <c r="O361" s="56">
        <f t="shared" si="122"/>
        <v>645022.28284199978</v>
      </c>
      <c r="P361" s="31">
        <f t="shared" si="123"/>
        <v>587.25409729144087</v>
      </c>
      <c r="Q361" s="31">
        <f t="shared" si="124"/>
        <v>0</v>
      </c>
      <c r="R361" s="60">
        <f t="shared" si="125"/>
        <v>698.83237577681462</v>
      </c>
      <c r="S361" s="45">
        <f>INDEX(FX!$D$3:$O$19,MATCH(B361,FX!$B$3:$B$32,0),MATCH(D361,FX!$D$2:$O$2,0))</f>
        <v>923</v>
      </c>
      <c r="T361" s="12"/>
      <c r="U361" s="12"/>
      <c r="V361" s="12"/>
      <c r="W361" s="8" t="str">
        <f>VLOOKUP(I361,Map!$F$18:$H$51,3,0)</f>
        <v>Variable</v>
      </c>
      <c r="X361" s="88"/>
      <c r="Y361" s="107" t="str">
        <f>VLOOKUP(L361,Map!$C$18:$D$29,2,0)</f>
        <v>DGT</v>
      </c>
      <c r="Z361" s="52"/>
      <c r="AA361" s="56">
        <f t="shared" si="126"/>
        <v>0</v>
      </c>
      <c r="AB361" s="56">
        <f t="shared" si="127"/>
        <v>0</v>
      </c>
      <c r="AC361" s="31">
        <f t="shared" si="128"/>
        <v>0</v>
      </c>
      <c r="AD361" s="31">
        <f t="shared" si="129"/>
        <v>0</v>
      </c>
      <c r="AE361" s="60">
        <f t="shared" si="130"/>
        <v>0</v>
      </c>
      <c r="AF361" s="8"/>
    </row>
    <row r="362" spans="2:32" s="1" customFormat="1" ht="13" hidden="1" x14ac:dyDescent="0.3">
      <c r="B362" s="12">
        <v>2026</v>
      </c>
      <c r="C362" s="12" t="s">
        <v>183</v>
      </c>
      <c r="D362" s="12" t="s">
        <v>162</v>
      </c>
      <c r="E362" s="12"/>
      <c r="F362" s="12"/>
      <c r="G362" s="83"/>
      <c r="H362" s="93">
        <v>58150768</v>
      </c>
      <c r="I362" s="12" t="s">
        <v>146</v>
      </c>
      <c r="J362" s="8" t="str">
        <f>IFERROR(VLOOKUP(I362,Map!$F$18:$G$56,2,0),"Add in Map")</f>
        <v>OBS</v>
      </c>
      <c r="K362" s="8" t="str">
        <f>VLOOKUP(L362,Map!$C$18:$D$29,2,0)</f>
        <v>DLT</v>
      </c>
      <c r="L362" s="12" t="s">
        <v>52</v>
      </c>
      <c r="M362" s="52">
        <v>73165.453200000004</v>
      </c>
      <c r="N362" s="56">
        <f t="shared" si="121"/>
        <v>0</v>
      </c>
      <c r="O362" s="56">
        <f t="shared" si="122"/>
        <v>87066.889307999998</v>
      </c>
      <c r="P362" s="31">
        <f t="shared" si="123"/>
        <v>79.269180065005415</v>
      </c>
      <c r="Q362" s="31">
        <f t="shared" si="124"/>
        <v>0</v>
      </c>
      <c r="R362" s="60">
        <f t="shared" si="125"/>
        <v>94.330324277356439</v>
      </c>
      <c r="S362" s="45">
        <f>INDEX(FX!$D$3:$O$19,MATCH(B362,FX!$B$3:$B$32,0),MATCH(D362,FX!$D$2:$O$2,0))</f>
        <v>923</v>
      </c>
      <c r="T362" s="12"/>
      <c r="U362" s="12"/>
      <c r="V362" s="12"/>
      <c r="W362" s="8" t="str">
        <f>VLOOKUP(I362,Map!$F$18:$H$51,3,0)</f>
        <v>Variable</v>
      </c>
      <c r="X362" s="88"/>
      <c r="Y362" s="107" t="str">
        <f>VLOOKUP(L362,Map!$C$18:$D$29,2,0)</f>
        <v>DLT</v>
      </c>
      <c r="Z362" s="52"/>
      <c r="AA362" s="56">
        <f t="shared" si="126"/>
        <v>0</v>
      </c>
      <c r="AB362" s="56">
        <f t="shared" si="127"/>
        <v>0</v>
      </c>
      <c r="AC362" s="31">
        <f t="shared" si="128"/>
        <v>0</v>
      </c>
      <c r="AD362" s="31">
        <f t="shared" si="129"/>
        <v>0</v>
      </c>
      <c r="AE362" s="60">
        <f t="shared" si="130"/>
        <v>0</v>
      </c>
      <c r="AF362" s="8"/>
    </row>
    <row r="363" spans="2:32" s="1" customFormat="1" ht="13" hidden="1" x14ac:dyDescent="0.3">
      <c r="B363" s="12">
        <v>2026</v>
      </c>
      <c r="C363" s="12" t="s">
        <v>183</v>
      </c>
      <c r="D363" s="12" t="s">
        <v>162</v>
      </c>
      <c r="E363" s="12"/>
      <c r="F363" s="12"/>
      <c r="G363" s="83"/>
      <c r="H363" s="93">
        <v>58150768</v>
      </c>
      <c r="I363" s="12" t="s">
        <v>146</v>
      </c>
      <c r="J363" s="8" t="str">
        <f>IFERROR(VLOOKUP(I363,Map!$F$18:$G$56,2,0),"Add in Map")</f>
        <v>OBS</v>
      </c>
      <c r="K363" s="8" t="str">
        <f>VLOOKUP(L363,Map!$C$18:$D$29,2,0)</f>
        <v>DMT</v>
      </c>
      <c r="L363" s="12" t="s">
        <v>54</v>
      </c>
      <c r="M363" s="52">
        <v>0</v>
      </c>
      <c r="N363" s="56">
        <f t="shared" si="121"/>
        <v>0</v>
      </c>
      <c r="O363" s="56">
        <f t="shared" si="122"/>
        <v>0</v>
      </c>
      <c r="P363" s="48">
        <f t="shared" si="123"/>
        <v>0</v>
      </c>
      <c r="Q363" s="31">
        <f t="shared" si="124"/>
        <v>0</v>
      </c>
      <c r="R363" s="60">
        <f t="shared" si="125"/>
        <v>0</v>
      </c>
      <c r="S363" s="45">
        <f>INDEX(FX!$D$3:$O$19,MATCH(B363,FX!$B$3:$B$32,0),MATCH(D363,FX!$D$2:$O$2,0))</f>
        <v>923</v>
      </c>
      <c r="T363" s="12"/>
      <c r="U363" s="12"/>
      <c r="V363" s="12"/>
      <c r="W363" s="8" t="str">
        <f>VLOOKUP(I363,Map!$F$18:$H$51,3,0)</f>
        <v>Variable</v>
      </c>
      <c r="X363" s="88"/>
      <c r="Y363" s="107" t="str">
        <f>VLOOKUP(L363,Map!$C$18:$D$29,2,0)</f>
        <v>DMT</v>
      </c>
      <c r="Z363" s="52"/>
      <c r="AA363" s="56">
        <f t="shared" si="126"/>
        <v>0</v>
      </c>
      <c r="AB363" s="56">
        <f t="shared" si="127"/>
        <v>0</v>
      </c>
      <c r="AC363" s="48">
        <f t="shared" si="128"/>
        <v>0</v>
      </c>
      <c r="AD363" s="31">
        <f t="shared" si="129"/>
        <v>0</v>
      </c>
      <c r="AE363" s="60">
        <f t="shared" si="130"/>
        <v>0</v>
      </c>
      <c r="AF363" s="8"/>
    </row>
    <row r="364" spans="2:32" s="37" customFormat="1" hidden="1" x14ac:dyDescent="0.35">
      <c r="B364" s="13">
        <v>2026</v>
      </c>
      <c r="C364" s="13" t="s">
        <v>183</v>
      </c>
      <c r="D364" s="13" t="s">
        <v>162</v>
      </c>
      <c r="E364" s="13"/>
      <c r="F364" s="13"/>
      <c r="G364" s="85"/>
      <c r="H364" s="94">
        <v>58150768</v>
      </c>
      <c r="I364" s="13" t="s">
        <v>146</v>
      </c>
      <c r="J364" s="29" t="str">
        <f>IFERROR(VLOOKUP(I364,Map!$F$18:$G$56,2,0),"Add in Map")</f>
        <v>OBS</v>
      </c>
      <c r="K364" s="29" t="str">
        <f>VLOOKUP(L364,Map!$C$18:$D$29,2,0)</f>
        <v>TOTAL</v>
      </c>
      <c r="L364" s="13" t="s">
        <v>56</v>
      </c>
      <c r="M364" s="128">
        <f>SUM(M353:M363)</f>
        <v>15914399.142599998</v>
      </c>
      <c r="N364" s="57">
        <f t="shared" si="121"/>
        <v>3023735.8370939996</v>
      </c>
      <c r="O364" s="57">
        <f t="shared" si="122"/>
        <v>18938134.979693998</v>
      </c>
      <c r="P364" s="11">
        <f t="shared" si="123"/>
        <v>17242.03590747562</v>
      </c>
      <c r="Q364" s="11">
        <f t="shared" si="124"/>
        <v>3275.9868224203678</v>
      </c>
      <c r="R364" s="61">
        <f t="shared" si="125"/>
        <v>20518.022729895987</v>
      </c>
      <c r="S364" s="46">
        <f>INDEX(FX!$D$3:$O$19,MATCH(B364,FX!$B$3:$B$32,0),MATCH(D364,FX!$D$2:$O$2,0))</f>
        <v>923</v>
      </c>
      <c r="T364" s="13"/>
      <c r="U364" s="13"/>
      <c r="V364" s="13"/>
      <c r="W364" s="29" t="str">
        <f>VLOOKUP(I364,Map!$F$18:$H$51,3,0)</f>
        <v>Variable</v>
      </c>
      <c r="X364" s="90"/>
      <c r="Y364" s="109" t="str">
        <f>VLOOKUP(L364,Map!$C$18:$D$29,2,0)</f>
        <v>TOTAL</v>
      </c>
      <c r="Z364" s="53"/>
      <c r="AA364" s="57">
        <f t="shared" si="126"/>
        <v>0</v>
      </c>
      <c r="AB364" s="57">
        <f t="shared" si="127"/>
        <v>0</v>
      </c>
      <c r="AC364" s="11">
        <f t="shared" si="128"/>
        <v>0</v>
      </c>
      <c r="AD364" s="11">
        <f t="shared" si="129"/>
        <v>0</v>
      </c>
      <c r="AE364" s="61">
        <f t="shared" si="130"/>
        <v>0</v>
      </c>
      <c r="AF364" s="87"/>
    </row>
    <row r="365" spans="2:32" s="5" customFormat="1" ht="13" hidden="1" x14ac:dyDescent="0.3">
      <c r="B365" s="114">
        <v>2026</v>
      </c>
      <c r="C365" s="114" t="s">
        <v>184</v>
      </c>
      <c r="D365" s="114" t="s">
        <v>80</v>
      </c>
      <c r="E365" s="114"/>
      <c r="F365" s="114"/>
      <c r="G365" s="115"/>
      <c r="H365" s="116"/>
      <c r="I365" s="114" t="s">
        <v>146</v>
      </c>
      <c r="J365" s="117" t="str">
        <f>IFERROR(VLOOKUP(I365,Map!$F$18:$G$56,2,0),"Add in Map")</f>
        <v>OBS</v>
      </c>
      <c r="K365" s="117" t="str">
        <f>VLOOKUP(L365,Map!$C$18:$D$29,2,0)</f>
        <v>CNT</v>
      </c>
      <c r="L365" s="114" t="s">
        <v>31</v>
      </c>
      <c r="M365" s="118">
        <v>1267233.8858986928</v>
      </c>
      <c r="N365" s="119">
        <f t="shared" ref="N365:N388" si="131">IF(L365="TOTAL",(M365*0.19),0)</f>
        <v>0</v>
      </c>
      <c r="O365" s="119">
        <f t="shared" ref="O365:O388" si="132">M365*1.19</f>
        <v>1508008.3242194443</v>
      </c>
      <c r="P365" s="120">
        <f t="shared" ref="P365:P388" si="133">M365/S365</f>
        <v>1371.4652444791047</v>
      </c>
      <c r="Q365" s="120">
        <f t="shared" ref="Q365:Q388" si="134">IF(L365="TOTAL",(P365*0.19),0)</f>
        <v>0</v>
      </c>
      <c r="R365" s="121">
        <f t="shared" ref="R365:R388" si="135">P365*1.19</f>
        <v>1632.0436409301346</v>
      </c>
      <c r="S365" s="122">
        <f>INDEX(FX!$D$3:$O$19,MATCH(B365,FX!$B$3:$B$32,0),MATCH(D365,FX!$D$2:$O$2,0))</f>
        <v>924</v>
      </c>
      <c r="T365" s="114"/>
      <c r="U365" s="114"/>
      <c r="V365" s="114"/>
      <c r="W365" s="117" t="str">
        <f>VLOOKUP(I365,Map!$F$18:$H$51,3,0)</f>
        <v>Variable</v>
      </c>
      <c r="X365" s="123"/>
      <c r="Y365" s="124" t="str">
        <f>VLOOKUP(L365,Map!$C$18:$D$29,2,0)</f>
        <v>CNT</v>
      </c>
      <c r="Z365" s="118"/>
      <c r="AA365" s="119">
        <f t="shared" ref="AA365:AA388" si="136">IF(Y365="TOTAL",(Z365*0.19),0)</f>
        <v>0</v>
      </c>
      <c r="AB365" s="119">
        <f t="shared" ref="AB365:AB388" si="137">Z365*1.19</f>
        <v>0</v>
      </c>
      <c r="AC365" s="120">
        <f t="shared" ref="AC365:AC388" si="138">Z365/S365</f>
        <v>0</v>
      </c>
      <c r="AD365" s="120">
        <f t="shared" ref="AD365:AD388" si="139">IF(Y365="TOTAL",(AC365*0.19),0)</f>
        <v>0</v>
      </c>
      <c r="AE365" s="121">
        <f t="shared" ref="AE365:AE388" si="140">AC365*1.19</f>
        <v>0</v>
      </c>
      <c r="AF365" s="117"/>
    </row>
    <row r="366" spans="2:32" s="1" customFormat="1" ht="13" hidden="1" x14ac:dyDescent="0.3">
      <c r="B366" s="12">
        <v>2026</v>
      </c>
      <c r="C366" s="12" t="s">
        <v>184</v>
      </c>
      <c r="D366" s="12" t="s">
        <v>80</v>
      </c>
      <c r="E366" s="12"/>
      <c r="F366" s="12"/>
      <c r="G366" s="83"/>
      <c r="H366" s="93"/>
      <c r="I366" s="12" t="s">
        <v>146</v>
      </c>
      <c r="J366" s="8" t="str">
        <f>IFERROR(VLOOKUP(I366,Map!$F$18:$G$56,2,0),"Add in Map")</f>
        <v>OBS</v>
      </c>
      <c r="K366" s="8" t="str">
        <f>VLOOKUP(L366,Map!$C$18:$D$29,2,0)</f>
        <v>CVT</v>
      </c>
      <c r="L366" s="12" t="s">
        <v>36</v>
      </c>
      <c r="M366" s="52">
        <v>13339.304062091504</v>
      </c>
      <c r="N366" s="56">
        <f t="shared" si="131"/>
        <v>0</v>
      </c>
      <c r="O366" s="56">
        <f t="shared" si="132"/>
        <v>15873.771833888888</v>
      </c>
      <c r="P366" s="31">
        <f t="shared" si="133"/>
        <v>14.436476257674787</v>
      </c>
      <c r="Q366" s="31">
        <f t="shared" si="134"/>
        <v>0</v>
      </c>
      <c r="R366" s="60">
        <f t="shared" si="135"/>
        <v>17.179406746632996</v>
      </c>
      <c r="S366" s="45">
        <f>INDEX(FX!$D$3:$O$19,MATCH(B366,FX!$B$3:$B$32,0),MATCH(D366,FX!$D$2:$O$2,0))</f>
        <v>924</v>
      </c>
      <c r="T366" s="12"/>
      <c r="U366" s="12"/>
      <c r="V366" s="12"/>
      <c r="W366" s="8" t="str">
        <f>VLOOKUP(I366,Map!$F$18:$H$51,3,0)</f>
        <v>Variable</v>
      </c>
      <c r="X366" s="88"/>
      <c r="Y366" s="107" t="str">
        <f>VLOOKUP(L366,Map!$C$18:$D$29,2,0)</f>
        <v>CVT</v>
      </c>
      <c r="Z366" s="52"/>
      <c r="AA366" s="56">
        <f t="shared" si="136"/>
        <v>0</v>
      </c>
      <c r="AB366" s="56">
        <f t="shared" si="137"/>
        <v>0</v>
      </c>
      <c r="AC366" s="31">
        <f t="shared" si="138"/>
        <v>0</v>
      </c>
      <c r="AD366" s="31">
        <f t="shared" si="139"/>
        <v>0</v>
      </c>
      <c r="AE366" s="60">
        <f t="shared" si="140"/>
        <v>0</v>
      </c>
      <c r="AF366" s="8"/>
    </row>
    <row r="367" spans="2:32" s="1" customFormat="1" ht="13" hidden="1" x14ac:dyDescent="0.3">
      <c r="B367" s="12">
        <v>2026</v>
      </c>
      <c r="C367" s="12" t="s">
        <v>184</v>
      </c>
      <c r="D367" s="12" t="s">
        <v>80</v>
      </c>
      <c r="E367" s="12"/>
      <c r="F367" s="12"/>
      <c r="G367" s="83"/>
      <c r="H367" s="93"/>
      <c r="I367" s="12" t="s">
        <v>146</v>
      </c>
      <c r="J367" s="8" t="str">
        <f>IFERROR(VLOOKUP(I367,Map!$F$18:$G$56,2,0),"Add in Map")</f>
        <v>OBS</v>
      </c>
      <c r="K367" s="8" t="str">
        <f>VLOOKUP(L367,Map!$C$18:$D$29,2,0)</f>
        <v>CDT</v>
      </c>
      <c r="L367" s="12" t="s">
        <v>38</v>
      </c>
      <c r="M367" s="52">
        <v>146732.34468300652</v>
      </c>
      <c r="N367" s="56">
        <f t="shared" si="131"/>
        <v>0</v>
      </c>
      <c r="O367" s="56">
        <f t="shared" si="132"/>
        <v>174611.49017277776</v>
      </c>
      <c r="P367" s="31">
        <f t="shared" si="133"/>
        <v>158.80123883442263</v>
      </c>
      <c r="Q367" s="31">
        <f t="shared" si="134"/>
        <v>0</v>
      </c>
      <c r="R367" s="60">
        <f t="shared" si="135"/>
        <v>188.97347421296291</v>
      </c>
      <c r="S367" s="45">
        <f>INDEX(FX!$D$3:$O$19,MATCH(B367,FX!$B$3:$B$32,0),MATCH(D367,FX!$D$2:$O$2,0))</f>
        <v>924</v>
      </c>
      <c r="T367" s="12"/>
      <c r="U367" s="12"/>
      <c r="V367" s="12"/>
      <c r="W367" s="8" t="str">
        <f>VLOOKUP(I367,Map!$F$18:$H$51,3,0)</f>
        <v>Variable</v>
      </c>
      <c r="X367" s="88"/>
      <c r="Y367" s="107" t="str">
        <f>VLOOKUP(L367,Map!$C$18:$D$29,2,0)</f>
        <v>CDT</v>
      </c>
      <c r="Z367" s="52"/>
      <c r="AA367" s="56">
        <f t="shared" si="136"/>
        <v>0</v>
      </c>
      <c r="AB367" s="56">
        <f t="shared" si="137"/>
        <v>0</v>
      </c>
      <c r="AC367" s="31">
        <f t="shared" si="138"/>
        <v>0</v>
      </c>
      <c r="AD367" s="31">
        <f t="shared" si="139"/>
        <v>0</v>
      </c>
      <c r="AE367" s="60">
        <f t="shared" si="140"/>
        <v>0</v>
      </c>
      <c r="AF367" s="8"/>
    </row>
    <row r="368" spans="2:32" s="1" customFormat="1" ht="13" hidden="1" x14ac:dyDescent="0.3">
      <c r="B368" s="12">
        <v>2026</v>
      </c>
      <c r="C368" s="12" t="s">
        <v>184</v>
      </c>
      <c r="D368" s="12" t="s">
        <v>80</v>
      </c>
      <c r="E368" s="12"/>
      <c r="F368" s="12"/>
      <c r="G368" s="83"/>
      <c r="H368" s="93"/>
      <c r="I368" s="12" t="s">
        <v>146</v>
      </c>
      <c r="J368" s="8" t="str">
        <f>IFERROR(VLOOKUP(I368,Map!$F$18:$G$56,2,0),"Add in Map")</f>
        <v>OBS</v>
      </c>
      <c r="K368" s="8" t="str">
        <f>VLOOKUP(L368,Map!$C$18:$D$29,2,0)</f>
        <v>DFT</v>
      </c>
      <c r="L368" s="12" t="s">
        <v>40</v>
      </c>
      <c r="M368" s="52">
        <v>2794584.2010081699</v>
      </c>
      <c r="N368" s="56">
        <f t="shared" si="131"/>
        <v>0</v>
      </c>
      <c r="O368" s="56">
        <f t="shared" si="132"/>
        <v>3325555.1991997221</v>
      </c>
      <c r="P368" s="31">
        <f t="shared" si="133"/>
        <v>3024.441775982868</v>
      </c>
      <c r="Q368" s="31">
        <f t="shared" si="134"/>
        <v>0</v>
      </c>
      <c r="R368" s="60">
        <f t="shared" si="135"/>
        <v>3599.0857134196126</v>
      </c>
      <c r="S368" s="45">
        <f>INDEX(FX!$D$3:$O$19,MATCH(B368,FX!$B$3:$B$32,0),MATCH(D368,FX!$D$2:$O$2,0))</f>
        <v>924</v>
      </c>
      <c r="T368" s="12"/>
      <c r="U368" s="12"/>
      <c r="V368" s="12"/>
      <c r="W368" s="8" t="str">
        <f>VLOOKUP(I368,Map!$F$18:$H$51,3,0)</f>
        <v>Variable</v>
      </c>
      <c r="X368" s="88"/>
      <c r="Y368" s="107" t="str">
        <f>VLOOKUP(L368,Map!$C$18:$D$29,2,0)</f>
        <v>DFT</v>
      </c>
      <c r="Z368" s="52"/>
      <c r="AA368" s="56">
        <f t="shared" si="136"/>
        <v>0</v>
      </c>
      <c r="AB368" s="56">
        <f t="shared" si="137"/>
        <v>0</v>
      </c>
      <c r="AC368" s="31">
        <f t="shared" si="138"/>
        <v>0</v>
      </c>
      <c r="AD368" s="31">
        <f t="shared" si="139"/>
        <v>0</v>
      </c>
      <c r="AE368" s="60">
        <f t="shared" si="140"/>
        <v>0</v>
      </c>
      <c r="AF368" s="8"/>
    </row>
    <row r="369" spans="2:32" s="1" customFormat="1" ht="13" hidden="1" x14ac:dyDescent="0.3">
      <c r="B369" s="12">
        <v>2026</v>
      </c>
      <c r="C369" s="12" t="s">
        <v>184</v>
      </c>
      <c r="D369" s="12" t="s">
        <v>80</v>
      </c>
      <c r="E369" s="12"/>
      <c r="F369" s="12"/>
      <c r="G369" s="83"/>
      <c r="H369" s="93"/>
      <c r="I369" s="12" t="s">
        <v>146</v>
      </c>
      <c r="J369" s="8" t="str">
        <f>IFERROR(VLOOKUP(I369,Map!$F$18:$G$56,2,0),"Add in Map")</f>
        <v>OBS</v>
      </c>
      <c r="K369" s="8" t="str">
        <f>VLOOKUP(L369,Map!$C$18:$D$29,2,0)</f>
        <v>DVT</v>
      </c>
      <c r="L369" s="12" t="s">
        <v>42</v>
      </c>
      <c r="M369" s="52">
        <v>0</v>
      </c>
      <c r="N369" s="56">
        <f t="shared" si="131"/>
        <v>0</v>
      </c>
      <c r="O369" s="56">
        <f t="shared" si="132"/>
        <v>0</v>
      </c>
      <c r="P369" s="31">
        <f t="shared" si="133"/>
        <v>0</v>
      </c>
      <c r="Q369" s="31">
        <f t="shared" si="134"/>
        <v>0</v>
      </c>
      <c r="R369" s="60">
        <f t="shared" si="135"/>
        <v>0</v>
      </c>
      <c r="S369" s="45">
        <f>INDEX(FX!$D$3:$O$19,MATCH(B369,FX!$B$3:$B$32,0),MATCH(D369,FX!$D$2:$O$2,0))</f>
        <v>924</v>
      </c>
      <c r="T369" s="12"/>
      <c r="U369" s="12"/>
      <c r="V369" s="12"/>
      <c r="W369" s="8" t="str">
        <f>VLOOKUP(I369,Map!$F$18:$H$51,3,0)</f>
        <v>Variable</v>
      </c>
      <c r="X369" s="88"/>
      <c r="Y369" s="107" t="str">
        <f>VLOOKUP(L369,Map!$C$18:$D$29,2,0)</f>
        <v>DVT</v>
      </c>
      <c r="Z369" s="52"/>
      <c r="AA369" s="56">
        <f t="shared" si="136"/>
        <v>0</v>
      </c>
      <c r="AB369" s="56">
        <f t="shared" si="137"/>
        <v>0</v>
      </c>
      <c r="AC369" s="31">
        <f t="shared" si="138"/>
        <v>0</v>
      </c>
      <c r="AD369" s="31">
        <f t="shared" si="139"/>
        <v>0</v>
      </c>
      <c r="AE369" s="60">
        <f t="shared" si="140"/>
        <v>0</v>
      </c>
      <c r="AF369" s="8"/>
    </row>
    <row r="370" spans="2:32" s="1" customFormat="1" ht="13" hidden="1" x14ac:dyDescent="0.3">
      <c r="B370" s="12">
        <v>2026</v>
      </c>
      <c r="C370" s="12" t="s">
        <v>184</v>
      </c>
      <c r="D370" s="12" t="s">
        <v>80</v>
      </c>
      <c r="E370" s="12"/>
      <c r="F370" s="12"/>
      <c r="G370" s="83"/>
      <c r="H370" s="93"/>
      <c r="I370" s="12" t="s">
        <v>146</v>
      </c>
      <c r="J370" s="8" t="str">
        <f>IFERROR(VLOOKUP(I370,Map!$F$18:$G$56,2,0),"Add in Map")</f>
        <v>OBS</v>
      </c>
      <c r="K370" s="8" t="str">
        <f>VLOOKUP(L370,Map!$C$18:$D$29,2,0)</f>
        <v>GLT</v>
      </c>
      <c r="L370" s="12" t="s">
        <v>44</v>
      </c>
      <c r="M370" s="52">
        <v>1507341.3590163398</v>
      </c>
      <c r="N370" s="56">
        <f t="shared" si="131"/>
        <v>0</v>
      </c>
      <c r="O370" s="56">
        <f t="shared" si="132"/>
        <v>1793736.2172294443</v>
      </c>
      <c r="P370" s="31">
        <f t="shared" si="133"/>
        <v>1631.3218171172509</v>
      </c>
      <c r="Q370" s="31">
        <f t="shared" si="134"/>
        <v>0</v>
      </c>
      <c r="R370" s="60">
        <f t="shared" si="135"/>
        <v>1941.2729623695286</v>
      </c>
      <c r="S370" s="45">
        <f>INDEX(FX!$D$3:$O$19,MATCH(B370,FX!$B$3:$B$32,0),MATCH(D370,FX!$D$2:$O$2,0))</f>
        <v>924</v>
      </c>
      <c r="T370" s="12"/>
      <c r="U370" s="12"/>
      <c r="V370" s="12"/>
      <c r="W370" s="8" t="str">
        <f>VLOOKUP(I370,Map!$F$18:$H$51,3,0)</f>
        <v>Variable</v>
      </c>
      <c r="X370" s="88"/>
      <c r="Y370" s="107" t="str">
        <f>VLOOKUP(L370,Map!$C$18:$D$29,2,0)</f>
        <v>GLT</v>
      </c>
      <c r="Z370" s="52"/>
      <c r="AA370" s="56">
        <f t="shared" si="136"/>
        <v>0</v>
      </c>
      <c r="AB370" s="56">
        <f t="shared" si="137"/>
        <v>0</v>
      </c>
      <c r="AC370" s="31">
        <f t="shared" si="138"/>
        <v>0</v>
      </c>
      <c r="AD370" s="31">
        <f t="shared" si="139"/>
        <v>0</v>
      </c>
      <c r="AE370" s="60">
        <f t="shared" si="140"/>
        <v>0</v>
      </c>
      <c r="AF370" s="8"/>
    </row>
    <row r="371" spans="2:32" s="1" customFormat="1" ht="13" hidden="1" x14ac:dyDescent="0.3">
      <c r="B371" s="12">
        <v>2026</v>
      </c>
      <c r="C371" s="12" t="s">
        <v>184</v>
      </c>
      <c r="D371" s="12" t="s">
        <v>80</v>
      </c>
      <c r="E371" s="12"/>
      <c r="F371" s="12"/>
      <c r="G371" s="83"/>
      <c r="H371" s="93"/>
      <c r="I371" s="12" t="s">
        <v>146</v>
      </c>
      <c r="J371" s="8" t="str">
        <f>IFERROR(VLOOKUP(I371,Map!$F$18:$G$56,2,0),"Add in Map")</f>
        <v>OBS</v>
      </c>
      <c r="K371" s="8" t="str">
        <f>VLOOKUP(L371,Map!$C$18:$D$29,2,0)</f>
        <v>PNT</v>
      </c>
      <c r="L371" s="12" t="s">
        <v>46</v>
      </c>
      <c r="M371" s="52">
        <v>66696.520310457519</v>
      </c>
      <c r="N371" s="56">
        <f t="shared" si="131"/>
        <v>0</v>
      </c>
      <c r="O371" s="56">
        <f t="shared" si="132"/>
        <v>79368.859169444448</v>
      </c>
      <c r="P371" s="31">
        <f t="shared" si="133"/>
        <v>72.182381288373932</v>
      </c>
      <c r="Q371" s="31">
        <f t="shared" si="134"/>
        <v>0</v>
      </c>
      <c r="R371" s="60">
        <f t="shared" si="135"/>
        <v>85.897033733164974</v>
      </c>
      <c r="S371" s="45">
        <f>INDEX(FX!$D$3:$O$19,MATCH(B371,FX!$B$3:$B$32,0),MATCH(D371,FX!$D$2:$O$2,0))</f>
        <v>924</v>
      </c>
      <c r="T371" s="12"/>
      <c r="U371" s="12"/>
      <c r="V371" s="12"/>
      <c r="W371" s="8" t="str">
        <f>VLOOKUP(I371,Map!$F$18:$H$51,3,0)</f>
        <v>Variable</v>
      </c>
      <c r="X371" s="88"/>
      <c r="Y371" s="107" t="str">
        <f>VLOOKUP(L371,Map!$C$18:$D$29,2,0)</f>
        <v>PNT</v>
      </c>
      <c r="Z371" s="52"/>
      <c r="AA371" s="56">
        <f t="shared" si="136"/>
        <v>0</v>
      </c>
      <c r="AB371" s="56">
        <f t="shared" si="137"/>
        <v>0</v>
      </c>
      <c r="AC371" s="31">
        <f t="shared" si="138"/>
        <v>0</v>
      </c>
      <c r="AD371" s="31">
        <f t="shared" si="139"/>
        <v>0</v>
      </c>
      <c r="AE371" s="60">
        <f t="shared" si="140"/>
        <v>0</v>
      </c>
      <c r="AF371" s="8"/>
    </row>
    <row r="372" spans="2:32" s="1" customFormat="1" ht="13" hidden="1" x14ac:dyDescent="0.3">
      <c r="B372" s="12">
        <v>2026</v>
      </c>
      <c r="C372" s="12" t="s">
        <v>184</v>
      </c>
      <c r="D372" s="12" t="s">
        <v>80</v>
      </c>
      <c r="E372" s="12"/>
      <c r="F372" s="12"/>
      <c r="G372" s="83"/>
      <c r="H372" s="93"/>
      <c r="I372" s="12" t="s">
        <v>146</v>
      </c>
      <c r="J372" s="8" t="str">
        <f>IFERROR(VLOOKUP(I372,Map!$F$18:$G$56,2,0),"Add in Map")</f>
        <v>OBS</v>
      </c>
      <c r="K372" s="8" t="str">
        <f>VLOOKUP(L372,Map!$C$18:$D$29,2,0)</f>
        <v>GTT</v>
      </c>
      <c r="L372" s="12" t="s">
        <v>48</v>
      </c>
      <c r="M372" s="52">
        <v>186750.25686928103</v>
      </c>
      <c r="N372" s="56">
        <f t="shared" si="131"/>
        <v>0</v>
      </c>
      <c r="O372" s="56">
        <f t="shared" si="132"/>
        <v>222232.80567444442</v>
      </c>
      <c r="P372" s="31">
        <f t="shared" si="133"/>
        <v>202.110667607447</v>
      </c>
      <c r="Q372" s="31">
        <f t="shared" si="134"/>
        <v>0</v>
      </c>
      <c r="R372" s="60">
        <f t="shared" si="135"/>
        <v>240.51169445286192</v>
      </c>
      <c r="S372" s="45">
        <f>INDEX(FX!$D$3:$O$19,MATCH(B372,FX!$B$3:$B$32,0),MATCH(D372,FX!$D$2:$O$2,0))</f>
        <v>924</v>
      </c>
      <c r="T372" s="12"/>
      <c r="U372" s="12"/>
      <c r="V372" s="12"/>
      <c r="W372" s="8" t="str">
        <f>VLOOKUP(I372,Map!$F$18:$H$51,3,0)</f>
        <v>Variable</v>
      </c>
      <c r="X372" s="88"/>
      <c r="Y372" s="107" t="str">
        <f>VLOOKUP(L372,Map!$C$18:$D$29,2,0)</f>
        <v>GTT</v>
      </c>
      <c r="Z372" s="52"/>
      <c r="AA372" s="56">
        <f t="shared" si="136"/>
        <v>0</v>
      </c>
      <c r="AB372" s="56">
        <f t="shared" si="137"/>
        <v>0</v>
      </c>
      <c r="AC372" s="31">
        <f t="shared" si="138"/>
        <v>0</v>
      </c>
      <c r="AD372" s="31">
        <f t="shared" si="139"/>
        <v>0</v>
      </c>
      <c r="AE372" s="60">
        <f t="shared" si="140"/>
        <v>0</v>
      </c>
      <c r="AF372" s="8"/>
    </row>
    <row r="373" spans="2:32" s="1" customFormat="1" ht="13" hidden="1" x14ac:dyDescent="0.3">
      <c r="B373" s="12">
        <v>2026</v>
      </c>
      <c r="C373" s="12" t="s">
        <v>184</v>
      </c>
      <c r="D373" s="12" t="s">
        <v>80</v>
      </c>
      <c r="E373" s="12"/>
      <c r="F373" s="12"/>
      <c r="G373" s="83"/>
      <c r="H373" s="93"/>
      <c r="I373" s="12" t="s">
        <v>146</v>
      </c>
      <c r="J373" s="8" t="str">
        <f>IFERROR(VLOOKUP(I373,Map!$F$18:$G$56,2,0),"Add in Map")</f>
        <v>OBS</v>
      </c>
      <c r="K373" s="8" t="str">
        <f>VLOOKUP(L373,Map!$C$18:$D$29,2,0)</f>
        <v>DGT</v>
      </c>
      <c r="L373" s="12" t="s">
        <v>50</v>
      </c>
      <c r="M373" s="52">
        <v>126723.38858986927</v>
      </c>
      <c r="N373" s="56">
        <f t="shared" si="131"/>
        <v>0</v>
      </c>
      <c r="O373" s="56">
        <f t="shared" si="132"/>
        <v>150800.83242194442</v>
      </c>
      <c r="P373" s="31">
        <f t="shared" si="133"/>
        <v>137.14652444791045</v>
      </c>
      <c r="Q373" s="31">
        <f t="shared" si="134"/>
        <v>0</v>
      </c>
      <c r="R373" s="60">
        <f t="shared" si="135"/>
        <v>163.20436409301342</v>
      </c>
      <c r="S373" s="45">
        <f>INDEX(FX!$D$3:$O$19,MATCH(B373,FX!$B$3:$B$32,0),MATCH(D373,FX!$D$2:$O$2,0))</f>
        <v>924</v>
      </c>
      <c r="T373" s="12"/>
      <c r="U373" s="12"/>
      <c r="V373" s="12"/>
      <c r="W373" s="8" t="str">
        <f>VLOOKUP(I373,Map!$F$18:$H$51,3,0)</f>
        <v>Variable</v>
      </c>
      <c r="X373" s="88"/>
      <c r="Y373" s="107" t="str">
        <f>VLOOKUP(L373,Map!$C$18:$D$29,2,0)</f>
        <v>DGT</v>
      </c>
      <c r="Z373" s="52"/>
      <c r="AA373" s="56">
        <f t="shared" si="136"/>
        <v>0</v>
      </c>
      <c r="AB373" s="56">
        <f t="shared" si="137"/>
        <v>0</v>
      </c>
      <c r="AC373" s="31">
        <f t="shared" si="138"/>
        <v>0</v>
      </c>
      <c r="AD373" s="31">
        <f t="shared" si="139"/>
        <v>0</v>
      </c>
      <c r="AE373" s="60">
        <f t="shared" si="140"/>
        <v>0</v>
      </c>
      <c r="AF373" s="8"/>
    </row>
    <row r="374" spans="2:32" s="1" customFormat="1" ht="13" hidden="1" x14ac:dyDescent="0.3">
      <c r="B374" s="12">
        <v>2026</v>
      </c>
      <c r="C374" s="12" t="s">
        <v>184</v>
      </c>
      <c r="D374" s="12" t="s">
        <v>80</v>
      </c>
      <c r="E374" s="12"/>
      <c r="F374" s="12"/>
      <c r="G374" s="83"/>
      <c r="H374" s="93"/>
      <c r="I374" s="12" t="s">
        <v>146</v>
      </c>
      <c r="J374" s="8" t="str">
        <f>IFERROR(VLOOKUP(I374,Map!$F$18:$G$56,2,0),"Add in Map")</f>
        <v>OBS</v>
      </c>
      <c r="K374" s="8" t="str">
        <f>VLOOKUP(L374,Map!$C$18:$D$29,2,0)</f>
        <v>DLT</v>
      </c>
      <c r="L374" s="12" t="s">
        <v>52</v>
      </c>
      <c r="M374" s="52">
        <v>13339.304062091504</v>
      </c>
      <c r="N374" s="56">
        <f t="shared" si="131"/>
        <v>0</v>
      </c>
      <c r="O374" s="56">
        <f t="shared" si="132"/>
        <v>15873.771833888888</v>
      </c>
      <c r="P374" s="31">
        <f t="shared" si="133"/>
        <v>14.436476257674787</v>
      </c>
      <c r="Q374" s="31">
        <f t="shared" si="134"/>
        <v>0</v>
      </c>
      <c r="R374" s="60">
        <f t="shared" si="135"/>
        <v>17.179406746632996</v>
      </c>
      <c r="S374" s="45">
        <f>INDEX(FX!$D$3:$O$19,MATCH(B374,FX!$B$3:$B$32,0),MATCH(D374,FX!$D$2:$O$2,0))</f>
        <v>924</v>
      </c>
      <c r="T374" s="12"/>
      <c r="U374" s="12"/>
      <c r="V374" s="12"/>
      <c r="W374" s="8" t="str">
        <f>VLOOKUP(I374,Map!$F$18:$H$51,3,0)</f>
        <v>Variable</v>
      </c>
      <c r="X374" s="88"/>
      <c r="Y374" s="107" t="str">
        <f>VLOOKUP(L374,Map!$C$18:$D$29,2,0)</f>
        <v>DLT</v>
      </c>
      <c r="Z374" s="52"/>
      <c r="AA374" s="56">
        <f t="shared" si="136"/>
        <v>0</v>
      </c>
      <c r="AB374" s="56">
        <f t="shared" si="137"/>
        <v>0</v>
      </c>
      <c r="AC374" s="31">
        <f t="shared" si="138"/>
        <v>0</v>
      </c>
      <c r="AD374" s="31">
        <f t="shared" si="139"/>
        <v>0</v>
      </c>
      <c r="AE374" s="60">
        <f t="shared" si="140"/>
        <v>0</v>
      </c>
      <c r="AF374" s="8"/>
    </row>
    <row r="375" spans="2:32" s="1" customFormat="1" ht="13" hidden="1" x14ac:dyDescent="0.3">
      <c r="B375" s="12">
        <v>2026</v>
      </c>
      <c r="C375" s="12" t="s">
        <v>184</v>
      </c>
      <c r="D375" s="12" t="s">
        <v>80</v>
      </c>
      <c r="E375" s="12"/>
      <c r="F375" s="12"/>
      <c r="G375" s="83"/>
      <c r="H375" s="93"/>
      <c r="I375" s="12" t="s">
        <v>146</v>
      </c>
      <c r="J375" s="8" t="str">
        <f>IFERROR(VLOOKUP(I375,Map!$F$18:$G$56,2,0),"Add in Map")</f>
        <v>OBS</v>
      </c>
      <c r="K375" s="8" t="str">
        <f>VLOOKUP(L375,Map!$C$18:$D$29,2,0)</f>
        <v>DMT</v>
      </c>
      <c r="L375" s="12" t="s">
        <v>54</v>
      </c>
      <c r="M375" s="52">
        <v>0</v>
      </c>
      <c r="N375" s="56">
        <f t="shared" si="131"/>
        <v>0</v>
      </c>
      <c r="O375" s="56">
        <f t="shared" si="132"/>
        <v>0</v>
      </c>
      <c r="P375" s="48">
        <f t="shared" si="133"/>
        <v>0</v>
      </c>
      <c r="Q375" s="31">
        <f t="shared" si="134"/>
        <v>0</v>
      </c>
      <c r="R375" s="60">
        <f t="shared" si="135"/>
        <v>0</v>
      </c>
      <c r="S375" s="45">
        <f>INDEX(FX!$D$3:$O$19,MATCH(B375,FX!$B$3:$B$32,0),MATCH(D375,FX!$D$2:$O$2,0))</f>
        <v>924</v>
      </c>
      <c r="T375" s="12"/>
      <c r="U375" s="12"/>
      <c r="V375" s="12"/>
      <c r="W375" s="8" t="str">
        <f>VLOOKUP(I375,Map!$F$18:$H$51,3,0)</f>
        <v>Variable</v>
      </c>
      <c r="X375" s="88"/>
      <c r="Y375" s="107" t="str">
        <f>VLOOKUP(L375,Map!$C$18:$D$29,2,0)</f>
        <v>DMT</v>
      </c>
      <c r="Z375" s="52"/>
      <c r="AA375" s="56">
        <f t="shared" si="136"/>
        <v>0</v>
      </c>
      <c r="AB375" s="56">
        <f t="shared" si="137"/>
        <v>0</v>
      </c>
      <c r="AC375" s="48">
        <f t="shared" si="138"/>
        <v>0</v>
      </c>
      <c r="AD375" s="31">
        <f t="shared" si="139"/>
        <v>0</v>
      </c>
      <c r="AE375" s="60">
        <f t="shared" si="140"/>
        <v>0</v>
      </c>
      <c r="AF375" s="8"/>
    </row>
    <row r="376" spans="2:32" s="37" customFormat="1" hidden="1" x14ac:dyDescent="0.35">
      <c r="B376" s="13">
        <v>2026</v>
      </c>
      <c r="C376" s="13" t="s">
        <v>184</v>
      </c>
      <c r="D376" s="13" t="s">
        <v>80</v>
      </c>
      <c r="E376" s="13"/>
      <c r="F376" s="13"/>
      <c r="G376" s="85"/>
      <c r="H376" s="94"/>
      <c r="I376" s="13" t="s">
        <v>146</v>
      </c>
      <c r="J376" s="29" t="str">
        <f>IFERROR(VLOOKUP(I376,Map!$F$18:$G$56,2,0),"Add in Map")</f>
        <v>OBS</v>
      </c>
      <c r="K376" s="29" t="str">
        <f>VLOOKUP(L376,Map!$C$18:$D$29,2,0)</f>
        <v>TOTAL</v>
      </c>
      <c r="L376" s="13" t="s">
        <v>56</v>
      </c>
      <c r="M376" s="57">
        <f>SUM(M365:M375)</f>
        <v>6122740.5645000003</v>
      </c>
      <c r="N376" s="57">
        <f t="shared" si="131"/>
        <v>1163320.707255</v>
      </c>
      <c r="O376" s="57">
        <f t="shared" si="132"/>
        <v>7286061.2717549996</v>
      </c>
      <c r="P376" s="11">
        <f t="shared" si="133"/>
        <v>6626.3426022727281</v>
      </c>
      <c r="Q376" s="11">
        <f t="shared" si="134"/>
        <v>1259.0050944318184</v>
      </c>
      <c r="R376" s="61">
        <f t="shared" si="135"/>
        <v>7885.3476967045463</v>
      </c>
      <c r="S376" s="46">
        <f>INDEX(FX!$D$3:$O$19,MATCH(B376,FX!$B$3:$B$32,0),MATCH(D376,FX!$D$2:$O$2,0))</f>
        <v>924</v>
      </c>
      <c r="T376" s="13"/>
      <c r="U376" s="13"/>
      <c r="V376" s="13"/>
      <c r="W376" s="29" t="str">
        <f>VLOOKUP(I376,Map!$F$18:$H$51,3,0)</f>
        <v>Variable</v>
      </c>
      <c r="X376" s="90"/>
      <c r="Y376" s="109" t="str">
        <f>VLOOKUP(L376,Map!$C$18:$D$29,2,0)</f>
        <v>TOTAL</v>
      </c>
      <c r="Z376" s="53"/>
      <c r="AA376" s="57">
        <f t="shared" si="136"/>
        <v>0</v>
      </c>
      <c r="AB376" s="57">
        <f t="shared" si="137"/>
        <v>0</v>
      </c>
      <c r="AC376" s="11">
        <f t="shared" si="138"/>
        <v>0</v>
      </c>
      <c r="AD376" s="11">
        <f t="shared" si="139"/>
        <v>0</v>
      </c>
      <c r="AE376" s="61">
        <f t="shared" si="140"/>
        <v>0</v>
      </c>
      <c r="AF376" s="87"/>
    </row>
    <row r="377" spans="2:32" s="5" customFormat="1" ht="13" hidden="1" x14ac:dyDescent="0.3">
      <c r="B377" s="114">
        <v>2026</v>
      </c>
      <c r="C377" s="114"/>
      <c r="D377" s="114"/>
      <c r="E377" s="114"/>
      <c r="F377" s="114"/>
      <c r="G377" s="115"/>
      <c r="H377" s="116"/>
      <c r="I377" s="114"/>
      <c r="J377" s="117" t="str">
        <f>IFERROR(VLOOKUP(I377,Map!$F$18:$G$56,2,0),"Add in Map")</f>
        <v>Add in Map</v>
      </c>
      <c r="K377" s="117" t="str">
        <f>VLOOKUP(L377,Map!$C$18:$D$29,2,0)</f>
        <v>CNT</v>
      </c>
      <c r="L377" s="114" t="s">
        <v>31</v>
      </c>
      <c r="M377" s="118"/>
      <c r="N377" s="119">
        <f t="shared" si="131"/>
        <v>0</v>
      </c>
      <c r="O377" s="119">
        <f t="shared" si="132"/>
        <v>0</v>
      </c>
      <c r="P377" s="120" t="e">
        <f t="shared" si="133"/>
        <v>#N/A</v>
      </c>
      <c r="Q377" s="120">
        <f t="shared" si="134"/>
        <v>0</v>
      </c>
      <c r="R377" s="121" t="e">
        <f t="shared" si="135"/>
        <v>#N/A</v>
      </c>
      <c r="S377" s="122" t="e">
        <f>INDEX(FX!$D$3:$O$19,MATCH(B377,FX!$B$3:$B$32,0),MATCH(D377,FX!$D$2:$O$2,0))</f>
        <v>#N/A</v>
      </c>
      <c r="T377" s="114"/>
      <c r="U377" s="114"/>
      <c r="V377" s="114"/>
      <c r="W377" s="117" t="e">
        <f>VLOOKUP(I377,Map!$F$18:$H$51,3,0)</f>
        <v>#N/A</v>
      </c>
      <c r="X377" s="123"/>
      <c r="Y377" s="124" t="str">
        <f>VLOOKUP(L377,Map!$C$18:$D$29,2,0)</f>
        <v>CNT</v>
      </c>
      <c r="Z377" s="118"/>
      <c r="AA377" s="119">
        <f t="shared" si="136"/>
        <v>0</v>
      </c>
      <c r="AB377" s="119">
        <f t="shared" si="137"/>
        <v>0</v>
      </c>
      <c r="AC377" s="120" t="e">
        <f t="shared" si="138"/>
        <v>#N/A</v>
      </c>
      <c r="AD377" s="120">
        <f t="shared" si="139"/>
        <v>0</v>
      </c>
      <c r="AE377" s="121" t="e">
        <f t="shared" si="140"/>
        <v>#N/A</v>
      </c>
      <c r="AF377" s="117"/>
    </row>
    <row r="378" spans="2:32" s="1" customFormat="1" ht="13" hidden="1" x14ac:dyDescent="0.3">
      <c r="B378" s="12">
        <v>2026</v>
      </c>
      <c r="C378" s="12"/>
      <c r="D378" s="12"/>
      <c r="E378" s="12"/>
      <c r="F378" s="12"/>
      <c r="G378" s="83"/>
      <c r="H378" s="93"/>
      <c r="I378" s="12"/>
      <c r="J378" s="8" t="str">
        <f>IFERROR(VLOOKUP(I378,Map!$F$18:$G$56,2,0),"Add in Map")</f>
        <v>Add in Map</v>
      </c>
      <c r="K378" s="8" t="str">
        <f>VLOOKUP(L378,Map!$C$18:$D$29,2,0)</f>
        <v>CVT</v>
      </c>
      <c r="L378" s="12" t="s">
        <v>36</v>
      </c>
      <c r="M378" s="52"/>
      <c r="N378" s="56">
        <f t="shared" si="131"/>
        <v>0</v>
      </c>
      <c r="O378" s="56">
        <f t="shared" si="132"/>
        <v>0</v>
      </c>
      <c r="P378" s="31" t="e">
        <f t="shared" si="133"/>
        <v>#N/A</v>
      </c>
      <c r="Q378" s="31">
        <f t="shared" si="134"/>
        <v>0</v>
      </c>
      <c r="R378" s="60" t="e">
        <f t="shared" si="135"/>
        <v>#N/A</v>
      </c>
      <c r="S378" s="45" t="e">
        <f>INDEX(FX!$D$3:$O$19,MATCH(B378,FX!$B$3:$B$32,0),MATCH(D378,FX!$D$2:$O$2,0))</f>
        <v>#N/A</v>
      </c>
      <c r="T378" s="12"/>
      <c r="U378" s="12"/>
      <c r="V378" s="12"/>
      <c r="W378" s="8" t="e">
        <f>VLOOKUP(I378,Map!$F$18:$H$51,3,0)</f>
        <v>#N/A</v>
      </c>
      <c r="X378" s="88"/>
      <c r="Y378" s="107" t="str">
        <f>VLOOKUP(L378,Map!$C$18:$D$29,2,0)</f>
        <v>CVT</v>
      </c>
      <c r="Z378" s="52"/>
      <c r="AA378" s="56">
        <f t="shared" si="136"/>
        <v>0</v>
      </c>
      <c r="AB378" s="56">
        <f t="shared" si="137"/>
        <v>0</v>
      </c>
      <c r="AC378" s="31" t="e">
        <f t="shared" si="138"/>
        <v>#N/A</v>
      </c>
      <c r="AD378" s="31">
        <f t="shared" si="139"/>
        <v>0</v>
      </c>
      <c r="AE378" s="60" t="e">
        <f t="shared" si="140"/>
        <v>#N/A</v>
      </c>
      <c r="AF378" s="8"/>
    </row>
    <row r="379" spans="2:32" s="1" customFormat="1" ht="13" hidden="1" x14ac:dyDescent="0.3">
      <c r="B379" s="12">
        <v>2026</v>
      </c>
      <c r="C379" s="12"/>
      <c r="D379" s="12"/>
      <c r="E379" s="12"/>
      <c r="F379" s="12"/>
      <c r="G379" s="83"/>
      <c r="H379" s="93"/>
      <c r="I379" s="12"/>
      <c r="J379" s="8" t="str">
        <f>IFERROR(VLOOKUP(I379,Map!$F$18:$G$56,2,0),"Add in Map")</f>
        <v>Add in Map</v>
      </c>
      <c r="K379" s="8" t="str">
        <f>VLOOKUP(L379,Map!$C$18:$D$29,2,0)</f>
        <v>CDT</v>
      </c>
      <c r="L379" s="12" t="s">
        <v>38</v>
      </c>
      <c r="M379" s="52"/>
      <c r="N379" s="56">
        <f t="shared" si="131"/>
        <v>0</v>
      </c>
      <c r="O379" s="56">
        <f t="shared" si="132"/>
        <v>0</v>
      </c>
      <c r="P379" s="31" t="e">
        <f t="shared" si="133"/>
        <v>#N/A</v>
      </c>
      <c r="Q379" s="31">
        <f t="shared" si="134"/>
        <v>0</v>
      </c>
      <c r="R379" s="60" t="e">
        <f t="shared" si="135"/>
        <v>#N/A</v>
      </c>
      <c r="S379" s="45" t="e">
        <f>INDEX(FX!$D$3:$O$19,MATCH(B379,FX!$B$3:$B$32,0),MATCH(D379,FX!$D$2:$O$2,0))</f>
        <v>#N/A</v>
      </c>
      <c r="T379" s="12"/>
      <c r="U379" s="12"/>
      <c r="V379" s="12"/>
      <c r="W379" s="8" t="e">
        <f>VLOOKUP(I379,Map!$F$18:$H$51,3,0)</f>
        <v>#N/A</v>
      </c>
      <c r="X379" s="88"/>
      <c r="Y379" s="107" t="str">
        <f>VLOOKUP(L379,Map!$C$18:$D$29,2,0)</f>
        <v>CDT</v>
      </c>
      <c r="Z379" s="52"/>
      <c r="AA379" s="56">
        <f t="shared" si="136"/>
        <v>0</v>
      </c>
      <c r="AB379" s="56">
        <f t="shared" si="137"/>
        <v>0</v>
      </c>
      <c r="AC379" s="31" t="e">
        <f t="shared" si="138"/>
        <v>#N/A</v>
      </c>
      <c r="AD379" s="31">
        <f t="shared" si="139"/>
        <v>0</v>
      </c>
      <c r="AE379" s="60" t="e">
        <f t="shared" si="140"/>
        <v>#N/A</v>
      </c>
      <c r="AF379" s="8"/>
    </row>
    <row r="380" spans="2:32" s="1" customFormat="1" ht="13" hidden="1" x14ac:dyDescent="0.3">
      <c r="B380" s="12">
        <v>2026</v>
      </c>
      <c r="C380" s="12"/>
      <c r="D380" s="12"/>
      <c r="E380" s="12"/>
      <c r="F380" s="12"/>
      <c r="G380" s="83"/>
      <c r="H380" s="93"/>
      <c r="I380" s="12"/>
      <c r="J380" s="8" t="str">
        <f>IFERROR(VLOOKUP(I380,Map!$F$18:$G$56,2,0),"Add in Map")</f>
        <v>Add in Map</v>
      </c>
      <c r="K380" s="8" t="str">
        <f>VLOOKUP(L380,Map!$C$18:$D$29,2,0)</f>
        <v>DFT</v>
      </c>
      <c r="L380" s="12" t="s">
        <v>40</v>
      </c>
      <c r="M380" s="52"/>
      <c r="N380" s="56">
        <f t="shared" si="131"/>
        <v>0</v>
      </c>
      <c r="O380" s="56">
        <f t="shared" si="132"/>
        <v>0</v>
      </c>
      <c r="P380" s="31" t="e">
        <f t="shared" si="133"/>
        <v>#N/A</v>
      </c>
      <c r="Q380" s="31">
        <f t="shared" si="134"/>
        <v>0</v>
      </c>
      <c r="R380" s="60" t="e">
        <f t="shared" si="135"/>
        <v>#N/A</v>
      </c>
      <c r="S380" s="45" t="e">
        <f>INDEX(FX!$D$3:$O$19,MATCH(B380,FX!$B$3:$B$32,0),MATCH(D380,FX!$D$2:$O$2,0))</f>
        <v>#N/A</v>
      </c>
      <c r="T380" s="12"/>
      <c r="U380" s="12"/>
      <c r="V380" s="12"/>
      <c r="W380" s="8" t="e">
        <f>VLOOKUP(I380,Map!$F$18:$H$51,3,0)</f>
        <v>#N/A</v>
      </c>
      <c r="X380" s="88"/>
      <c r="Y380" s="107" t="str">
        <f>VLOOKUP(L380,Map!$C$18:$D$29,2,0)</f>
        <v>DFT</v>
      </c>
      <c r="Z380" s="52"/>
      <c r="AA380" s="56">
        <f t="shared" si="136"/>
        <v>0</v>
      </c>
      <c r="AB380" s="56">
        <f t="shared" si="137"/>
        <v>0</v>
      </c>
      <c r="AC380" s="31" t="e">
        <f t="shared" si="138"/>
        <v>#N/A</v>
      </c>
      <c r="AD380" s="31">
        <f t="shared" si="139"/>
        <v>0</v>
      </c>
      <c r="AE380" s="60" t="e">
        <f t="shared" si="140"/>
        <v>#N/A</v>
      </c>
      <c r="AF380" s="8"/>
    </row>
    <row r="381" spans="2:32" s="1" customFormat="1" ht="13" hidden="1" x14ac:dyDescent="0.3">
      <c r="B381" s="12">
        <v>2026</v>
      </c>
      <c r="C381" s="12"/>
      <c r="D381" s="12"/>
      <c r="E381" s="12"/>
      <c r="F381" s="12"/>
      <c r="G381" s="83"/>
      <c r="H381" s="93"/>
      <c r="I381" s="12"/>
      <c r="J381" s="8" t="str">
        <f>IFERROR(VLOOKUP(I381,Map!$F$18:$G$56,2,0),"Add in Map")</f>
        <v>Add in Map</v>
      </c>
      <c r="K381" s="8" t="str">
        <f>VLOOKUP(L381,Map!$C$18:$D$29,2,0)</f>
        <v>DVT</v>
      </c>
      <c r="L381" s="12" t="s">
        <v>42</v>
      </c>
      <c r="M381" s="52"/>
      <c r="N381" s="56">
        <f t="shared" si="131"/>
        <v>0</v>
      </c>
      <c r="O381" s="56">
        <f t="shared" si="132"/>
        <v>0</v>
      </c>
      <c r="P381" s="31" t="e">
        <f t="shared" si="133"/>
        <v>#N/A</v>
      </c>
      <c r="Q381" s="31">
        <f t="shared" si="134"/>
        <v>0</v>
      </c>
      <c r="R381" s="60" t="e">
        <f t="shared" si="135"/>
        <v>#N/A</v>
      </c>
      <c r="S381" s="45" t="e">
        <f>INDEX(FX!$D$3:$O$19,MATCH(B381,FX!$B$3:$B$32,0),MATCH(D381,FX!$D$2:$O$2,0))</f>
        <v>#N/A</v>
      </c>
      <c r="T381" s="12"/>
      <c r="U381" s="12"/>
      <c r="V381" s="12"/>
      <c r="W381" s="8" t="e">
        <f>VLOOKUP(I381,Map!$F$18:$H$51,3,0)</f>
        <v>#N/A</v>
      </c>
      <c r="X381" s="88"/>
      <c r="Y381" s="107" t="str">
        <f>VLOOKUP(L381,Map!$C$18:$D$29,2,0)</f>
        <v>DVT</v>
      </c>
      <c r="Z381" s="52"/>
      <c r="AA381" s="56">
        <f t="shared" si="136"/>
        <v>0</v>
      </c>
      <c r="AB381" s="56">
        <f t="shared" si="137"/>
        <v>0</v>
      </c>
      <c r="AC381" s="31" t="e">
        <f t="shared" si="138"/>
        <v>#N/A</v>
      </c>
      <c r="AD381" s="31">
        <f t="shared" si="139"/>
        <v>0</v>
      </c>
      <c r="AE381" s="60" t="e">
        <f t="shared" si="140"/>
        <v>#N/A</v>
      </c>
      <c r="AF381" s="8"/>
    </row>
    <row r="382" spans="2:32" s="1" customFormat="1" ht="13" hidden="1" x14ac:dyDescent="0.3">
      <c r="B382" s="12">
        <v>2026</v>
      </c>
      <c r="C382" s="12"/>
      <c r="D382" s="12"/>
      <c r="E382" s="12"/>
      <c r="F382" s="12"/>
      <c r="G382" s="83"/>
      <c r="H382" s="93"/>
      <c r="I382" s="12"/>
      <c r="J382" s="8" t="str">
        <f>IFERROR(VLOOKUP(I382,Map!$F$18:$G$56,2,0),"Add in Map")</f>
        <v>Add in Map</v>
      </c>
      <c r="K382" s="8" t="str">
        <f>VLOOKUP(L382,Map!$C$18:$D$29,2,0)</f>
        <v>GLT</v>
      </c>
      <c r="L382" s="12" t="s">
        <v>44</v>
      </c>
      <c r="M382" s="52"/>
      <c r="N382" s="56">
        <f t="shared" si="131"/>
        <v>0</v>
      </c>
      <c r="O382" s="56">
        <f t="shared" si="132"/>
        <v>0</v>
      </c>
      <c r="P382" s="31" t="e">
        <f t="shared" si="133"/>
        <v>#N/A</v>
      </c>
      <c r="Q382" s="31">
        <f t="shared" si="134"/>
        <v>0</v>
      </c>
      <c r="R382" s="60" t="e">
        <f t="shared" si="135"/>
        <v>#N/A</v>
      </c>
      <c r="S382" s="45" t="e">
        <f>INDEX(FX!$D$3:$O$19,MATCH(B382,FX!$B$3:$B$32,0),MATCH(D382,FX!$D$2:$O$2,0))</f>
        <v>#N/A</v>
      </c>
      <c r="T382" s="12"/>
      <c r="U382" s="12"/>
      <c r="V382" s="12"/>
      <c r="W382" s="8" t="e">
        <f>VLOOKUP(I382,Map!$F$18:$H$51,3,0)</f>
        <v>#N/A</v>
      </c>
      <c r="X382" s="88"/>
      <c r="Y382" s="107" t="str">
        <f>VLOOKUP(L382,Map!$C$18:$D$29,2,0)</f>
        <v>GLT</v>
      </c>
      <c r="Z382" s="52"/>
      <c r="AA382" s="56">
        <f t="shared" si="136"/>
        <v>0</v>
      </c>
      <c r="AB382" s="56">
        <f t="shared" si="137"/>
        <v>0</v>
      </c>
      <c r="AC382" s="31" t="e">
        <f t="shared" si="138"/>
        <v>#N/A</v>
      </c>
      <c r="AD382" s="31">
        <f t="shared" si="139"/>
        <v>0</v>
      </c>
      <c r="AE382" s="60" t="e">
        <f t="shared" si="140"/>
        <v>#N/A</v>
      </c>
      <c r="AF382" s="8"/>
    </row>
    <row r="383" spans="2:32" s="1" customFormat="1" ht="13" hidden="1" x14ac:dyDescent="0.3">
      <c r="B383" s="12">
        <v>2026</v>
      </c>
      <c r="C383" s="12"/>
      <c r="D383" s="12"/>
      <c r="E383" s="12"/>
      <c r="F383" s="12"/>
      <c r="G383" s="83"/>
      <c r="H383" s="93"/>
      <c r="I383" s="12"/>
      <c r="J383" s="8" t="str">
        <f>IFERROR(VLOOKUP(I383,Map!$F$18:$G$56,2,0),"Add in Map")</f>
        <v>Add in Map</v>
      </c>
      <c r="K383" s="8" t="str">
        <f>VLOOKUP(L383,Map!$C$18:$D$29,2,0)</f>
        <v>PNT</v>
      </c>
      <c r="L383" s="12" t="s">
        <v>46</v>
      </c>
      <c r="M383" s="52"/>
      <c r="N383" s="56">
        <f t="shared" si="131"/>
        <v>0</v>
      </c>
      <c r="O383" s="56">
        <f t="shared" si="132"/>
        <v>0</v>
      </c>
      <c r="P383" s="31" t="e">
        <f t="shared" si="133"/>
        <v>#N/A</v>
      </c>
      <c r="Q383" s="31">
        <f t="shared" si="134"/>
        <v>0</v>
      </c>
      <c r="R383" s="60" t="e">
        <f t="shared" si="135"/>
        <v>#N/A</v>
      </c>
      <c r="S383" s="45" t="e">
        <f>INDEX(FX!$D$3:$O$19,MATCH(B383,FX!$B$3:$B$32,0),MATCH(D383,FX!$D$2:$O$2,0))</f>
        <v>#N/A</v>
      </c>
      <c r="T383" s="12"/>
      <c r="U383" s="12"/>
      <c r="V383" s="12"/>
      <c r="W383" s="8" t="e">
        <f>VLOOKUP(I383,Map!$F$18:$H$51,3,0)</f>
        <v>#N/A</v>
      </c>
      <c r="X383" s="88"/>
      <c r="Y383" s="107" t="str">
        <f>VLOOKUP(L383,Map!$C$18:$D$29,2,0)</f>
        <v>PNT</v>
      </c>
      <c r="Z383" s="52"/>
      <c r="AA383" s="56">
        <f t="shared" si="136"/>
        <v>0</v>
      </c>
      <c r="AB383" s="56">
        <f t="shared" si="137"/>
        <v>0</v>
      </c>
      <c r="AC383" s="31" t="e">
        <f t="shared" si="138"/>
        <v>#N/A</v>
      </c>
      <c r="AD383" s="31">
        <f t="shared" si="139"/>
        <v>0</v>
      </c>
      <c r="AE383" s="60" t="e">
        <f t="shared" si="140"/>
        <v>#N/A</v>
      </c>
      <c r="AF383" s="8"/>
    </row>
    <row r="384" spans="2:32" s="1" customFormat="1" ht="13" hidden="1" x14ac:dyDescent="0.3">
      <c r="B384" s="12">
        <v>2026</v>
      </c>
      <c r="C384" s="12"/>
      <c r="D384" s="12"/>
      <c r="E384" s="12"/>
      <c r="F384" s="12"/>
      <c r="G384" s="83"/>
      <c r="H384" s="93"/>
      <c r="I384" s="12"/>
      <c r="J384" s="8" t="str">
        <f>IFERROR(VLOOKUP(I384,Map!$F$18:$G$56,2,0),"Add in Map")</f>
        <v>Add in Map</v>
      </c>
      <c r="K384" s="8" t="str">
        <f>VLOOKUP(L384,Map!$C$18:$D$29,2,0)</f>
        <v>GTT</v>
      </c>
      <c r="L384" s="12" t="s">
        <v>48</v>
      </c>
      <c r="M384" s="52"/>
      <c r="N384" s="56">
        <f t="shared" si="131"/>
        <v>0</v>
      </c>
      <c r="O384" s="56">
        <f t="shared" si="132"/>
        <v>0</v>
      </c>
      <c r="P384" s="31" t="e">
        <f t="shared" si="133"/>
        <v>#N/A</v>
      </c>
      <c r="Q384" s="31">
        <f t="shared" si="134"/>
        <v>0</v>
      </c>
      <c r="R384" s="60" t="e">
        <f t="shared" si="135"/>
        <v>#N/A</v>
      </c>
      <c r="S384" s="45" t="e">
        <f>INDEX(FX!$D$3:$O$19,MATCH(B384,FX!$B$3:$B$32,0),MATCH(D384,FX!$D$2:$O$2,0))</f>
        <v>#N/A</v>
      </c>
      <c r="T384" s="12"/>
      <c r="U384" s="12"/>
      <c r="V384" s="12"/>
      <c r="W384" s="8" t="e">
        <f>VLOOKUP(I384,Map!$F$18:$H$51,3,0)</f>
        <v>#N/A</v>
      </c>
      <c r="X384" s="88"/>
      <c r="Y384" s="107" t="str">
        <f>VLOOKUP(L384,Map!$C$18:$D$29,2,0)</f>
        <v>GTT</v>
      </c>
      <c r="Z384" s="52"/>
      <c r="AA384" s="56">
        <f t="shared" si="136"/>
        <v>0</v>
      </c>
      <c r="AB384" s="56">
        <f t="shared" si="137"/>
        <v>0</v>
      </c>
      <c r="AC384" s="31" t="e">
        <f t="shared" si="138"/>
        <v>#N/A</v>
      </c>
      <c r="AD384" s="31">
        <f t="shared" si="139"/>
        <v>0</v>
      </c>
      <c r="AE384" s="60" t="e">
        <f t="shared" si="140"/>
        <v>#N/A</v>
      </c>
      <c r="AF384" s="8"/>
    </row>
    <row r="385" spans="2:32" s="1" customFormat="1" ht="13" hidden="1" x14ac:dyDescent="0.3">
      <c r="B385" s="12">
        <v>2026</v>
      </c>
      <c r="C385" s="12"/>
      <c r="D385" s="12"/>
      <c r="E385" s="12"/>
      <c r="F385" s="12"/>
      <c r="G385" s="83"/>
      <c r="H385" s="93"/>
      <c r="I385" s="12"/>
      <c r="J385" s="8" t="str">
        <f>IFERROR(VLOOKUP(I385,Map!$F$18:$G$56,2,0),"Add in Map")</f>
        <v>Add in Map</v>
      </c>
      <c r="K385" s="8" t="str">
        <f>VLOOKUP(L385,Map!$C$18:$D$29,2,0)</f>
        <v>DGT</v>
      </c>
      <c r="L385" s="12" t="s">
        <v>50</v>
      </c>
      <c r="M385" s="52"/>
      <c r="N385" s="56">
        <f t="shared" si="131"/>
        <v>0</v>
      </c>
      <c r="O385" s="56">
        <f t="shared" si="132"/>
        <v>0</v>
      </c>
      <c r="P385" s="31" t="e">
        <f t="shared" si="133"/>
        <v>#N/A</v>
      </c>
      <c r="Q385" s="31">
        <f t="shared" si="134"/>
        <v>0</v>
      </c>
      <c r="R385" s="60" t="e">
        <f t="shared" si="135"/>
        <v>#N/A</v>
      </c>
      <c r="S385" s="45" t="e">
        <f>INDEX(FX!$D$3:$O$19,MATCH(B385,FX!$B$3:$B$32,0),MATCH(D385,FX!$D$2:$O$2,0))</f>
        <v>#N/A</v>
      </c>
      <c r="T385" s="12"/>
      <c r="U385" s="12"/>
      <c r="V385" s="12"/>
      <c r="W385" s="8" t="e">
        <f>VLOOKUP(I385,Map!$F$18:$H$51,3,0)</f>
        <v>#N/A</v>
      </c>
      <c r="X385" s="88"/>
      <c r="Y385" s="107" t="str">
        <f>VLOOKUP(L385,Map!$C$18:$D$29,2,0)</f>
        <v>DGT</v>
      </c>
      <c r="Z385" s="52"/>
      <c r="AA385" s="56">
        <f t="shared" si="136"/>
        <v>0</v>
      </c>
      <c r="AB385" s="56">
        <f t="shared" si="137"/>
        <v>0</v>
      </c>
      <c r="AC385" s="31" t="e">
        <f t="shared" si="138"/>
        <v>#N/A</v>
      </c>
      <c r="AD385" s="31">
        <f t="shared" si="139"/>
        <v>0</v>
      </c>
      <c r="AE385" s="60" t="e">
        <f t="shared" si="140"/>
        <v>#N/A</v>
      </c>
      <c r="AF385" s="8"/>
    </row>
    <row r="386" spans="2:32" s="1" customFormat="1" ht="13" hidden="1" x14ac:dyDescent="0.3">
      <c r="B386" s="12">
        <v>2026</v>
      </c>
      <c r="C386" s="12"/>
      <c r="D386" s="12"/>
      <c r="E386" s="12"/>
      <c r="F386" s="12"/>
      <c r="G386" s="83"/>
      <c r="H386" s="93"/>
      <c r="I386" s="12"/>
      <c r="J386" s="8" t="str">
        <f>IFERROR(VLOOKUP(I386,Map!$F$18:$G$56,2,0),"Add in Map")</f>
        <v>Add in Map</v>
      </c>
      <c r="K386" s="8" t="str">
        <f>VLOOKUP(L386,Map!$C$18:$D$29,2,0)</f>
        <v>DLT</v>
      </c>
      <c r="L386" s="12" t="s">
        <v>52</v>
      </c>
      <c r="M386" s="52"/>
      <c r="N386" s="56">
        <f t="shared" si="131"/>
        <v>0</v>
      </c>
      <c r="O386" s="56">
        <f t="shared" si="132"/>
        <v>0</v>
      </c>
      <c r="P386" s="31" t="e">
        <f t="shared" si="133"/>
        <v>#N/A</v>
      </c>
      <c r="Q386" s="31">
        <f t="shared" si="134"/>
        <v>0</v>
      </c>
      <c r="R386" s="60" t="e">
        <f t="shared" si="135"/>
        <v>#N/A</v>
      </c>
      <c r="S386" s="45" t="e">
        <f>INDEX(FX!$D$3:$O$19,MATCH(B386,FX!$B$3:$B$32,0),MATCH(D386,FX!$D$2:$O$2,0))</f>
        <v>#N/A</v>
      </c>
      <c r="T386" s="12"/>
      <c r="U386" s="12"/>
      <c r="V386" s="12"/>
      <c r="W386" s="8" t="e">
        <f>VLOOKUP(I386,Map!$F$18:$H$51,3,0)</f>
        <v>#N/A</v>
      </c>
      <c r="X386" s="88"/>
      <c r="Y386" s="107" t="str">
        <f>VLOOKUP(L386,Map!$C$18:$D$29,2,0)</f>
        <v>DLT</v>
      </c>
      <c r="Z386" s="52"/>
      <c r="AA386" s="56">
        <f t="shared" si="136"/>
        <v>0</v>
      </c>
      <c r="AB386" s="56">
        <f t="shared" si="137"/>
        <v>0</v>
      </c>
      <c r="AC386" s="31" t="e">
        <f t="shared" si="138"/>
        <v>#N/A</v>
      </c>
      <c r="AD386" s="31">
        <f t="shared" si="139"/>
        <v>0</v>
      </c>
      <c r="AE386" s="60" t="e">
        <f t="shared" si="140"/>
        <v>#N/A</v>
      </c>
      <c r="AF386" s="8"/>
    </row>
    <row r="387" spans="2:32" s="1" customFormat="1" ht="13" hidden="1" x14ac:dyDescent="0.3">
      <c r="B387" s="12">
        <v>2026</v>
      </c>
      <c r="C387" s="12"/>
      <c r="D387" s="12"/>
      <c r="E387" s="12"/>
      <c r="F387" s="12"/>
      <c r="G387" s="83"/>
      <c r="H387" s="93"/>
      <c r="I387" s="12"/>
      <c r="J387" s="8" t="str">
        <f>IFERROR(VLOOKUP(I387,Map!$F$18:$G$56,2,0),"Add in Map")</f>
        <v>Add in Map</v>
      </c>
      <c r="K387" s="8" t="str">
        <f>VLOOKUP(L387,Map!$C$18:$D$29,2,0)</f>
        <v>DMT</v>
      </c>
      <c r="L387" s="12" t="s">
        <v>54</v>
      </c>
      <c r="M387" s="52"/>
      <c r="N387" s="56">
        <f t="shared" si="131"/>
        <v>0</v>
      </c>
      <c r="O387" s="56">
        <f t="shared" si="132"/>
        <v>0</v>
      </c>
      <c r="P387" s="48" t="e">
        <f t="shared" si="133"/>
        <v>#N/A</v>
      </c>
      <c r="Q387" s="31">
        <f t="shared" si="134"/>
        <v>0</v>
      </c>
      <c r="R387" s="60" t="e">
        <f t="shared" si="135"/>
        <v>#N/A</v>
      </c>
      <c r="S387" s="45" t="e">
        <f>INDEX(FX!$D$3:$O$19,MATCH(B387,FX!$B$3:$B$32,0),MATCH(D387,FX!$D$2:$O$2,0))</f>
        <v>#N/A</v>
      </c>
      <c r="T387" s="12"/>
      <c r="U387" s="12"/>
      <c r="V387" s="12"/>
      <c r="W387" s="8" t="e">
        <f>VLOOKUP(I387,Map!$F$18:$H$51,3,0)</f>
        <v>#N/A</v>
      </c>
      <c r="X387" s="88"/>
      <c r="Y387" s="107" t="str">
        <f>VLOOKUP(L387,Map!$C$18:$D$29,2,0)</f>
        <v>DMT</v>
      </c>
      <c r="Z387" s="52"/>
      <c r="AA387" s="56">
        <f t="shared" si="136"/>
        <v>0</v>
      </c>
      <c r="AB387" s="56">
        <f t="shared" si="137"/>
        <v>0</v>
      </c>
      <c r="AC387" s="48" t="e">
        <f t="shared" si="138"/>
        <v>#N/A</v>
      </c>
      <c r="AD387" s="31">
        <f t="shared" si="139"/>
        <v>0</v>
      </c>
      <c r="AE387" s="60" t="e">
        <f t="shared" si="140"/>
        <v>#N/A</v>
      </c>
      <c r="AF387" s="8"/>
    </row>
    <row r="388" spans="2:32" s="37" customFormat="1" hidden="1" x14ac:dyDescent="0.35">
      <c r="B388" s="13">
        <v>2026</v>
      </c>
      <c r="C388" s="13"/>
      <c r="D388" s="13"/>
      <c r="E388" s="13"/>
      <c r="F388" s="13"/>
      <c r="G388" s="85"/>
      <c r="H388" s="94"/>
      <c r="I388" s="13"/>
      <c r="J388" s="29" t="str">
        <f>IFERROR(VLOOKUP(I388,Map!$F$18:$G$56,2,0),"Add in Map")</f>
        <v>Add in Map</v>
      </c>
      <c r="K388" s="29" t="str">
        <f>VLOOKUP(L388,Map!$C$18:$D$29,2,0)</f>
        <v>TOTAL</v>
      </c>
      <c r="L388" s="13" t="s">
        <v>56</v>
      </c>
      <c r="M388" s="57">
        <f>SUM(M377:M387)</f>
        <v>0</v>
      </c>
      <c r="N388" s="57">
        <f t="shared" si="131"/>
        <v>0</v>
      </c>
      <c r="O388" s="57">
        <f t="shared" si="132"/>
        <v>0</v>
      </c>
      <c r="P388" s="11" t="e">
        <f t="shared" si="133"/>
        <v>#N/A</v>
      </c>
      <c r="Q388" s="11" t="e">
        <f t="shared" si="134"/>
        <v>#N/A</v>
      </c>
      <c r="R388" s="61" t="e">
        <f t="shared" si="135"/>
        <v>#N/A</v>
      </c>
      <c r="S388" s="46" t="e">
        <f>INDEX(FX!$D$3:$O$19,MATCH(B388,FX!$B$3:$B$32,0),MATCH(D388,FX!$D$2:$O$2,0))</f>
        <v>#N/A</v>
      </c>
      <c r="T388" s="13"/>
      <c r="U388" s="13"/>
      <c r="V388" s="13"/>
      <c r="W388" s="29" t="e">
        <f>VLOOKUP(I388,Map!$F$18:$H$51,3,0)</f>
        <v>#N/A</v>
      </c>
      <c r="X388" s="90"/>
      <c r="Y388" s="109" t="str">
        <f>VLOOKUP(L388,Map!$C$18:$D$29,2,0)</f>
        <v>TOTAL</v>
      </c>
      <c r="Z388" s="53"/>
      <c r="AA388" s="57">
        <f t="shared" si="136"/>
        <v>0</v>
      </c>
      <c r="AB388" s="57">
        <f t="shared" si="137"/>
        <v>0</v>
      </c>
      <c r="AC388" s="11" t="e">
        <f t="shared" si="138"/>
        <v>#N/A</v>
      </c>
      <c r="AD388" s="11" t="e">
        <f t="shared" si="139"/>
        <v>#N/A</v>
      </c>
      <c r="AE388" s="61" t="e">
        <f t="shared" si="140"/>
        <v>#N/A</v>
      </c>
      <c r="AF388" s="87"/>
    </row>
  </sheetData>
  <autoFilter ref="B4:AF388" xr:uid="{F6E9C421-79EE-4F8D-AE0D-339DB2BA0F29}">
    <filterColumn colId="7">
      <filters>
        <filter val="MERCADO PAGO"/>
      </filters>
    </filterColumn>
  </autoFilter>
  <conditionalFormatting sqref="P1:P1048576 AC1:AC1048576">
    <cfRule type="cellIs" dxfId="2" priority="1" operator="lessThan">
      <formula>0</formula>
    </cfRule>
  </conditionalFormatting>
  <hyperlinks>
    <hyperlink ref="AF16" r:id="rId1" xr:uid="{414BF3F8-F7CF-426F-A29E-1683F9B2AEF1}"/>
    <hyperlink ref="AF28" r:id="rId2" xr:uid="{A0A8182D-3B1F-4E5D-A07C-1463BE2FFA7E}"/>
  </hyperlinks>
  <pageMargins left="0.7" right="0.7" top="0.75" bottom="0.75" header="0.3" footer="0.3"/>
  <customProperties>
    <customPr name="_pios_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751A-0642-4ACF-8A5F-A92A3248389B}">
  <sheetPr filterMode="1">
    <tabColor rgb="FFC00000"/>
  </sheetPr>
  <dimension ref="B1:AG628"/>
  <sheetViews>
    <sheetView tabSelected="1" zoomScale="85" zoomScaleNormal="85" workbookViewId="0">
      <pane ySplit="4" topLeftCell="A366" activePane="bottomLeft" state="frozen"/>
      <selection pane="bottomLeft" activeCell="F4" sqref="F4"/>
    </sheetView>
  </sheetViews>
  <sheetFormatPr defaultRowHeight="14.5" outlineLevelCol="1" x14ac:dyDescent="0.35"/>
  <cols>
    <col min="1" max="1" width="3.08984375" customWidth="1"/>
    <col min="2" max="2" width="4.08984375" style="414" customWidth="1"/>
    <col min="3" max="3" width="12.453125" style="415" customWidth="1"/>
    <col min="4" max="4" width="6.54296875" style="416" customWidth="1"/>
    <col min="5" max="5" width="10.08984375" style="415" bestFit="1" customWidth="1"/>
    <col min="6" max="6" width="11.7265625" style="415" customWidth="1"/>
    <col min="7" max="7" width="12.90625" style="417" bestFit="1" customWidth="1"/>
    <col min="8" max="8" width="10.453125" style="418" bestFit="1" customWidth="1"/>
    <col min="9" max="9" width="15" style="415" bestFit="1" customWidth="1"/>
    <col min="10" max="10" width="6" style="419" bestFit="1" customWidth="1"/>
    <col min="11" max="11" width="5" style="419" bestFit="1" customWidth="1"/>
    <col min="12" max="12" width="8" style="415" bestFit="1" customWidth="1"/>
    <col min="13" max="13" width="15" style="420" bestFit="1" customWidth="1"/>
    <col min="14" max="14" width="8.54296875" style="421" bestFit="1" customWidth="1"/>
    <col min="15" max="15" width="11.08984375" style="421" customWidth="1"/>
    <col min="16" max="16" width="15.1796875" style="419" hidden="1" customWidth="1" outlineLevel="1"/>
    <col min="17" max="17" width="6" style="419" hidden="1" customWidth="1" outlineLevel="1"/>
    <col min="18" max="18" width="7.54296875" style="422" hidden="1" customWidth="1" outlineLevel="1"/>
    <col min="19" max="19" width="6.26953125" style="422" bestFit="1" customWidth="1" collapsed="1"/>
    <col min="20" max="20" width="18" style="415" bestFit="1" customWidth="1"/>
    <col min="21" max="21" width="22.7265625" style="415" bestFit="1" customWidth="1"/>
    <col min="22" max="22" width="9.36328125" style="415" customWidth="1"/>
    <col min="23" max="23" width="6.54296875" style="419" bestFit="1" customWidth="1"/>
    <col min="24" max="24" width="9.36328125" style="418" bestFit="1" customWidth="1"/>
    <col min="25" max="25" width="5" style="419" bestFit="1" customWidth="1"/>
    <col min="26" max="26" width="15" style="420" bestFit="1" customWidth="1"/>
    <col min="27" max="27" width="8.54296875" style="421" bestFit="1" customWidth="1"/>
    <col min="28" max="28" width="9.90625" style="421" customWidth="1"/>
    <col min="29" max="29" width="15.1796875" style="419" hidden="1" customWidth="1" outlineLevel="1"/>
    <col min="30" max="30" width="7.90625" style="419" hidden="1" customWidth="1" outlineLevel="1"/>
    <col min="31" max="31" width="7.54296875" style="422" hidden="1" customWidth="1" outlineLevel="1"/>
    <col min="32" max="32" width="6" style="423" bestFit="1" customWidth="1" collapsed="1"/>
  </cols>
  <sheetData>
    <row r="1" spans="2:32" s="1" customFormat="1" ht="13" x14ac:dyDescent="0.3">
      <c r="B1" s="359"/>
      <c r="C1" s="360"/>
      <c r="D1" s="361"/>
      <c r="E1" s="360"/>
      <c r="F1" s="360"/>
      <c r="G1" s="362"/>
      <c r="H1" s="363"/>
      <c r="I1" s="360"/>
      <c r="J1" s="364"/>
      <c r="K1" s="364"/>
      <c r="L1" s="360"/>
      <c r="M1" s="365"/>
      <c r="N1" s="366"/>
      <c r="O1" s="366"/>
      <c r="P1" s="367"/>
      <c r="Q1" s="367"/>
      <c r="R1" s="368"/>
      <c r="S1" s="369"/>
      <c r="T1" s="360"/>
      <c r="U1" s="360"/>
      <c r="V1" s="360"/>
      <c r="W1" s="364"/>
      <c r="X1" s="370"/>
      <c r="Y1" s="364"/>
      <c r="Z1" s="365"/>
      <c r="AA1" s="366"/>
      <c r="AB1" s="366"/>
      <c r="AC1" s="367"/>
      <c r="AD1" s="367"/>
      <c r="AE1" s="368"/>
      <c r="AF1" s="371"/>
    </row>
    <row r="2" spans="2:32" s="1" customFormat="1" ht="13" x14ac:dyDescent="0.3">
      <c r="B2" s="359"/>
      <c r="C2" s="360"/>
      <c r="D2" s="372" t="s">
        <v>136</v>
      </c>
      <c r="E2" s="360"/>
      <c r="F2" s="360"/>
      <c r="G2" s="362"/>
      <c r="H2" s="363"/>
      <c r="I2" s="360"/>
      <c r="J2" s="364"/>
      <c r="K2" s="364"/>
      <c r="L2" s="360"/>
      <c r="M2" s="365"/>
      <c r="N2" s="366"/>
      <c r="O2" s="366"/>
      <c r="P2" s="367"/>
      <c r="Q2" s="367"/>
      <c r="R2" s="368"/>
      <c r="S2" s="369"/>
      <c r="T2" s="360"/>
      <c r="U2" s="360"/>
      <c r="V2" s="360"/>
      <c r="W2" s="364"/>
      <c r="X2" s="370"/>
      <c r="Y2" s="364"/>
      <c r="Z2" s="365"/>
      <c r="AA2" s="366"/>
      <c r="AB2" s="366"/>
      <c r="AC2" s="367"/>
      <c r="AD2" s="367"/>
      <c r="AE2" s="368"/>
      <c r="AF2" s="371"/>
    </row>
    <row r="3" spans="2:32" s="1" customFormat="1" ht="13" x14ac:dyDescent="0.3">
      <c r="B3" s="359"/>
      <c r="C3" s="360"/>
      <c r="D3" s="361"/>
      <c r="E3" s="360"/>
      <c r="F3" s="360"/>
      <c r="G3" s="362"/>
      <c r="H3" s="363"/>
      <c r="I3" s="360"/>
      <c r="J3" s="364"/>
      <c r="K3" s="364"/>
      <c r="L3" s="360"/>
      <c r="M3" s="365"/>
      <c r="N3" s="366"/>
      <c r="O3" s="366"/>
      <c r="P3" s="367"/>
      <c r="Q3" s="367"/>
      <c r="R3" s="368"/>
      <c r="S3" s="369"/>
      <c r="T3" s="360"/>
      <c r="U3" s="360"/>
      <c r="V3" s="360"/>
      <c r="W3" s="364"/>
      <c r="X3" s="370"/>
      <c r="Y3" s="364"/>
      <c r="Z3" s="365"/>
      <c r="AA3" s="366"/>
      <c r="AB3" s="366"/>
      <c r="AC3" s="367"/>
      <c r="AD3" s="367"/>
      <c r="AE3" s="368"/>
      <c r="AF3" s="371"/>
    </row>
    <row r="4" spans="2:32" s="40" customFormat="1" ht="23.5" x14ac:dyDescent="0.3">
      <c r="B4" s="373" t="s">
        <v>18</v>
      </c>
      <c r="C4" s="499" t="s">
        <v>19</v>
      </c>
      <c r="D4" s="374" t="s">
        <v>171</v>
      </c>
      <c r="E4" s="374" t="s">
        <v>169</v>
      </c>
      <c r="F4" s="374" t="s">
        <v>170</v>
      </c>
      <c r="G4" s="375" t="s">
        <v>92</v>
      </c>
      <c r="H4" s="376" t="s">
        <v>27</v>
      </c>
      <c r="I4" s="374" t="s">
        <v>21</v>
      </c>
      <c r="J4" s="377" t="s">
        <v>20</v>
      </c>
      <c r="K4" s="377" t="s">
        <v>22</v>
      </c>
      <c r="L4" s="374" t="s">
        <v>23</v>
      </c>
      <c r="M4" s="378" t="s">
        <v>84</v>
      </c>
      <c r="N4" s="379" t="s">
        <v>86</v>
      </c>
      <c r="O4" s="379" t="s">
        <v>94</v>
      </c>
      <c r="P4" s="380" t="s">
        <v>85</v>
      </c>
      <c r="Q4" s="380" t="s">
        <v>91</v>
      </c>
      <c r="R4" s="381" t="s">
        <v>95</v>
      </c>
      <c r="S4" s="381" t="s">
        <v>24</v>
      </c>
      <c r="T4" s="374" t="s">
        <v>25</v>
      </c>
      <c r="U4" s="374" t="s">
        <v>26</v>
      </c>
      <c r="V4" s="374" t="s">
        <v>82</v>
      </c>
      <c r="W4" s="380" t="s">
        <v>89</v>
      </c>
      <c r="X4" s="376" t="s">
        <v>168</v>
      </c>
      <c r="Y4" s="377" t="s">
        <v>22</v>
      </c>
      <c r="Z4" s="378" t="s">
        <v>127</v>
      </c>
      <c r="AA4" s="379" t="s">
        <v>128</v>
      </c>
      <c r="AB4" s="379" t="s">
        <v>129</v>
      </c>
      <c r="AC4" s="380" t="s">
        <v>130</v>
      </c>
      <c r="AD4" s="380" t="s">
        <v>131</v>
      </c>
      <c r="AE4" s="381" t="s">
        <v>132</v>
      </c>
      <c r="AF4" s="382" t="s">
        <v>133</v>
      </c>
    </row>
    <row r="5" spans="2:32" s="1" customFormat="1" ht="13" hidden="1" x14ac:dyDescent="0.3">
      <c r="B5" s="383">
        <v>2026</v>
      </c>
      <c r="C5" s="361" t="s">
        <v>409</v>
      </c>
      <c r="D5" s="361" t="s">
        <v>80</v>
      </c>
      <c r="E5" s="360" t="s">
        <v>88</v>
      </c>
      <c r="F5" s="360" t="s">
        <v>87</v>
      </c>
      <c r="G5" s="362">
        <v>46230</v>
      </c>
      <c r="H5" s="363">
        <v>478270</v>
      </c>
      <c r="I5" s="360" t="s">
        <v>29</v>
      </c>
      <c r="J5" s="364" t="str">
        <f>IFERROR(VLOOKUP(I5,Map!$F$18:$G$56,2,0),"Add in Map")</f>
        <v>3P</v>
      </c>
      <c r="K5" s="364" t="str">
        <f>VLOOKUP(L5,Map!$C$18:$D$29,2,0)</f>
        <v>CNT</v>
      </c>
      <c r="L5" s="360" t="s">
        <v>31</v>
      </c>
      <c r="M5" s="365">
        <v>24645502.89876033</v>
      </c>
      <c r="N5" s="366">
        <f t="shared" ref="N5:N15" si="0">IF(L5="TOTAL",(M5*0.19),0)</f>
        <v>0</v>
      </c>
      <c r="O5" s="366">
        <f>M5*1.19</f>
        <v>29328148.44952479</v>
      </c>
      <c r="P5" s="367">
        <f t="shared" ref="P5:P14" si="1">M5/S5</f>
        <v>26672.62218480555</v>
      </c>
      <c r="Q5" s="367">
        <f t="shared" ref="Q5:Q15" si="2">IF(L5="TOTAL",(P5*0.19),0)</f>
        <v>0</v>
      </c>
      <c r="R5" s="368">
        <f>P5*1.19</f>
        <v>31740.420399918603</v>
      </c>
      <c r="S5" s="384">
        <f>INDEX(FX!$D$3:$O$19,MATCH(B5,FX!$B$3:$B$32,0),MATCH(D5,FX!$D$2:$O$2,0))</f>
        <v>924</v>
      </c>
      <c r="T5" s="360" t="s">
        <v>81</v>
      </c>
      <c r="U5" s="360" t="s">
        <v>32</v>
      </c>
      <c r="V5" s="360" t="s">
        <v>83</v>
      </c>
      <c r="W5" s="364" t="str">
        <f>VLOOKUP(I5,Map!$F$18:$H$51,3,0)</f>
        <v>Variable</v>
      </c>
      <c r="X5" s="370" t="s">
        <v>149</v>
      </c>
      <c r="Y5" s="364" t="str">
        <f>VLOOKUP(L5,Map!$C$18:$D$29,2,0)</f>
        <v>CNT</v>
      </c>
      <c r="Z5" s="365">
        <v>24645502.89876033</v>
      </c>
      <c r="AA5" s="366">
        <f t="shared" ref="AA5:AA68" si="3">IF(Y5="TOTAL",(Z5*0.19),0)</f>
        <v>0</v>
      </c>
      <c r="AB5" s="366">
        <f>Z5*1.19</f>
        <v>29328148.44952479</v>
      </c>
      <c r="AC5" s="367">
        <f t="shared" ref="AC5:AC68" si="4">Z5/S5</f>
        <v>26672.62218480555</v>
      </c>
      <c r="AD5" s="367">
        <f t="shared" ref="AD5:AD68" si="5">IF(Y5="TOTAL",(AC5*0.19),0)</f>
        <v>0</v>
      </c>
      <c r="AE5" s="368">
        <f>AC5*1.19</f>
        <v>31740.420399918603</v>
      </c>
      <c r="AF5" s="385"/>
    </row>
    <row r="6" spans="2:32" s="1" customFormat="1" ht="13" hidden="1" x14ac:dyDescent="0.3">
      <c r="B6" s="383">
        <v>2026</v>
      </c>
      <c r="C6" s="361" t="s">
        <v>409</v>
      </c>
      <c r="D6" s="361" t="s">
        <v>80</v>
      </c>
      <c r="E6" s="360" t="s">
        <v>88</v>
      </c>
      <c r="F6" s="360" t="s">
        <v>87</v>
      </c>
      <c r="G6" s="362">
        <v>46230</v>
      </c>
      <c r="H6" s="363">
        <v>478270</v>
      </c>
      <c r="I6" s="360" t="s">
        <v>29</v>
      </c>
      <c r="J6" s="364" t="str">
        <f>IFERROR(VLOOKUP(I6,Map!$F$18:$G$56,2,0),"Add in Map")</f>
        <v>3P</v>
      </c>
      <c r="K6" s="364" t="str">
        <f>VLOOKUP(L6,Map!$C$18:$D$29,2,0)</f>
        <v>CVT</v>
      </c>
      <c r="L6" s="360" t="s">
        <v>36</v>
      </c>
      <c r="M6" s="365">
        <v>291662.75619834714</v>
      </c>
      <c r="N6" s="366">
        <f t="shared" si="0"/>
        <v>0</v>
      </c>
      <c r="O6" s="366">
        <f t="shared" ref="O6:O15" si="6">M6*1.19</f>
        <v>347078.6798760331</v>
      </c>
      <c r="P6" s="367">
        <f t="shared" si="1"/>
        <v>315.65233354799471</v>
      </c>
      <c r="Q6" s="367">
        <f t="shared" si="2"/>
        <v>0</v>
      </c>
      <c r="R6" s="368">
        <f t="shared" ref="R6:R69" si="7">P6*1.19</f>
        <v>375.62627692211368</v>
      </c>
      <c r="S6" s="384">
        <f>INDEX(FX!$D$3:$O$19,MATCH(B6,FX!$B$3:$B$32,0),MATCH(D6,FX!$D$2:$O$2,0))</f>
        <v>924</v>
      </c>
      <c r="T6" s="360" t="s">
        <v>81</v>
      </c>
      <c r="U6" s="360" t="s">
        <v>32</v>
      </c>
      <c r="V6" s="360" t="s">
        <v>83</v>
      </c>
      <c r="W6" s="364" t="str">
        <f>VLOOKUP(I6,Map!$F$18:$H$51,3,0)</f>
        <v>Variable</v>
      </c>
      <c r="X6" s="370" t="s">
        <v>149</v>
      </c>
      <c r="Y6" s="364" t="str">
        <f>VLOOKUP(L6,Map!$C$18:$D$29,2,0)</f>
        <v>CVT</v>
      </c>
      <c r="Z6" s="365">
        <v>291662.75619834714</v>
      </c>
      <c r="AA6" s="366">
        <f t="shared" si="3"/>
        <v>0</v>
      </c>
      <c r="AB6" s="366">
        <f t="shared" ref="AB6:AB69" si="8">Z6*1.19</f>
        <v>347078.6798760331</v>
      </c>
      <c r="AC6" s="367">
        <f t="shared" si="4"/>
        <v>315.65233354799471</v>
      </c>
      <c r="AD6" s="367">
        <f t="shared" si="5"/>
        <v>0</v>
      </c>
      <c r="AE6" s="368">
        <f t="shared" ref="AE6:AE69" si="9">AC6*1.19</f>
        <v>375.62627692211368</v>
      </c>
      <c r="AF6" s="385"/>
    </row>
    <row r="7" spans="2:32" s="1" customFormat="1" ht="13" hidden="1" x14ac:dyDescent="0.3">
      <c r="B7" s="383">
        <v>2026</v>
      </c>
      <c r="C7" s="361" t="s">
        <v>409</v>
      </c>
      <c r="D7" s="361" t="s">
        <v>80</v>
      </c>
      <c r="E7" s="360" t="s">
        <v>88</v>
      </c>
      <c r="F7" s="360" t="s">
        <v>87</v>
      </c>
      <c r="G7" s="362">
        <v>46230</v>
      </c>
      <c r="H7" s="363">
        <v>478270</v>
      </c>
      <c r="I7" s="360" t="s">
        <v>29</v>
      </c>
      <c r="J7" s="364" t="str">
        <f>IFERROR(VLOOKUP(I7,Map!$F$18:$G$56,2,0),"Add in Map")</f>
        <v>3P</v>
      </c>
      <c r="K7" s="364" t="str">
        <f>VLOOKUP(L7,Map!$C$18:$D$29,2,0)</f>
        <v>CDT</v>
      </c>
      <c r="L7" s="360" t="s">
        <v>38</v>
      </c>
      <c r="M7" s="365">
        <v>1020819.6466942149</v>
      </c>
      <c r="N7" s="366">
        <f t="shared" si="0"/>
        <v>0</v>
      </c>
      <c r="O7" s="366">
        <f t="shared" si="6"/>
        <v>1214775.3795661156</v>
      </c>
      <c r="P7" s="367">
        <f t="shared" si="1"/>
        <v>1104.7831674179815</v>
      </c>
      <c r="Q7" s="367">
        <f t="shared" si="2"/>
        <v>0</v>
      </c>
      <c r="R7" s="368">
        <f t="shared" si="7"/>
        <v>1314.691969227398</v>
      </c>
      <c r="S7" s="384">
        <f>INDEX(FX!$D$3:$O$19,MATCH(B7,FX!$B$3:$B$32,0),MATCH(D7,FX!$D$2:$O$2,0))</f>
        <v>924</v>
      </c>
      <c r="T7" s="360" t="s">
        <v>81</v>
      </c>
      <c r="U7" s="360" t="s">
        <v>32</v>
      </c>
      <c r="V7" s="360" t="s">
        <v>83</v>
      </c>
      <c r="W7" s="364" t="str">
        <f>VLOOKUP(I7,Map!$F$18:$H$51,3,0)</f>
        <v>Variable</v>
      </c>
      <c r="X7" s="370" t="s">
        <v>149</v>
      </c>
      <c r="Y7" s="364" t="str">
        <f>VLOOKUP(L7,Map!$C$18:$D$29,2,0)</f>
        <v>CDT</v>
      </c>
      <c r="Z7" s="365">
        <v>1020819.6466942149</v>
      </c>
      <c r="AA7" s="366">
        <f t="shared" si="3"/>
        <v>0</v>
      </c>
      <c r="AB7" s="366">
        <f t="shared" si="8"/>
        <v>1214775.3795661156</v>
      </c>
      <c r="AC7" s="367">
        <f t="shared" si="4"/>
        <v>1104.7831674179815</v>
      </c>
      <c r="AD7" s="367">
        <f t="shared" si="5"/>
        <v>0</v>
      </c>
      <c r="AE7" s="368">
        <f t="shared" si="9"/>
        <v>1314.691969227398</v>
      </c>
      <c r="AF7" s="385"/>
    </row>
    <row r="8" spans="2:32" s="1" customFormat="1" ht="13" hidden="1" x14ac:dyDescent="0.3">
      <c r="B8" s="383">
        <v>2026</v>
      </c>
      <c r="C8" s="361" t="s">
        <v>409</v>
      </c>
      <c r="D8" s="361" t="s">
        <v>80</v>
      </c>
      <c r="E8" s="360" t="s">
        <v>88</v>
      </c>
      <c r="F8" s="360" t="s">
        <v>87</v>
      </c>
      <c r="G8" s="362">
        <v>46230</v>
      </c>
      <c r="H8" s="363">
        <v>478270</v>
      </c>
      <c r="I8" s="360" t="s">
        <v>29</v>
      </c>
      <c r="J8" s="364" t="str">
        <f>IFERROR(VLOOKUP(I8,Map!$F$18:$G$56,2,0),"Add in Map")</f>
        <v>3P</v>
      </c>
      <c r="K8" s="364" t="str">
        <f>VLOOKUP(L8,Map!$C$18:$D$29,2,0)</f>
        <v>DFT</v>
      </c>
      <c r="L8" s="360" t="s">
        <v>40</v>
      </c>
      <c r="M8" s="365">
        <v>73207351.80578512</v>
      </c>
      <c r="N8" s="366">
        <f t="shared" si="0"/>
        <v>0</v>
      </c>
      <c r="O8" s="366">
        <f t="shared" si="6"/>
        <v>87116748.648884282</v>
      </c>
      <c r="P8" s="367">
        <f t="shared" si="1"/>
        <v>79228.735720546669</v>
      </c>
      <c r="Q8" s="367">
        <f t="shared" si="2"/>
        <v>0</v>
      </c>
      <c r="R8" s="368">
        <f t="shared" si="7"/>
        <v>94282.195507450539</v>
      </c>
      <c r="S8" s="384">
        <f>INDEX(FX!$D$3:$O$19,MATCH(B8,FX!$B$3:$B$32,0),MATCH(D8,FX!$D$2:$O$2,0))</f>
        <v>924</v>
      </c>
      <c r="T8" s="360" t="s">
        <v>81</v>
      </c>
      <c r="U8" s="360" t="s">
        <v>32</v>
      </c>
      <c r="V8" s="360" t="s">
        <v>83</v>
      </c>
      <c r="W8" s="364" t="str">
        <f>VLOOKUP(I8,Map!$F$18:$H$51,3,0)</f>
        <v>Variable</v>
      </c>
      <c r="X8" s="370" t="s">
        <v>149</v>
      </c>
      <c r="Y8" s="364" t="str">
        <f>VLOOKUP(L8,Map!$C$18:$D$29,2,0)</f>
        <v>DFT</v>
      </c>
      <c r="Z8" s="365">
        <v>73207351.80578512</v>
      </c>
      <c r="AA8" s="366">
        <f t="shared" si="3"/>
        <v>0</v>
      </c>
      <c r="AB8" s="366">
        <f t="shared" si="8"/>
        <v>87116748.648884282</v>
      </c>
      <c r="AC8" s="367">
        <f t="shared" si="4"/>
        <v>79228.735720546669</v>
      </c>
      <c r="AD8" s="367">
        <f t="shared" si="5"/>
        <v>0</v>
      </c>
      <c r="AE8" s="368">
        <f t="shared" si="9"/>
        <v>94282.195507450539</v>
      </c>
      <c r="AF8" s="385"/>
    </row>
    <row r="9" spans="2:32" s="1" customFormat="1" ht="13" hidden="1" x14ac:dyDescent="0.3">
      <c r="B9" s="383">
        <v>2026</v>
      </c>
      <c r="C9" s="361" t="s">
        <v>409</v>
      </c>
      <c r="D9" s="361" t="s">
        <v>80</v>
      </c>
      <c r="E9" s="360" t="s">
        <v>88</v>
      </c>
      <c r="F9" s="360" t="s">
        <v>87</v>
      </c>
      <c r="G9" s="362">
        <v>46230</v>
      </c>
      <c r="H9" s="363">
        <v>478270</v>
      </c>
      <c r="I9" s="360" t="s">
        <v>29</v>
      </c>
      <c r="J9" s="364" t="str">
        <f>IFERROR(VLOOKUP(I9,Map!$F$18:$G$56,2,0),"Add in Map")</f>
        <v>3P</v>
      </c>
      <c r="K9" s="364" t="str">
        <f>VLOOKUP(L9,Map!$C$18:$D$29,2,0)</f>
        <v>DVT</v>
      </c>
      <c r="L9" s="360" t="s">
        <v>42</v>
      </c>
      <c r="M9" s="365">
        <v>145831.37809917357</v>
      </c>
      <c r="N9" s="366">
        <f t="shared" si="0"/>
        <v>0</v>
      </c>
      <c r="O9" s="366">
        <f t="shared" si="6"/>
        <v>173539.33993801655</v>
      </c>
      <c r="P9" s="367">
        <f t="shared" si="1"/>
        <v>157.82616677399736</v>
      </c>
      <c r="Q9" s="367">
        <f t="shared" si="2"/>
        <v>0</v>
      </c>
      <c r="R9" s="368">
        <f t="shared" si="7"/>
        <v>187.81313846105684</v>
      </c>
      <c r="S9" s="384">
        <f>INDEX(FX!$D$3:$O$19,MATCH(B9,FX!$B$3:$B$32,0),MATCH(D9,FX!$D$2:$O$2,0))</f>
        <v>924</v>
      </c>
      <c r="T9" s="360" t="s">
        <v>81</v>
      </c>
      <c r="U9" s="360" t="s">
        <v>32</v>
      </c>
      <c r="V9" s="360" t="s">
        <v>83</v>
      </c>
      <c r="W9" s="364" t="str">
        <f>VLOOKUP(I9,Map!$F$18:$H$51,3,0)</f>
        <v>Variable</v>
      </c>
      <c r="X9" s="370" t="s">
        <v>149</v>
      </c>
      <c r="Y9" s="364" t="str">
        <f>VLOOKUP(L9,Map!$C$18:$D$29,2,0)</f>
        <v>DVT</v>
      </c>
      <c r="Z9" s="365">
        <v>145831.37809917357</v>
      </c>
      <c r="AA9" s="366">
        <f t="shared" si="3"/>
        <v>0</v>
      </c>
      <c r="AB9" s="366">
        <f t="shared" si="8"/>
        <v>173539.33993801655</v>
      </c>
      <c r="AC9" s="367">
        <f t="shared" si="4"/>
        <v>157.82616677399736</v>
      </c>
      <c r="AD9" s="367">
        <f t="shared" si="5"/>
        <v>0</v>
      </c>
      <c r="AE9" s="368">
        <f t="shared" si="9"/>
        <v>187.81313846105684</v>
      </c>
      <c r="AF9" s="385"/>
    </row>
    <row r="10" spans="2:32" s="1" customFormat="1" ht="13" hidden="1" x14ac:dyDescent="0.3">
      <c r="B10" s="383">
        <v>2026</v>
      </c>
      <c r="C10" s="361" t="s">
        <v>409</v>
      </c>
      <c r="D10" s="361" t="s">
        <v>80</v>
      </c>
      <c r="E10" s="360" t="s">
        <v>88</v>
      </c>
      <c r="F10" s="360" t="s">
        <v>87</v>
      </c>
      <c r="G10" s="362">
        <v>46230</v>
      </c>
      <c r="H10" s="363">
        <v>478270</v>
      </c>
      <c r="I10" s="360" t="s">
        <v>29</v>
      </c>
      <c r="J10" s="364" t="str">
        <f>IFERROR(VLOOKUP(I10,Map!$F$18:$G$56,2,0),"Add in Map")</f>
        <v>3P</v>
      </c>
      <c r="K10" s="364" t="str">
        <f>VLOOKUP(L10,Map!$C$18:$D$29,2,0)</f>
        <v>GLT</v>
      </c>
      <c r="L10" s="360" t="s">
        <v>44</v>
      </c>
      <c r="M10" s="365">
        <v>34707867.987603307</v>
      </c>
      <c r="N10" s="366">
        <f t="shared" si="0"/>
        <v>0</v>
      </c>
      <c r="O10" s="366">
        <f t="shared" si="6"/>
        <v>41302362.905247934</v>
      </c>
      <c r="P10" s="367">
        <f t="shared" si="1"/>
        <v>37562.627692211368</v>
      </c>
      <c r="Q10" s="367">
        <f t="shared" si="2"/>
        <v>0</v>
      </c>
      <c r="R10" s="368">
        <f t="shared" si="7"/>
        <v>44699.526953731525</v>
      </c>
      <c r="S10" s="384">
        <f>INDEX(FX!$D$3:$O$19,MATCH(B10,FX!$B$3:$B$32,0),MATCH(D10,FX!$D$2:$O$2,0))</f>
        <v>924</v>
      </c>
      <c r="T10" s="360" t="s">
        <v>81</v>
      </c>
      <c r="U10" s="360" t="s">
        <v>32</v>
      </c>
      <c r="V10" s="360" t="s">
        <v>83</v>
      </c>
      <c r="W10" s="364" t="str">
        <f>VLOOKUP(I10,Map!$F$18:$H$51,3,0)</f>
        <v>Variable</v>
      </c>
      <c r="X10" s="370" t="s">
        <v>149</v>
      </c>
      <c r="Y10" s="364" t="str">
        <f>VLOOKUP(L10,Map!$C$18:$D$29,2,0)</f>
        <v>GLT</v>
      </c>
      <c r="Z10" s="365">
        <v>34707867.987603307</v>
      </c>
      <c r="AA10" s="366">
        <f t="shared" si="3"/>
        <v>0</v>
      </c>
      <c r="AB10" s="366">
        <f t="shared" si="8"/>
        <v>41302362.905247934</v>
      </c>
      <c r="AC10" s="367">
        <f t="shared" si="4"/>
        <v>37562.627692211368</v>
      </c>
      <c r="AD10" s="367">
        <f t="shared" si="5"/>
        <v>0</v>
      </c>
      <c r="AE10" s="368">
        <f t="shared" si="9"/>
        <v>44699.526953731525</v>
      </c>
      <c r="AF10" s="385"/>
    </row>
    <row r="11" spans="2:32" s="1" customFormat="1" ht="13" hidden="1" x14ac:dyDescent="0.3">
      <c r="B11" s="383">
        <v>2026</v>
      </c>
      <c r="C11" s="361" t="s">
        <v>409</v>
      </c>
      <c r="D11" s="361" t="s">
        <v>80</v>
      </c>
      <c r="E11" s="360" t="s">
        <v>88</v>
      </c>
      <c r="F11" s="360" t="s">
        <v>87</v>
      </c>
      <c r="G11" s="362">
        <v>46230</v>
      </c>
      <c r="H11" s="363">
        <v>478270</v>
      </c>
      <c r="I11" s="360" t="s">
        <v>29</v>
      </c>
      <c r="J11" s="364" t="str">
        <f>IFERROR(VLOOKUP(I11,Map!$F$18:$G$56,2,0),"Add in Map")</f>
        <v>3P</v>
      </c>
      <c r="K11" s="364" t="str">
        <f>VLOOKUP(L11,Map!$C$18:$D$29,2,0)</f>
        <v>PNT</v>
      </c>
      <c r="L11" s="360" t="s">
        <v>46</v>
      </c>
      <c r="M11" s="365">
        <v>2187470.6714876033</v>
      </c>
      <c r="N11" s="366">
        <f t="shared" si="0"/>
        <v>0</v>
      </c>
      <c r="O11" s="366">
        <f t="shared" si="6"/>
        <v>2603090.0990702477</v>
      </c>
      <c r="P11" s="367">
        <f t="shared" si="1"/>
        <v>2367.3925016099602</v>
      </c>
      <c r="Q11" s="367">
        <f t="shared" si="2"/>
        <v>0</v>
      </c>
      <c r="R11" s="368">
        <f t="shared" si="7"/>
        <v>2817.1970769158524</v>
      </c>
      <c r="S11" s="384">
        <f>INDEX(FX!$D$3:$O$19,MATCH(B11,FX!$B$3:$B$32,0),MATCH(D11,FX!$D$2:$O$2,0))</f>
        <v>924</v>
      </c>
      <c r="T11" s="360" t="s">
        <v>81</v>
      </c>
      <c r="U11" s="360" t="s">
        <v>32</v>
      </c>
      <c r="V11" s="360" t="s">
        <v>83</v>
      </c>
      <c r="W11" s="364" t="str">
        <f>VLOOKUP(I11,Map!$F$18:$H$51,3,0)</f>
        <v>Variable</v>
      </c>
      <c r="X11" s="370" t="s">
        <v>149</v>
      </c>
      <c r="Y11" s="364" t="str">
        <f>VLOOKUP(L11,Map!$C$18:$D$29,2,0)</f>
        <v>PNT</v>
      </c>
      <c r="Z11" s="365">
        <v>2187470.6714876033</v>
      </c>
      <c r="AA11" s="366">
        <f t="shared" si="3"/>
        <v>0</v>
      </c>
      <c r="AB11" s="366">
        <f t="shared" si="8"/>
        <v>2603090.0990702477</v>
      </c>
      <c r="AC11" s="367">
        <f t="shared" si="4"/>
        <v>2367.3925016099602</v>
      </c>
      <c r="AD11" s="367">
        <f t="shared" si="5"/>
        <v>0</v>
      </c>
      <c r="AE11" s="368">
        <f t="shared" si="9"/>
        <v>2817.1970769158524</v>
      </c>
      <c r="AF11" s="385"/>
    </row>
    <row r="12" spans="2:32" s="1" customFormat="1" ht="13" hidden="1" x14ac:dyDescent="0.3">
      <c r="B12" s="383">
        <v>2026</v>
      </c>
      <c r="C12" s="361" t="s">
        <v>409</v>
      </c>
      <c r="D12" s="361" t="s">
        <v>80</v>
      </c>
      <c r="E12" s="360" t="s">
        <v>88</v>
      </c>
      <c r="F12" s="360" t="s">
        <v>87</v>
      </c>
      <c r="G12" s="362">
        <v>46230</v>
      </c>
      <c r="H12" s="363">
        <v>478270</v>
      </c>
      <c r="I12" s="360" t="s">
        <v>29</v>
      </c>
      <c r="J12" s="364" t="str">
        <f>IFERROR(VLOOKUP(I12,Map!$F$18:$G$56,2,0),"Add in Map")</f>
        <v>3P</v>
      </c>
      <c r="K12" s="364" t="str">
        <f>VLOOKUP(L12,Map!$C$18:$D$29,2,0)</f>
        <v>GTT</v>
      </c>
      <c r="L12" s="360" t="s">
        <v>48</v>
      </c>
      <c r="M12" s="365">
        <v>3645784.4524793387</v>
      </c>
      <c r="N12" s="366">
        <f t="shared" si="0"/>
        <v>0</v>
      </c>
      <c r="O12" s="366">
        <f t="shared" si="6"/>
        <v>4338483.4984504133</v>
      </c>
      <c r="P12" s="367">
        <f t="shared" si="1"/>
        <v>3945.6541693499339</v>
      </c>
      <c r="Q12" s="367">
        <f t="shared" si="2"/>
        <v>0</v>
      </c>
      <c r="R12" s="368">
        <f t="shared" si="7"/>
        <v>4695.3284615264211</v>
      </c>
      <c r="S12" s="384">
        <f>INDEX(FX!$D$3:$O$19,MATCH(B12,FX!$B$3:$B$32,0),MATCH(D12,FX!$D$2:$O$2,0))</f>
        <v>924</v>
      </c>
      <c r="T12" s="360" t="s">
        <v>81</v>
      </c>
      <c r="U12" s="360" t="s">
        <v>32</v>
      </c>
      <c r="V12" s="360" t="s">
        <v>83</v>
      </c>
      <c r="W12" s="364" t="str">
        <f>VLOOKUP(I12,Map!$F$18:$H$51,3,0)</f>
        <v>Variable</v>
      </c>
      <c r="X12" s="370" t="s">
        <v>149</v>
      </c>
      <c r="Y12" s="364" t="str">
        <f>VLOOKUP(L12,Map!$C$18:$D$29,2,0)</f>
        <v>GTT</v>
      </c>
      <c r="Z12" s="365">
        <v>3645784.4524793387</v>
      </c>
      <c r="AA12" s="366">
        <f t="shared" si="3"/>
        <v>0</v>
      </c>
      <c r="AB12" s="366">
        <f t="shared" si="8"/>
        <v>4338483.4984504133</v>
      </c>
      <c r="AC12" s="367">
        <f t="shared" si="4"/>
        <v>3945.6541693499339</v>
      </c>
      <c r="AD12" s="367">
        <f t="shared" si="5"/>
        <v>0</v>
      </c>
      <c r="AE12" s="368">
        <f t="shared" si="9"/>
        <v>4695.3284615264211</v>
      </c>
      <c r="AF12" s="385"/>
    </row>
    <row r="13" spans="2:32" s="1" customFormat="1" ht="13" hidden="1" x14ac:dyDescent="0.3">
      <c r="B13" s="383">
        <v>2026</v>
      </c>
      <c r="C13" s="361" t="s">
        <v>409</v>
      </c>
      <c r="D13" s="361" t="s">
        <v>80</v>
      </c>
      <c r="E13" s="360" t="s">
        <v>88</v>
      </c>
      <c r="F13" s="360" t="s">
        <v>87</v>
      </c>
      <c r="G13" s="362">
        <v>46230</v>
      </c>
      <c r="H13" s="363">
        <v>478270</v>
      </c>
      <c r="I13" s="360" t="s">
        <v>29</v>
      </c>
      <c r="J13" s="364" t="str">
        <f>IFERROR(VLOOKUP(I13,Map!$F$18:$G$56,2,0),"Add in Map")</f>
        <v>3P</v>
      </c>
      <c r="K13" s="364" t="str">
        <f>VLOOKUP(L13,Map!$C$18:$D$29,2,0)</f>
        <v>DGT</v>
      </c>
      <c r="L13" s="360" t="s">
        <v>50</v>
      </c>
      <c r="M13" s="365">
        <v>1020819.6466942149</v>
      </c>
      <c r="N13" s="366">
        <f t="shared" si="0"/>
        <v>0</v>
      </c>
      <c r="O13" s="366">
        <f t="shared" si="6"/>
        <v>1214775.3795661156</v>
      </c>
      <c r="P13" s="367">
        <f t="shared" si="1"/>
        <v>1104.7831674179815</v>
      </c>
      <c r="Q13" s="367">
        <f t="shared" si="2"/>
        <v>0</v>
      </c>
      <c r="R13" s="368">
        <f t="shared" si="7"/>
        <v>1314.691969227398</v>
      </c>
      <c r="S13" s="384">
        <f>INDEX(FX!$D$3:$O$19,MATCH(B13,FX!$B$3:$B$32,0),MATCH(D13,FX!$D$2:$O$2,0))</f>
        <v>924</v>
      </c>
      <c r="T13" s="360" t="s">
        <v>81</v>
      </c>
      <c r="U13" s="360" t="s">
        <v>32</v>
      </c>
      <c r="V13" s="360" t="s">
        <v>83</v>
      </c>
      <c r="W13" s="364" t="str">
        <f>VLOOKUP(I13,Map!$F$18:$H$51,3,0)</f>
        <v>Variable</v>
      </c>
      <c r="X13" s="370" t="s">
        <v>149</v>
      </c>
      <c r="Y13" s="364" t="str">
        <f>VLOOKUP(L13,Map!$C$18:$D$29,2,0)</f>
        <v>DGT</v>
      </c>
      <c r="Z13" s="365">
        <v>1020819.6466942149</v>
      </c>
      <c r="AA13" s="366">
        <f t="shared" si="3"/>
        <v>0</v>
      </c>
      <c r="AB13" s="366">
        <f t="shared" si="8"/>
        <v>1214775.3795661156</v>
      </c>
      <c r="AC13" s="367">
        <f t="shared" si="4"/>
        <v>1104.7831674179815</v>
      </c>
      <c r="AD13" s="367">
        <f t="shared" si="5"/>
        <v>0</v>
      </c>
      <c r="AE13" s="368">
        <f t="shared" si="9"/>
        <v>1314.691969227398</v>
      </c>
      <c r="AF13" s="385"/>
    </row>
    <row r="14" spans="2:32" s="1" customFormat="1" ht="13" hidden="1" x14ac:dyDescent="0.3">
      <c r="B14" s="383">
        <v>2026</v>
      </c>
      <c r="C14" s="361" t="s">
        <v>409</v>
      </c>
      <c r="D14" s="361" t="s">
        <v>80</v>
      </c>
      <c r="E14" s="360" t="s">
        <v>88</v>
      </c>
      <c r="F14" s="360" t="s">
        <v>87</v>
      </c>
      <c r="G14" s="362">
        <v>46230</v>
      </c>
      <c r="H14" s="363">
        <v>478270</v>
      </c>
      <c r="I14" s="360" t="s">
        <v>29</v>
      </c>
      <c r="J14" s="364" t="str">
        <f>IFERROR(VLOOKUP(I14,Map!$F$18:$G$56,2,0),"Add in Map")</f>
        <v>3P</v>
      </c>
      <c r="K14" s="364" t="str">
        <f>VLOOKUP(L14,Map!$C$18:$D$29,2,0)</f>
        <v>DLT</v>
      </c>
      <c r="L14" s="360" t="s">
        <v>52</v>
      </c>
      <c r="M14" s="365">
        <v>291662.75619834714</v>
      </c>
      <c r="N14" s="366">
        <f t="shared" si="0"/>
        <v>0</v>
      </c>
      <c r="O14" s="366">
        <f t="shared" si="6"/>
        <v>347078.6798760331</v>
      </c>
      <c r="P14" s="367">
        <f t="shared" si="1"/>
        <v>315.65233354799471</v>
      </c>
      <c r="Q14" s="367">
        <f t="shared" si="2"/>
        <v>0</v>
      </c>
      <c r="R14" s="368">
        <f t="shared" si="7"/>
        <v>375.62627692211368</v>
      </c>
      <c r="S14" s="384">
        <f>INDEX(FX!$D$3:$O$19,MATCH(B14,FX!$B$3:$B$32,0),MATCH(D14,FX!$D$2:$O$2,0))</f>
        <v>924</v>
      </c>
      <c r="T14" s="360" t="s">
        <v>81</v>
      </c>
      <c r="U14" s="360" t="s">
        <v>32</v>
      </c>
      <c r="V14" s="360" t="s">
        <v>83</v>
      </c>
      <c r="W14" s="364" t="str">
        <f>VLOOKUP(I14,Map!$F$18:$H$51,3,0)</f>
        <v>Variable</v>
      </c>
      <c r="X14" s="370" t="s">
        <v>149</v>
      </c>
      <c r="Y14" s="364" t="str">
        <f>VLOOKUP(L14,Map!$C$18:$D$29,2,0)</f>
        <v>DLT</v>
      </c>
      <c r="Z14" s="365">
        <v>291662.75619834714</v>
      </c>
      <c r="AA14" s="366">
        <f t="shared" si="3"/>
        <v>0</v>
      </c>
      <c r="AB14" s="366">
        <f t="shared" si="8"/>
        <v>347078.6798760331</v>
      </c>
      <c r="AC14" s="367">
        <f t="shared" si="4"/>
        <v>315.65233354799471</v>
      </c>
      <c r="AD14" s="367">
        <f t="shared" si="5"/>
        <v>0</v>
      </c>
      <c r="AE14" s="368">
        <f t="shared" si="9"/>
        <v>375.62627692211368</v>
      </c>
      <c r="AF14" s="385"/>
    </row>
    <row r="15" spans="2:32" s="1" customFormat="1" ht="13" hidden="1" x14ac:dyDescent="0.3">
      <c r="B15" s="383">
        <v>2026</v>
      </c>
      <c r="C15" s="361" t="s">
        <v>409</v>
      </c>
      <c r="D15" s="361" t="s">
        <v>80</v>
      </c>
      <c r="E15" s="360" t="s">
        <v>88</v>
      </c>
      <c r="F15" s="360" t="s">
        <v>87</v>
      </c>
      <c r="G15" s="362">
        <v>46230</v>
      </c>
      <c r="H15" s="363">
        <v>478270</v>
      </c>
      <c r="I15" s="360" t="s">
        <v>29</v>
      </c>
      <c r="J15" s="364" t="str">
        <f>IFERROR(VLOOKUP(I15,Map!$F$18:$G$56,2,0),"Add in Map")</f>
        <v>3P</v>
      </c>
      <c r="K15" s="364" t="str">
        <f>VLOOKUP(L15,Map!$C$18:$D$29,2,0)</f>
        <v>DMT</v>
      </c>
      <c r="L15" s="360" t="s">
        <v>54</v>
      </c>
      <c r="M15" s="365">
        <v>0</v>
      </c>
      <c r="N15" s="366">
        <f t="shared" si="0"/>
        <v>0</v>
      </c>
      <c r="O15" s="366">
        <f t="shared" si="6"/>
        <v>0</v>
      </c>
      <c r="P15" s="386">
        <v>0</v>
      </c>
      <c r="Q15" s="367">
        <f t="shared" si="2"/>
        <v>0</v>
      </c>
      <c r="R15" s="368">
        <f t="shared" si="7"/>
        <v>0</v>
      </c>
      <c r="S15" s="384">
        <f>INDEX(FX!$D$3:$O$19,MATCH(B15,FX!$B$3:$B$32,0),MATCH(D15,FX!$D$2:$O$2,0))</f>
        <v>924</v>
      </c>
      <c r="T15" s="360" t="s">
        <v>81</v>
      </c>
      <c r="U15" s="360" t="s">
        <v>32</v>
      </c>
      <c r="V15" s="360" t="s">
        <v>83</v>
      </c>
      <c r="W15" s="364" t="str">
        <f>VLOOKUP(I15,Map!$F$18:$H$51,3,0)</f>
        <v>Variable</v>
      </c>
      <c r="X15" s="370" t="s">
        <v>149</v>
      </c>
      <c r="Y15" s="364" t="str">
        <f>VLOOKUP(L15,Map!$C$18:$D$29,2,0)</f>
        <v>DMT</v>
      </c>
      <c r="Z15" s="365">
        <v>0</v>
      </c>
      <c r="AA15" s="366">
        <f t="shared" si="3"/>
        <v>0</v>
      </c>
      <c r="AB15" s="366">
        <f t="shared" si="8"/>
        <v>0</v>
      </c>
      <c r="AC15" s="386">
        <f t="shared" si="4"/>
        <v>0</v>
      </c>
      <c r="AD15" s="367">
        <f t="shared" si="5"/>
        <v>0</v>
      </c>
      <c r="AE15" s="368">
        <f t="shared" si="9"/>
        <v>0</v>
      </c>
      <c r="AF15" s="385"/>
    </row>
    <row r="16" spans="2:32" s="37" customFormat="1" hidden="1" x14ac:dyDescent="0.35">
      <c r="B16" s="387">
        <v>2026</v>
      </c>
      <c r="C16" s="389" t="s">
        <v>409</v>
      </c>
      <c r="D16" s="389" t="s">
        <v>80</v>
      </c>
      <c r="E16" s="388" t="s">
        <v>88</v>
      </c>
      <c r="F16" s="388" t="s">
        <v>87</v>
      </c>
      <c r="G16" s="390">
        <v>46230</v>
      </c>
      <c r="H16" s="391">
        <v>478270</v>
      </c>
      <c r="I16" s="388" t="s">
        <v>29</v>
      </c>
      <c r="J16" s="392" t="str">
        <f>IFERROR(VLOOKUP(I16,Map!$F$18:$G$56,2,0),"Add in Map")</f>
        <v>3P</v>
      </c>
      <c r="K16" s="392" t="str">
        <f>VLOOKUP(L16,Map!$C$18:$D$29,2,0)</f>
        <v>TOTAL</v>
      </c>
      <c r="L16" s="388" t="s">
        <v>56</v>
      </c>
      <c r="M16" s="393">
        <f>SUM(M5:M15)</f>
        <v>141164774</v>
      </c>
      <c r="N16" s="393">
        <f t="shared" ref="N16:N28" si="10">IF(L16="TOTAL",(M16*0.19),0)</f>
        <v>26821307.059999999</v>
      </c>
      <c r="O16" s="393">
        <f t="shared" ref="O16:O28" si="11">M16*1.19</f>
        <v>167986081.06</v>
      </c>
      <c r="P16" s="394">
        <f t="shared" ref="P16:P28" si="12">M16/S16</f>
        <v>152775.72943722943</v>
      </c>
      <c r="Q16" s="394">
        <f t="shared" ref="Q16:Q28" si="13">IF(L16="TOTAL",(P16*0.19),0)</f>
        <v>29027.388593073592</v>
      </c>
      <c r="R16" s="395">
        <f t="shared" si="7"/>
        <v>181803.11803030301</v>
      </c>
      <c r="S16" s="396">
        <f>INDEX(FX!$D$3:$O$19,MATCH(B16,FX!$B$3:$B$32,0),MATCH(D16,FX!$D$2:$O$2,0))</f>
        <v>924</v>
      </c>
      <c r="T16" s="388" t="s">
        <v>81</v>
      </c>
      <c r="U16" s="388" t="s">
        <v>32</v>
      </c>
      <c r="V16" s="388" t="s">
        <v>83</v>
      </c>
      <c r="W16" s="392" t="str">
        <f>VLOOKUP(I16,Map!$F$18:$H$51,3,0)</f>
        <v>Variable</v>
      </c>
      <c r="X16" s="397" t="s">
        <v>149</v>
      </c>
      <c r="Y16" s="392" t="str">
        <f>VLOOKUP(L16,Map!$C$18:$D$29,2,0)</f>
        <v>TOTAL</v>
      </c>
      <c r="Z16" s="393">
        <f>SUM(Z5:Z15)</f>
        <v>141164774</v>
      </c>
      <c r="AA16" s="393">
        <f t="shared" si="3"/>
        <v>26821307.059999999</v>
      </c>
      <c r="AB16" s="393">
        <f t="shared" si="8"/>
        <v>167986081.06</v>
      </c>
      <c r="AC16" s="394">
        <f t="shared" si="4"/>
        <v>152775.72943722943</v>
      </c>
      <c r="AD16" s="394">
        <f t="shared" si="5"/>
        <v>29027.388593073592</v>
      </c>
      <c r="AE16" s="395">
        <f t="shared" si="9"/>
        <v>181803.11803030301</v>
      </c>
      <c r="AF16" s="398" t="s">
        <v>134</v>
      </c>
    </row>
    <row r="17" spans="2:32" s="1" customFormat="1" ht="13" hidden="1" x14ac:dyDescent="0.3">
      <c r="B17" s="383">
        <v>2026</v>
      </c>
      <c r="C17" s="361" t="s">
        <v>409</v>
      </c>
      <c r="D17" s="361" t="s">
        <v>80</v>
      </c>
      <c r="E17" s="360" t="s">
        <v>88</v>
      </c>
      <c r="F17" s="360" t="s">
        <v>87</v>
      </c>
      <c r="G17" s="362">
        <v>46230</v>
      </c>
      <c r="H17" s="363">
        <v>456288</v>
      </c>
      <c r="I17" s="360" t="s">
        <v>29</v>
      </c>
      <c r="J17" s="364" t="str">
        <f>IFERROR(VLOOKUP(I17,Map!$F$18:$G$56,2,0),"Add in Map")</f>
        <v>3P</v>
      </c>
      <c r="K17" s="364" t="str">
        <f>VLOOKUP(L17,Map!$C$18:$D$29,2,0)</f>
        <v>CNT</v>
      </c>
      <c r="L17" s="360" t="s">
        <v>31</v>
      </c>
      <c r="M17" s="365">
        <v>-10338483.516528925</v>
      </c>
      <c r="N17" s="366">
        <f t="shared" si="10"/>
        <v>0</v>
      </c>
      <c r="O17" s="366">
        <f t="shared" si="11"/>
        <v>-12302795.384669419</v>
      </c>
      <c r="P17" s="367">
        <f t="shared" si="12"/>
        <v>-11188.834974598403</v>
      </c>
      <c r="Q17" s="367">
        <f t="shared" si="13"/>
        <v>0</v>
      </c>
      <c r="R17" s="368">
        <f t="shared" si="7"/>
        <v>-13314.713619772099</v>
      </c>
      <c r="S17" s="384">
        <f>INDEX(FX!$D$3:$O$19,MATCH(B17,FX!$B$3:$B$32,0),MATCH(D17,FX!$D$2:$O$2,0))</f>
        <v>924</v>
      </c>
      <c r="T17" s="360" t="s">
        <v>81</v>
      </c>
      <c r="U17" s="360" t="s">
        <v>32</v>
      </c>
      <c r="V17" s="360" t="s">
        <v>93</v>
      </c>
      <c r="W17" s="364" t="str">
        <f>VLOOKUP(I17,Map!$F$18:$H$51,3,0)</f>
        <v>Variable</v>
      </c>
      <c r="X17" s="370" t="s">
        <v>149</v>
      </c>
      <c r="Y17" s="364" t="str">
        <f>VLOOKUP(L17,Map!$C$18:$D$29,2,0)</f>
        <v>CNT</v>
      </c>
      <c r="Z17" s="365">
        <v>-10338483.516528925</v>
      </c>
      <c r="AA17" s="366">
        <f t="shared" si="3"/>
        <v>0</v>
      </c>
      <c r="AB17" s="366">
        <f t="shared" si="8"/>
        <v>-12302795.384669419</v>
      </c>
      <c r="AC17" s="367">
        <f t="shared" si="4"/>
        <v>-11188.834974598403</v>
      </c>
      <c r="AD17" s="367">
        <f t="shared" si="5"/>
        <v>0</v>
      </c>
      <c r="AE17" s="368">
        <f t="shared" si="9"/>
        <v>-13314.713619772099</v>
      </c>
      <c r="AF17" s="385"/>
    </row>
    <row r="18" spans="2:32" s="1" customFormat="1" ht="13" hidden="1" x14ac:dyDescent="0.3">
      <c r="B18" s="383">
        <v>2026</v>
      </c>
      <c r="C18" s="361" t="s">
        <v>409</v>
      </c>
      <c r="D18" s="361" t="s">
        <v>80</v>
      </c>
      <c r="E18" s="360" t="s">
        <v>88</v>
      </c>
      <c r="F18" s="360" t="s">
        <v>87</v>
      </c>
      <c r="G18" s="362">
        <v>46230</v>
      </c>
      <c r="H18" s="363">
        <v>456288</v>
      </c>
      <c r="I18" s="360" t="s">
        <v>29</v>
      </c>
      <c r="J18" s="364" t="str">
        <f>IFERROR(VLOOKUP(I18,Map!$F$18:$G$56,2,0),"Add in Map")</f>
        <v>3P</v>
      </c>
      <c r="K18" s="364" t="str">
        <f>VLOOKUP(L18,Map!$C$18:$D$29,2,0)</f>
        <v>CVT</v>
      </c>
      <c r="L18" s="360" t="s">
        <v>36</v>
      </c>
      <c r="M18" s="365">
        <v>-122348.9173553719</v>
      </c>
      <c r="N18" s="366">
        <f t="shared" si="10"/>
        <v>0</v>
      </c>
      <c r="O18" s="366">
        <f t="shared" si="11"/>
        <v>-145595.21165289255</v>
      </c>
      <c r="P18" s="367">
        <f t="shared" si="12"/>
        <v>-132.41224822009946</v>
      </c>
      <c r="Q18" s="367">
        <f t="shared" si="13"/>
        <v>0</v>
      </c>
      <c r="R18" s="368">
        <f t="shared" si="7"/>
        <v>-157.57057538191836</v>
      </c>
      <c r="S18" s="384">
        <f>INDEX(FX!$D$3:$O$19,MATCH(B18,FX!$B$3:$B$32,0),MATCH(D18,FX!$D$2:$O$2,0))</f>
        <v>924</v>
      </c>
      <c r="T18" s="360" t="s">
        <v>81</v>
      </c>
      <c r="U18" s="360" t="s">
        <v>32</v>
      </c>
      <c r="V18" s="360" t="s">
        <v>93</v>
      </c>
      <c r="W18" s="364" t="str">
        <f>VLOOKUP(I18,Map!$F$18:$H$51,3,0)</f>
        <v>Variable</v>
      </c>
      <c r="X18" s="370" t="s">
        <v>149</v>
      </c>
      <c r="Y18" s="364" t="str">
        <f>VLOOKUP(L18,Map!$C$18:$D$29,2,0)</f>
        <v>CVT</v>
      </c>
      <c r="Z18" s="365">
        <v>-122348.9173553719</v>
      </c>
      <c r="AA18" s="366">
        <f t="shared" si="3"/>
        <v>0</v>
      </c>
      <c r="AB18" s="366">
        <f t="shared" si="8"/>
        <v>-145595.21165289255</v>
      </c>
      <c r="AC18" s="367">
        <f t="shared" si="4"/>
        <v>-132.41224822009946</v>
      </c>
      <c r="AD18" s="367">
        <f t="shared" si="5"/>
        <v>0</v>
      </c>
      <c r="AE18" s="368">
        <f t="shared" si="9"/>
        <v>-157.57057538191836</v>
      </c>
      <c r="AF18" s="385"/>
    </row>
    <row r="19" spans="2:32" s="1" customFormat="1" ht="13" hidden="1" x14ac:dyDescent="0.3">
      <c r="B19" s="383">
        <v>2026</v>
      </c>
      <c r="C19" s="361" t="s">
        <v>409</v>
      </c>
      <c r="D19" s="361" t="s">
        <v>80</v>
      </c>
      <c r="E19" s="360" t="s">
        <v>88</v>
      </c>
      <c r="F19" s="360" t="s">
        <v>87</v>
      </c>
      <c r="G19" s="362">
        <v>46230</v>
      </c>
      <c r="H19" s="363">
        <v>456288</v>
      </c>
      <c r="I19" s="360" t="s">
        <v>29</v>
      </c>
      <c r="J19" s="364" t="str">
        <f>IFERROR(VLOOKUP(I19,Map!$F$18:$G$56,2,0),"Add in Map")</f>
        <v>3P</v>
      </c>
      <c r="K19" s="364" t="str">
        <f>VLOOKUP(L19,Map!$C$18:$D$29,2,0)</f>
        <v>CDT</v>
      </c>
      <c r="L19" s="360" t="s">
        <v>38</v>
      </c>
      <c r="M19" s="365">
        <v>-428221.21074380167</v>
      </c>
      <c r="N19" s="366">
        <f t="shared" si="10"/>
        <v>0</v>
      </c>
      <c r="O19" s="366">
        <f t="shared" si="11"/>
        <v>-509583.24078512395</v>
      </c>
      <c r="P19" s="367">
        <f t="shared" si="12"/>
        <v>-463.44286877034813</v>
      </c>
      <c r="Q19" s="367">
        <f t="shared" si="13"/>
        <v>0</v>
      </c>
      <c r="R19" s="368">
        <f t="shared" si="7"/>
        <v>-551.49701383671425</v>
      </c>
      <c r="S19" s="384">
        <f>INDEX(FX!$D$3:$O$19,MATCH(B19,FX!$B$3:$B$32,0),MATCH(D19,FX!$D$2:$O$2,0))</f>
        <v>924</v>
      </c>
      <c r="T19" s="360" t="s">
        <v>81</v>
      </c>
      <c r="U19" s="360" t="s">
        <v>32</v>
      </c>
      <c r="V19" s="360" t="s">
        <v>93</v>
      </c>
      <c r="W19" s="364" t="str">
        <f>VLOOKUP(I19,Map!$F$18:$H$51,3,0)</f>
        <v>Variable</v>
      </c>
      <c r="X19" s="370" t="s">
        <v>149</v>
      </c>
      <c r="Y19" s="364" t="str">
        <f>VLOOKUP(L19,Map!$C$18:$D$29,2,0)</f>
        <v>CDT</v>
      </c>
      <c r="Z19" s="365">
        <v>-428221.21074380167</v>
      </c>
      <c r="AA19" s="366">
        <f t="shared" si="3"/>
        <v>0</v>
      </c>
      <c r="AB19" s="366">
        <f t="shared" si="8"/>
        <v>-509583.24078512395</v>
      </c>
      <c r="AC19" s="367">
        <f t="shared" si="4"/>
        <v>-463.44286877034813</v>
      </c>
      <c r="AD19" s="367">
        <f t="shared" si="5"/>
        <v>0</v>
      </c>
      <c r="AE19" s="368">
        <f t="shared" si="9"/>
        <v>-551.49701383671425</v>
      </c>
      <c r="AF19" s="385"/>
    </row>
    <row r="20" spans="2:32" s="1" customFormat="1" ht="13" hidden="1" x14ac:dyDescent="0.3">
      <c r="B20" s="383">
        <v>2026</v>
      </c>
      <c r="C20" s="361" t="s">
        <v>409</v>
      </c>
      <c r="D20" s="361" t="s">
        <v>80</v>
      </c>
      <c r="E20" s="360" t="s">
        <v>88</v>
      </c>
      <c r="F20" s="360" t="s">
        <v>87</v>
      </c>
      <c r="G20" s="362">
        <v>46230</v>
      </c>
      <c r="H20" s="363">
        <v>456288</v>
      </c>
      <c r="I20" s="360" t="s">
        <v>29</v>
      </c>
      <c r="J20" s="364" t="str">
        <f>IFERROR(VLOOKUP(I20,Map!$F$18:$G$56,2,0),"Add in Map")</f>
        <v>3P</v>
      </c>
      <c r="K20" s="364" t="str">
        <f>VLOOKUP(L20,Map!$C$18:$D$29,2,0)</f>
        <v>DFT</v>
      </c>
      <c r="L20" s="360" t="s">
        <v>40</v>
      </c>
      <c r="M20" s="365">
        <v>-30709578.256198347</v>
      </c>
      <c r="N20" s="366">
        <f t="shared" si="10"/>
        <v>0</v>
      </c>
      <c r="O20" s="366">
        <f t="shared" si="11"/>
        <v>-36544398.12487603</v>
      </c>
      <c r="P20" s="367">
        <f t="shared" si="12"/>
        <v>-33235.474303244962</v>
      </c>
      <c r="Q20" s="367">
        <f t="shared" si="13"/>
        <v>0</v>
      </c>
      <c r="R20" s="368">
        <f t="shared" si="7"/>
        <v>-39550.214420861506</v>
      </c>
      <c r="S20" s="384">
        <f>INDEX(FX!$D$3:$O$19,MATCH(B20,FX!$B$3:$B$32,0),MATCH(D20,FX!$D$2:$O$2,0))</f>
        <v>924</v>
      </c>
      <c r="T20" s="360" t="s">
        <v>81</v>
      </c>
      <c r="U20" s="360" t="s">
        <v>32</v>
      </c>
      <c r="V20" s="360" t="s">
        <v>93</v>
      </c>
      <c r="W20" s="364" t="str">
        <f>VLOOKUP(I20,Map!$F$18:$H$51,3,0)</f>
        <v>Variable</v>
      </c>
      <c r="X20" s="370" t="s">
        <v>149</v>
      </c>
      <c r="Y20" s="364" t="str">
        <f>VLOOKUP(L20,Map!$C$18:$D$29,2,0)</f>
        <v>DFT</v>
      </c>
      <c r="Z20" s="365">
        <v>-30709578.256198347</v>
      </c>
      <c r="AA20" s="366">
        <f t="shared" si="3"/>
        <v>0</v>
      </c>
      <c r="AB20" s="366">
        <f t="shared" si="8"/>
        <v>-36544398.12487603</v>
      </c>
      <c r="AC20" s="367">
        <f t="shared" si="4"/>
        <v>-33235.474303244962</v>
      </c>
      <c r="AD20" s="367">
        <f t="shared" si="5"/>
        <v>0</v>
      </c>
      <c r="AE20" s="368">
        <f t="shared" si="9"/>
        <v>-39550.214420861506</v>
      </c>
      <c r="AF20" s="385"/>
    </row>
    <row r="21" spans="2:32" s="1" customFormat="1" ht="13" hidden="1" x14ac:dyDescent="0.3">
      <c r="B21" s="383">
        <v>2026</v>
      </c>
      <c r="C21" s="361" t="s">
        <v>409</v>
      </c>
      <c r="D21" s="361" t="s">
        <v>80</v>
      </c>
      <c r="E21" s="360" t="s">
        <v>88</v>
      </c>
      <c r="F21" s="360" t="s">
        <v>87</v>
      </c>
      <c r="G21" s="362">
        <v>46230</v>
      </c>
      <c r="H21" s="363">
        <v>456288</v>
      </c>
      <c r="I21" s="360" t="s">
        <v>29</v>
      </c>
      <c r="J21" s="364" t="str">
        <f>IFERROR(VLOOKUP(I21,Map!$F$18:$G$56,2,0),"Add in Map")</f>
        <v>3P</v>
      </c>
      <c r="K21" s="364" t="str">
        <f>VLOOKUP(L21,Map!$C$18:$D$29,2,0)</f>
        <v>DVT</v>
      </c>
      <c r="L21" s="360" t="s">
        <v>42</v>
      </c>
      <c r="M21" s="365">
        <v>-61174.458677685951</v>
      </c>
      <c r="N21" s="366">
        <f t="shared" si="10"/>
        <v>0</v>
      </c>
      <c r="O21" s="366">
        <f t="shared" si="11"/>
        <v>-72797.605826446277</v>
      </c>
      <c r="P21" s="367">
        <f t="shared" si="12"/>
        <v>-66.206124110049728</v>
      </c>
      <c r="Q21" s="367">
        <f t="shared" si="13"/>
        <v>0</v>
      </c>
      <c r="R21" s="368">
        <f t="shared" si="7"/>
        <v>-78.78528769095918</v>
      </c>
      <c r="S21" s="384">
        <f>INDEX(FX!$D$3:$O$19,MATCH(B21,FX!$B$3:$B$32,0),MATCH(D21,FX!$D$2:$O$2,0))</f>
        <v>924</v>
      </c>
      <c r="T21" s="360" t="s">
        <v>81</v>
      </c>
      <c r="U21" s="360" t="s">
        <v>32</v>
      </c>
      <c r="V21" s="360" t="s">
        <v>93</v>
      </c>
      <c r="W21" s="364" t="str">
        <f>VLOOKUP(I21,Map!$F$18:$H$51,3,0)</f>
        <v>Variable</v>
      </c>
      <c r="X21" s="370" t="s">
        <v>149</v>
      </c>
      <c r="Y21" s="364" t="str">
        <f>VLOOKUP(L21,Map!$C$18:$D$29,2,0)</f>
        <v>DVT</v>
      </c>
      <c r="Z21" s="365">
        <v>-61174.458677685951</v>
      </c>
      <c r="AA21" s="366">
        <f t="shared" si="3"/>
        <v>0</v>
      </c>
      <c r="AB21" s="366">
        <f t="shared" si="8"/>
        <v>-72797.605826446277</v>
      </c>
      <c r="AC21" s="367">
        <f t="shared" si="4"/>
        <v>-66.206124110049728</v>
      </c>
      <c r="AD21" s="367">
        <f t="shared" si="5"/>
        <v>0</v>
      </c>
      <c r="AE21" s="368">
        <f t="shared" si="9"/>
        <v>-78.78528769095918</v>
      </c>
      <c r="AF21" s="385"/>
    </row>
    <row r="22" spans="2:32" s="1" customFormat="1" ht="13" hidden="1" x14ac:dyDescent="0.3">
      <c r="B22" s="383">
        <v>2026</v>
      </c>
      <c r="C22" s="361" t="s">
        <v>409</v>
      </c>
      <c r="D22" s="361" t="s">
        <v>80</v>
      </c>
      <c r="E22" s="360" t="s">
        <v>88</v>
      </c>
      <c r="F22" s="360" t="s">
        <v>87</v>
      </c>
      <c r="G22" s="362">
        <v>46230</v>
      </c>
      <c r="H22" s="363">
        <v>456288</v>
      </c>
      <c r="I22" s="360" t="s">
        <v>29</v>
      </c>
      <c r="J22" s="364" t="str">
        <f>IFERROR(VLOOKUP(I22,Map!$F$18:$G$56,2,0),"Add in Map")</f>
        <v>3P</v>
      </c>
      <c r="K22" s="364" t="str">
        <f>VLOOKUP(L22,Map!$C$18:$D$29,2,0)</f>
        <v>GLT</v>
      </c>
      <c r="L22" s="360" t="s">
        <v>44</v>
      </c>
      <c r="M22" s="365">
        <v>-14559521.165289257</v>
      </c>
      <c r="N22" s="366">
        <f t="shared" si="10"/>
        <v>0</v>
      </c>
      <c r="O22" s="366">
        <f t="shared" si="11"/>
        <v>-17325830.186694216</v>
      </c>
      <c r="P22" s="367">
        <f t="shared" si="12"/>
        <v>-15757.057538191837</v>
      </c>
      <c r="Q22" s="367">
        <f t="shared" si="13"/>
        <v>0</v>
      </c>
      <c r="R22" s="368">
        <f t="shared" si="7"/>
        <v>-18750.898470448286</v>
      </c>
      <c r="S22" s="384">
        <f>INDEX(FX!$D$3:$O$19,MATCH(B22,FX!$B$3:$B$32,0),MATCH(D22,FX!$D$2:$O$2,0))</f>
        <v>924</v>
      </c>
      <c r="T22" s="360" t="s">
        <v>81</v>
      </c>
      <c r="U22" s="360" t="s">
        <v>32</v>
      </c>
      <c r="V22" s="360" t="s">
        <v>93</v>
      </c>
      <c r="W22" s="364" t="str">
        <f>VLOOKUP(I22,Map!$F$18:$H$51,3,0)</f>
        <v>Variable</v>
      </c>
      <c r="X22" s="370" t="s">
        <v>149</v>
      </c>
      <c r="Y22" s="364" t="str">
        <f>VLOOKUP(L22,Map!$C$18:$D$29,2,0)</f>
        <v>GLT</v>
      </c>
      <c r="Z22" s="365">
        <v>-14559521.165289257</v>
      </c>
      <c r="AA22" s="366">
        <f t="shared" si="3"/>
        <v>0</v>
      </c>
      <c r="AB22" s="366">
        <f t="shared" si="8"/>
        <v>-17325830.186694216</v>
      </c>
      <c r="AC22" s="367">
        <f t="shared" si="4"/>
        <v>-15757.057538191837</v>
      </c>
      <c r="AD22" s="367">
        <f t="shared" si="5"/>
        <v>0</v>
      </c>
      <c r="AE22" s="368">
        <f t="shared" si="9"/>
        <v>-18750.898470448286</v>
      </c>
      <c r="AF22" s="385"/>
    </row>
    <row r="23" spans="2:32" s="1" customFormat="1" ht="13" hidden="1" x14ac:dyDescent="0.3">
      <c r="B23" s="383">
        <v>2026</v>
      </c>
      <c r="C23" s="361" t="s">
        <v>409</v>
      </c>
      <c r="D23" s="361" t="s">
        <v>80</v>
      </c>
      <c r="E23" s="360" t="s">
        <v>88</v>
      </c>
      <c r="F23" s="360" t="s">
        <v>87</v>
      </c>
      <c r="G23" s="362">
        <v>46230</v>
      </c>
      <c r="H23" s="363">
        <v>456288</v>
      </c>
      <c r="I23" s="360" t="s">
        <v>29</v>
      </c>
      <c r="J23" s="364" t="str">
        <f>IFERROR(VLOOKUP(I23,Map!$F$18:$G$56,2,0),"Add in Map")</f>
        <v>3P</v>
      </c>
      <c r="K23" s="364" t="str">
        <f>VLOOKUP(L23,Map!$C$18:$D$29,2,0)</f>
        <v>PNT</v>
      </c>
      <c r="L23" s="360" t="s">
        <v>46</v>
      </c>
      <c r="M23" s="365">
        <v>-917616.88016528927</v>
      </c>
      <c r="N23" s="366">
        <f t="shared" si="10"/>
        <v>0</v>
      </c>
      <c r="O23" s="366">
        <f t="shared" si="11"/>
        <v>-1091964.0873966941</v>
      </c>
      <c r="P23" s="367">
        <f t="shared" si="12"/>
        <v>-993.09186165074595</v>
      </c>
      <c r="Q23" s="367">
        <f t="shared" si="13"/>
        <v>0</v>
      </c>
      <c r="R23" s="368">
        <f t="shared" si="7"/>
        <v>-1181.7793153643877</v>
      </c>
      <c r="S23" s="384">
        <f>INDEX(FX!$D$3:$O$19,MATCH(B23,FX!$B$3:$B$32,0),MATCH(D23,FX!$D$2:$O$2,0))</f>
        <v>924</v>
      </c>
      <c r="T23" s="360" t="s">
        <v>81</v>
      </c>
      <c r="U23" s="360" t="s">
        <v>32</v>
      </c>
      <c r="V23" s="360" t="s">
        <v>93</v>
      </c>
      <c r="W23" s="364" t="str">
        <f>VLOOKUP(I23,Map!$F$18:$H$51,3,0)</f>
        <v>Variable</v>
      </c>
      <c r="X23" s="370" t="s">
        <v>149</v>
      </c>
      <c r="Y23" s="364" t="str">
        <f>VLOOKUP(L23,Map!$C$18:$D$29,2,0)</f>
        <v>PNT</v>
      </c>
      <c r="Z23" s="365">
        <v>-917616.88016528927</v>
      </c>
      <c r="AA23" s="366">
        <f t="shared" si="3"/>
        <v>0</v>
      </c>
      <c r="AB23" s="366">
        <f t="shared" si="8"/>
        <v>-1091964.0873966941</v>
      </c>
      <c r="AC23" s="367">
        <f t="shared" si="4"/>
        <v>-993.09186165074595</v>
      </c>
      <c r="AD23" s="367">
        <f t="shared" si="5"/>
        <v>0</v>
      </c>
      <c r="AE23" s="368">
        <f t="shared" si="9"/>
        <v>-1181.7793153643877</v>
      </c>
      <c r="AF23" s="385"/>
    </row>
    <row r="24" spans="2:32" s="1" customFormat="1" ht="13" hidden="1" x14ac:dyDescent="0.3">
      <c r="B24" s="383">
        <v>2026</v>
      </c>
      <c r="C24" s="361" t="s">
        <v>409</v>
      </c>
      <c r="D24" s="361" t="s">
        <v>80</v>
      </c>
      <c r="E24" s="360" t="s">
        <v>88</v>
      </c>
      <c r="F24" s="360" t="s">
        <v>87</v>
      </c>
      <c r="G24" s="362">
        <v>46230</v>
      </c>
      <c r="H24" s="363">
        <v>456288</v>
      </c>
      <c r="I24" s="360" t="s">
        <v>29</v>
      </c>
      <c r="J24" s="364" t="str">
        <f>IFERROR(VLOOKUP(I24,Map!$F$18:$G$56,2,0),"Add in Map")</f>
        <v>3P</v>
      </c>
      <c r="K24" s="364" t="str">
        <f>VLOOKUP(L24,Map!$C$18:$D$29,2,0)</f>
        <v>GTT</v>
      </c>
      <c r="L24" s="360" t="s">
        <v>48</v>
      </c>
      <c r="M24" s="365">
        <v>-1529361.4669421487</v>
      </c>
      <c r="N24" s="366">
        <f t="shared" si="10"/>
        <v>0</v>
      </c>
      <c r="O24" s="366">
        <f t="shared" si="11"/>
        <v>-1819940.1456611569</v>
      </c>
      <c r="P24" s="367">
        <f t="shared" si="12"/>
        <v>-1655.1531027512433</v>
      </c>
      <c r="Q24" s="367">
        <f t="shared" si="13"/>
        <v>0</v>
      </c>
      <c r="R24" s="368">
        <f t="shared" si="7"/>
        <v>-1969.6321922739794</v>
      </c>
      <c r="S24" s="384">
        <f>INDEX(FX!$D$3:$O$19,MATCH(B24,FX!$B$3:$B$32,0),MATCH(D24,FX!$D$2:$O$2,0))</f>
        <v>924</v>
      </c>
      <c r="T24" s="360" t="s">
        <v>81</v>
      </c>
      <c r="U24" s="360" t="s">
        <v>32</v>
      </c>
      <c r="V24" s="360" t="s">
        <v>93</v>
      </c>
      <c r="W24" s="364" t="str">
        <f>VLOOKUP(I24,Map!$F$18:$H$51,3,0)</f>
        <v>Variable</v>
      </c>
      <c r="X24" s="370" t="s">
        <v>149</v>
      </c>
      <c r="Y24" s="364" t="str">
        <f>VLOOKUP(L24,Map!$C$18:$D$29,2,0)</f>
        <v>GTT</v>
      </c>
      <c r="Z24" s="365">
        <v>-1529361.4669421487</v>
      </c>
      <c r="AA24" s="366">
        <f t="shared" si="3"/>
        <v>0</v>
      </c>
      <c r="AB24" s="366">
        <f t="shared" si="8"/>
        <v>-1819940.1456611569</v>
      </c>
      <c r="AC24" s="367">
        <f t="shared" si="4"/>
        <v>-1655.1531027512433</v>
      </c>
      <c r="AD24" s="367">
        <f t="shared" si="5"/>
        <v>0</v>
      </c>
      <c r="AE24" s="368">
        <f t="shared" si="9"/>
        <v>-1969.6321922739794</v>
      </c>
      <c r="AF24" s="385"/>
    </row>
    <row r="25" spans="2:32" s="1" customFormat="1" ht="13" hidden="1" x14ac:dyDescent="0.3">
      <c r="B25" s="383">
        <v>2026</v>
      </c>
      <c r="C25" s="361" t="s">
        <v>409</v>
      </c>
      <c r="D25" s="361" t="s">
        <v>80</v>
      </c>
      <c r="E25" s="360" t="s">
        <v>88</v>
      </c>
      <c r="F25" s="360" t="s">
        <v>87</v>
      </c>
      <c r="G25" s="362">
        <v>46230</v>
      </c>
      <c r="H25" s="363">
        <v>456288</v>
      </c>
      <c r="I25" s="360" t="s">
        <v>29</v>
      </c>
      <c r="J25" s="364" t="str">
        <f>IFERROR(VLOOKUP(I25,Map!$F$18:$G$56,2,0),"Add in Map")</f>
        <v>3P</v>
      </c>
      <c r="K25" s="364" t="str">
        <f>VLOOKUP(L25,Map!$C$18:$D$29,2,0)</f>
        <v>DGT</v>
      </c>
      <c r="L25" s="360" t="s">
        <v>50</v>
      </c>
      <c r="M25" s="365">
        <v>-428221.21074380167</v>
      </c>
      <c r="N25" s="366">
        <f t="shared" si="10"/>
        <v>0</v>
      </c>
      <c r="O25" s="366">
        <f t="shared" si="11"/>
        <v>-509583.24078512395</v>
      </c>
      <c r="P25" s="367">
        <f t="shared" si="12"/>
        <v>-463.44286877034813</v>
      </c>
      <c r="Q25" s="367">
        <f t="shared" si="13"/>
        <v>0</v>
      </c>
      <c r="R25" s="368">
        <f t="shared" si="7"/>
        <v>-551.49701383671425</v>
      </c>
      <c r="S25" s="384">
        <f>INDEX(FX!$D$3:$O$19,MATCH(B25,FX!$B$3:$B$32,0),MATCH(D25,FX!$D$2:$O$2,0))</f>
        <v>924</v>
      </c>
      <c r="T25" s="360" t="s">
        <v>81</v>
      </c>
      <c r="U25" s="360" t="s">
        <v>32</v>
      </c>
      <c r="V25" s="360" t="s">
        <v>93</v>
      </c>
      <c r="W25" s="364" t="str">
        <f>VLOOKUP(I25,Map!$F$18:$H$51,3,0)</f>
        <v>Variable</v>
      </c>
      <c r="X25" s="370" t="s">
        <v>149</v>
      </c>
      <c r="Y25" s="364" t="str">
        <f>VLOOKUP(L25,Map!$C$18:$D$29,2,0)</f>
        <v>DGT</v>
      </c>
      <c r="Z25" s="365">
        <v>-428221.21074380167</v>
      </c>
      <c r="AA25" s="366">
        <f t="shared" si="3"/>
        <v>0</v>
      </c>
      <c r="AB25" s="366">
        <f t="shared" si="8"/>
        <v>-509583.24078512395</v>
      </c>
      <c r="AC25" s="367">
        <f t="shared" si="4"/>
        <v>-463.44286877034813</v>
      </c>
      <c r="AD25" s="367">
        <f t="shared" si="5"/>
        <v>0</v>
      </c>
      <c r="AE25" s="368">
        <f t="shared" si="9"/>
        <v>-551.49701383671425</v>
      </c>
      <c r="AF25" s="385"/>
    </row>
    <row r="26" spans="2:32" s="1" customFormat="1" ht="13" hidden="1" x14ac:dyDescent="0.3">
      <c r="B26" s="383">
        <v>2026</v>
      </c>
      <c r="C26" s="361" t="s">
        <v>409</v>
      </c>
      <c r="D26" s="361" t="s">
        <v>80</v>
      </c>
      <c r="E26" s="360" t="s">
        <v>88</v>
      </c>
      <c r="F26" s="360" t="s">
        <v>87</v>
      </c>
      <c r="G26" s="362">
        <v>46230</v>
      </c>
      <c r="H26" s="363">
        <v>456288</v>
      </c>
      <c r="I26" s="360" t="s">
        <v>29</v>
      </c>
      <c r="J26" s="364" t="str">
        <f>IFERROR(VLOOKUP(I26,Map!$F$18:$G$56,2,0),"Add in Map")</f>
        <v>3P</v>
      </c>
      <c r="K26" s="364" t="str">
        <f>VLOOKUP(L26,Map!$C$18:$D$29,2,0)</f>
        <v>DLT</v>
      </c>
      <c r="L26" s="360" t="s">
        <v>52</v>
      </c>
      <c r="M26" s="365">
        <v>-122348.9173553719</v>
      </c>
      <c r="N26" s="366">
        <f t="shared" si="10"/>
        <v>0</v>
      </c>
      <c r="O26" s="366">
        <f t="shared" si="11"/>
        <v>-145595.21165289255</v>
      </c>
      <c r="P26" s="367">
        <f t="shared" si="12"/>
        <v>-132.41224822009946</v>
      </c>
      <c r="Q26" s="367">
        <f t="shared" si="13"/>
        <v>0</v>
      </c>
      <c r="R26" s="368">
        <f t="shared" si="7"/>
        <v>-157.57057538191836</v>
      </c>
      <c r="S26" s="384">
        <f>INDEX(FX!$D$3:$O$19,MATCH(B26,FX!$B$3:$B$32,0),MATCH(D26,FX!$D$2:$O$2,0))</f>
        <v>924</v>
      </c>
      <c r="T26" s="360" t="s">
        <v>81</v>
      </c>
      <c r="U26" s="360" t="s">
        <v>32</v>
      </c>
      <c r="V26" s="360" t="s">
        <v>93</v>
      </c>
      <c r="W26" s="364" t="str">
        <f>VLOOKUP(I26,Map!$F$18:$H$51,3,0)</f>
        <v>Variable</v>
      </c>
      <c r="X26" s="370" t="s">
        <v>149</v>
      </c>
      <c r="Y26" s="364" t="str">
        <f>VLOOKUP(L26,Map!$C$18:$D$29,2,0)</f>
        <v>DLT</v>
      </c>
      <c r="Z26" s="365">
        <v>-122348.9173553719</v>
      </c>
      <c r="AA26" s="366">
        <f t="shared" si="3"/>
        <v>0</v>
      </c>
      <c r="AB26" s="366">
        <f t="shared" si="8"/>
        <v>-145595.21165289255</v>
      </c>
      <c r="AC26" s="367">
        <f t="shared" si="4"/>
        <v>-132.41224822009946</v>
      </c>
      <c r="AD26" s="367">
        <f t="shared" si="5"/>
        <v>0</v>
      </c>
      <c r="AE26" s="368">
        <f t="shared" si="9"/>
        <v>-157.57057538191836</v>
      </c>
      <c r="AF26" s="385"/>
    </row>
    <row r="27" spans="2:32" s="1" customFormat="1" ht="13" hidden="1" x14ac:dyDescent="0.3">
      <c r="B27" s="383">
        <v>2026</v>
      </c>
      <c r="C27" s="361" t="s">
        <v>409</v>
      </c>
      <c r="D27" s="361" t="s">
        <v>80</v>
      </c>
      <c r="E27" s="360" t="s">
        <v>88</v>
      </c>
      <c r="F27" s="360" t="s">
        <v>87</v>
      </c>
      <c r="G27" s="362">
        <v>46230</v>
      </c>
      <c r="H27" s="363">
        <v>456288</v>
      </c>
      <c r="I27" s="360" t="s">
        <v>29</v>
      </c>
      <c r="J27" s="364" t="str">
        <f>IFERROR(VLOOKUP(I27,Map!$F$18:$G$56,2,0),"Add in Map")</f>
        <v>3P</v>
      </c>
      <c r="K27" s="364" t="str">
        <f>VLOOKUP(L27,Map!$C$18:$D$29,2,0)</f>
        <v>DMT</v>
      </c>
      <c r="L27" s="360" t="s">
        <v>54</v>
      </c>
      <c r="M27" s="365">
        <v>0</v>
      </c>
      <c r="N27" s="366">
        <f t="shared" si="10"/>
        <v>0</v>
      </c>
      <c r="O27" s="366">
        <f t="shared" si="11"/>
        <v>0</v>
      </c>
      <c r="P27" s="367">
        <f t="shared" si="12"/>
        <v>0</v>
      </c>
      <c r="Q27" s="367">
        <f t="shared" si="13"/>
        <v>0</v>
      </c>
      <c r="R27" s="368">
        <f t="shared" si="7"/>
        <v>0</v>
      </c>
      <c r="S27" s="384">
        <f>INDEX(FX!$D$3:$O$19,MATCH(B27,FX!$B$3:$B$32,0),MATCH(D27,FX!$D$2:$O$2,0))</f>
        <v>924</v>
      </c>
      <c r="T27" s="360" t="s">
        <v>81</v>
      </c>
      <c r="U27" s="360" t="s">
        <v>32</v>
      </c>
      <c r="V27" s="360" t="s">
        <v>93</v>
      </c>
      <c r="W27" s="364" t="str">
        <f>VLOOKUP(I27,Map!$F$18:$H$51,3,0)</f>
        <v>Variable</v>
      </c>
      <c r="X27" s="370" t="s">
        <v>149</v>
      </c>
      <c r="Y27" s="364" t="str">
        <f>VLOOKUP(L27,Map!$C$18:$D$29,2,0)</f>
        <v>DMT</v>
      </c>
      <c r="Z27" s="365">
        <v>0</v>
      </c>
      <c r="AA27" s="366">
        <f t="shared" si="3"/>
        <v>0</v>
      </c>
      <c r="AB27" s="366">
        <f t="shared" si="8"/>
        <v>0</v>
      </c>
      <c r="AC27" s="367">
        <f t="shared" si="4"/>
        <v>0</v>
      </c>
      <c r="AD27" s="367">
        <f t="shared" si="5"/>
        <v>0</v>
      </c>
      <c r="AE27" s="368">
        <f t="shared" si="9"/>
        <v>0</v>
      </c>
      <c r="AF27" s="385"/>
    </row>
    <row r="28" spans="2:32" s="105" customFormat="1" hidden="1" x14ac:dyDescent="0.35">
      <c r="B28" s="387">
        <v>2026</v>
      </c>
      <c r="C28" s="389" t="s">
        <v>409</v>
      </c>
      <c r="D28" s="389" t="s">
        <v>80</v>
      </c>
      <c r="E28" s="388" t="s">
        <v>88</v>
      </c>
      <c r="F28" s="388" t="s">
        <v>87</v>
      </c>
      <c r="G28" s="390">
        <v>46230</v>
      </c>
      <c r="H28" s="391">
        <v>456288</v>
      </c>
      <c r="I28" s="388" t="s">
        <v>29</v>
      </c>
      <c r="J28" s="392" t="str">
        <f>IFERROR(VLOOKUP(I28,Map!$F$18:$G$56,2,0),"Add in Map")</f>
        <v>3P</v>
      </c>
      <c r="K28" s="392" t="str">
        <f>VLOOKUP(L28,Map!$C$18:$D$29,2,0)</f>
        <v>TOTAL</v>
      </c>
      <c r="L28" s="388" t="s">
        <v>56</v>
      </c>
      <c r="M28" s="393">
        <f>SUM(M17:M27)</f>
        <v>-59216875.999999993</v>
      </c>
      <c r="N28" s="393">
        <f t="shared" si="10"/>
        <v>-11251206.439999999</v>
      </c>
      <c r="O28" s="393">
        <f t="shared" si="11"/>
        <v>-70468082.439999983</v>
      </c>
      <c r="P28" s="394">
        <f t="shared" si="12"/>
        <v>-64087.528138528127</v>
      </c>
      <c r="Q28" s="394">
        <f t="shared" si="13"/>
        <v>-12176.630346320344</v>
      </c>
      <c r="R28" s="395">
        <f t="shared" si="7"/>
        <v>-76264.158484848464</v>
      </c>
      <c r="S28" s="396">
        <f>INDEX(FX!$D$3:$O$19,MATCH(B28,FX!$B$3:$B$32,0),MATCH(D28,FX!$D$2:$O$2,0))</f>
        <v>924</v>
      </c>
      <c r="T28" s="388" t="s">
        <v>81</v>
      </c>
      <c r="U28" s="388" t="s">
        <v>32</v>
      </c>
      <c r="V28" s="388" t="s">
        <v>93</v>
      </c>
      <c r="W28" s="392" t="str">
        <f>VLOOKUP(I28,Map!$F$18:$H$51,3,0)</f>
        <v>Variable</v>
      </c>
      <c r="X28" s="397" t="s">
        <v>149</v>
      </c>
      <c r="Y28" s="392" t="str">
        <f>VLOOKUP(L28,Map!$C$18:$D$29,2,0)</f>
        <v>TOTAL</v>
      </c>
      <c r="Z28" s="393">
        <f>SUM(Z17:Z27)</f>
        <v>-59216875.999999993</v>
      </c>
      <c r="AA28" s="393">
        <f t="shared" si="3"/>
        <v>-11251206.439999999</v>
      </c>
      <c r="AB28" s="393">
        <f t="shared" si="8"/>
        <v>-70468082.439999983</v>
      </c>
      <c r="AC28" s="394">
        <f t="shared" si="4"/>
        <v>-64087.528138528127</v>
      </c>
      <c r="AD28" s="394">
        <f t="shared" si="5"/>
        <v>-12176.630346320344</v>
      </c>
      <c r="AE28" s="395">
        <f t="shared" si="9"/>
        <v>-76264.158484848464</v>
      </c>
      <c r="AF28" s="399" t="s">
        <v>137</v>
      </c>
    </row>
    <row r="29" spans="2:32" s="5" customFormat="1" ht="13" hidden="1" x14ac:dyDescent="0.3">
      <c r="B29" s="400">
        <v>2026</v>
      </c>
      <c r="C29" s="402" t="s">
        <v>411</v>
      </c>
      <c r="D29" s="402" t="s">
        <v>162</v>
      </c>
      <c r="E29" s="401" t="s">
        <v>88</v>
      </c>
      <c r="F29" s="401" t="s">
        <v>87</v>
      </c>
      <c r="G29" s="403">
        <v>46196</v>
      </c>
      <c r="H29" s="404">
        <v>473180</v>
      </c>
      <c r="I29" s="401" t="s">
        <v>29</v>
      </c>
      <c r="J29" s="405" t="str">
        <f>IFERROR(VLOOKUP(I29,Map!$F$18:$G$56,2,0),"Add in Map")</f>
        <v>3P</v>
      </c>
      <c r="K29" s="405" t="str">
        <f>VLOOKUP(L29,Map!$C$18:$D$29,2,0)</f>
        <v>CNT</v>
      </c>
      <c r="L29" s="401" t="s">
        <v>31</v>
      </c>
      <c r="M29" s="406">
        <v>46857021.259024292</v>
      </c>
      <c r="N29" s="407">
        <f t="shared" ref="N29:N52" si="14">IF(L29="TOTAL",(M29*0.19),0)</f>
        <v>0</v>
      </c>
      <c r="O29" s="407">
        <f t="shared" ref="O29:O52" si="15">M29*1.19</f>
        <v>55759855.298238903</v>
      </c>
      <c r="P29" s="408">
        <f t="shared" ref="P29:P52" si="16">M29/S29</f>
        <v>50766.003530903894</v>
      </c>
      <c r="Q29" s="408">
        <f t="shared" ref="Q29:Q52" si="17">IF(L29="TOTAL",(P29*0.19),0)</f>
        <v>0</v>
      </c>
      <c r="R29" s="409">
        <f t="shared" si="7"/>
        <v>60411.544201775629</v>
      </c>
      <c r="S29" s="410">
        <f>INDEX(FX!$D$3:$O$19,MATCH(B29,FX!$B$3:$B$32,0),MATCH(D29,FX!$D$2:$O$2,0))</f>
        <v>923</v>
      </c>
      <c r="T29" s="401" t="s">
        <v>81</v>
      </c>
      <c r="U29" s="401" t="s">
        <v>32</v>
      </c>
      <c r="V29" s="401" t="s">
        <v>83</v>
      </c>
      <c r="W29" s="405" t="str">
        <f>VLOOKUP(I29,Map!$F$18:$H$51,3,0)</f>
        <v>Variable</v>
      </c>
      <c r="X29" s="411" t="s">
        <v>149</v>
      </c>
      <c r="Y29" s="405" t="str">
        <f>VLOOKUP(L29,Map!$C$18:$D$29,2,0)</f>
        <v>CNT</v>
      </c>
      <c r="Z29" s="406"/>
      <c r="AA29" s="407">
        <f t="shared" si="3"/>
        <v>0</v>
      </c>
      <c r="AB29" s="407">
        <f t="shared" si="8"/>
        <v>0</v>
      </c>
      <c r="AC29" s="408">
        <f t="shared" si="4"/>
        <v>0</v>
      </c>
      <c r="AD29" s="408">
        <f t="shared" si="5"/>
        <v>0</v>
      </c>
      <c r="AE29" s="409">
        <f t="shared" si="9"/>
        <v>0</v>
      </c>
      <c r="AF29" s="412"/>
    </row>
    <row r="30" spans="2:32" s="1" customFormat="1" ht="13" hidden="1" x14ac:dyDescent="0.3">
      <c r="B30" s="383">
        <v>2026</v>
      </c>
      <c r="C30" s="361" t="s">
        <v>411</v>
      </c>
      <c r="D30" s="361" t="s">
        <v>162</v>
      </c>
      <c r="E30" s="360" t="s">
        <v>88</v>
      </c>
      <c r="F30" s="360" t="s">
        <v>87</v>
      </c>
      <c r="G30" s="362">
        <v>46196</v>
      </c>
      <c r="H30" s="363">
        <v>473180</v>
      </c>
      <c r="I30" s="360" t="s">
        <v>29</v>
      </c>
      <c r="J30" s="364" t="str">
        <f>IFERROR(VLOOKUP(I30,Map!$F$18:$G$56,2,0),"Add in Map")</f>
        <v>3P</v>
      </c>
      <c r="K30" s="364" t="str">
        <f>VLOOKUP(L30,Map!$C$18:$D$29,2,0)</f>
        <v>CVT</v>
      </c>
      <c r="L30" s="360" t="s">
        <v>36</v>
      </c>
      <c r="M30" s="365">
        <v>955756.65066718159</v>
      </c>
      <c r="N30" s="366">
        <f t="shared" si="14"/>
        <v>0</v>
      </c>
      <c r="O30" s="366">
        <f t="shared" si="15"/>
        <v>1137350.414293946</v>
      </c>
      <c r="P30" s="367">
        <f t="shared" si="16"/>
        <v>1035.4893290001967</v>
      </c>
      <c r="Q30" s="367">
        <f t="shared" si="17"/>
        <v>0</v>
      </c>
      <c r="R30" s="368">
        <f t="shared" si="7"/>
        <v>1232.232301510234</v>
      </c>
      <c r="S30" s="384">
        <f>INDEX(FX!$D$3:$O$19,MATCH(B30,FX!$B$3:$B$32,0),MATCH(D30,FX!$D$2:$O$2,0))</f>
        <v>923</v>
      </c>
      <c r="T30" s="360" t="s">
        <v>81</v>
      </c>
      <c r="U30" s="360" t="s">
        <v>32</v>
      </c>
      <c r="V30" s="360" t="s">
        <v>83</v>
      </c>
      <c r="W30" s="364" t="str">
        <f>VLOOKUP(I30,Map!$F$18:$H$51,3,0)</f>
        <v>Variable</v>
      </c>
      <c r="X30" s="370" t="s">
        <v>149</v>
      </c>
      <c r="Y30" s="364" t="str">
        <f>VLOOKUP(L30,Map!$C$18:$D$29,2,0)</f>
        <v>CVT</v>
      </c>
      <c r="Z30" s="365"/>
      <c r="AA30" s="366">
        <f t="shared" si="3"/>
        <v>0</v>
      </c>
      <c r="AB30" s="366">
        <f t="shared" si="8"/>
        <v>0</v>
      </c>
      <c r="AC30" s="367">
        <f t="shared" si="4"/>
        <v>0</v>
      </c>
      <c r="AD30" s="367">
        <f t="shared" si="5"/>
        <v>0</v>
      </c>
      <c r="AE30" s="368">
        <f t="shared" si="9"/>
        <v>0</v>
      </c>
      <c r="AF30" s="385"/>
    </row>
    <row r="31" spans="2:32" s="1" customFormat="1" ht="13" hidden="1" x14ac:dyDescent="0.3">
      <c r="B31" s="383">
        <v>2026</v>
      </c>
      <c r="C31" s="361" t="s">
        <v>411</v>
      </c>
      <c r="D31" s="361" t="s">
        <v>162</v>
      </c>
      <c r="E31" s="360" t="s">
        <v>88</v>
      </c>
      <c r="F31" s="360" t="s">
        <v>87</v>
      </c>
      <c r="G31" s="362">
        <v>46196</v>
      </c>
      <c r="H31" s="363">
        <v>473180</v>
      </c>
      <c r="I31" s="360" t="s">
        <v>29</v>
      </c>
      <c r="J31" s="364" t="str">
        <f>IFERROR(VLOOKUP(I31,Map!$F$18:$G$56,2,0),"Add in Map")</f>
        <v>3P</v>
      </c>
      <c r="K31" s="364" t="str">
        <f>VLOOKUP(L31,Map!$C$18:$D$29,2,0)</f>
        <v>CDT</v>
      </c>
      <c r="L31" s="360" t="s">
        <v>38</v>
      </c>
      <c r="M31" s="365">
        <v>3929528.6497851633</v>
      </c>
      <c r="N31" s="366">
        <f t="shared" si="14"/>
        <v>0</v>
      </c>
      <c r="O31" s="366">
        <f t="shared" si="15"/>
        <v>4676139.093244344</v>
      </c>
      <c r="P31" s="367">
        <f t="shared" si="16"/>
        <v>4257.3441492797001</v>
      </c>
      <c r="Q31" s="367">
        <f t="shared" si="17"/>
        <v>0</v>
      </c>
      <c r="R31" s="368">
        <f t="shared" si="7"/>
        <v>5066.2395376428431</v>
      </c>
      <c r="S31" s="384">
        <f>INDEX(FX!$D$3:$O$19,MATCH(B31,FX!$B$3:$B$32,0),MATCH(D31,FX!$D$2:$O$2,0))</f>
        <v>923</v>
      </c>
      <c r="T31" s="360" t="s">
        <v>81</v>
      </c>
      <c r="U31" s="360" t="s">
        <v>32</v>
      </c>
      <c r="V31" s="360" t="s">
        <v>83</v>
      </c>
      <c r="W31" s="364" t="str">
        <f>VLOOKUP(I31,Map!$F$18:$H$51,3,0)</f>
        <v>Variable</v>
      </c>
      <c r="X31" s="370" t="s">
        <v>149</v>
      </c>
      <c r="Y31" s="364" t="str">
        <f>VLOOKUP(L31,Map!$C$18:$D$29,2,0)</f>
        <v>CDT</v>
      </c>
      <c r="Z31" s="365"/>
      <c r="AA31" s="366">
        <f t="shared" si="3"/>
        <v>0</v>
      </c>
      <c r="AB31" s="366">
        <f t="shared" si="8"/>
        <v>0</v>
      </c>
      <c r="AC31" s="367">
        <f t="shared" si="4"/>
        <v>0</v>
      </c>
      <c r="AD31" s="367">
        <f t="shared" si="5"/>
        <v>0</v>
      </c>
      <c r="AE31" s="368">
        <f t="shared" si="9"/>
        <v>0</v>
      </c>
      <c r="AF31" s="385"/>
    </row>
    <row r="32" spans="2:32" s="1" customFormat="1" ht="13" hidden="1" x14ac:dyDescent="0.3">
      <c r="B32" s="383">
        <v>2026</v>
      </c>
      <c r="C32" s="361" t="s">
        <v>411</v>
      </c>
      <c r="D32" s="361" t="s">
        <v>162</v>
      </c>
      <c r="E32" s="360" t="s">
        <v>88</v>
      </c>
      <c r="F32" s="360" t="s">
        <v>87</v>
      </c>
      <c r="G32" s="362">
        <v>46196</v>
      </c>
      <c r="H32" s="363">
        <v>473180</v>
      </c>
      <c r="I32" s="360" t="s">
        <v>29</v>
      </c>
      <c r="J32" s="364" t="str">
        <f>IFERROR(VLOOKUP(I32,Map!$F$18:$G$56,2,0),"Add in Map")</f>
        <v>3P</v>
      </c>
      <c r="K32" s="364" t="str">
        <f>VLOOKUP(L32,Map!$C$18:$D$29,2,0)</f>
        <v>DFT</v>
      </c>
      <c r="L32" s="360" t="s">
        <v>40</v>
      </c>
      <c r="M32" s="365">
        <v>101469091.44720571</v>
      </c>
      <c r="N32" s="366">
        <f t="shared" si="14"/>
        <v>0</v>
      </c>
      <c r="O32" s="366">
        <f t="shared" si="15"/>
        <v>120748218.82217479</v>
      </c>
      <c r="P32" s="367">
        <f t="shared" si="16"/>
        <v>109934.0102353258</v>
      </c>
      <c r="Q32" s="367">
        <f t="shared" si="17"/>
        <v>0</v>
      </c>
      <c r="R32" s="368">
        <f t="shared" si="7"/>
        <v>130821.47218003769</v>
      </c>
      <c r="S32" s="384">
        <f>INDEX(FX!$D$3:$O$19,MATCH(B32,FX!$B$3:$B$32,0),MATCH(D32,FX!$D$2:$O$2,0))</f>
        <v>923</v>
      </c>
      <c r="T32" s="360" t="s">
        <v>81</v>
      </c>
      <c r="U32" s="360" t="s">
        <v>32</v>
      </c>
      <c r="V32" s="360" t="s">
        <v>83</v>
      </c>
      <c r="W32" s="364" t="str">
        <f>VLOOKUP(I32,Map!$F$18:$H$51,3,0)</f>
        <v>Variable</v>
      </c>
      <c r="X32" s="370" t="s">
        <v>149</v>
      </c>
      <c r="Y32" s="364" t="str">
        <f>VLOOKUP(L32,Map!$C$18:$D$29,2,0)</f>
        <v>DFT</v>
      </c>
      <c r="Z32" s="365"/>
      <c r="AA32" s="366">
        <f t="shared" si="3"/>
        <v>0</v>
      </c>
      <c r="AB32" s="366">
        <f t="shared" si="8"/>
        <v>0</v>
      </c>
      <c r="AC32" s="367">
        <f t="shared" si="4"/>
        <v>0</v>
      </c>
      <c r="AD32" s="367">
        <f t="shared" si="5"/>
        <v>0</v>
      </c>
      <c r="AE32" s="368">
        <f t="shared" si="9"/>
        <v>0</v>
      </c>
      <c r="AF32" s="385"/>
    </row>
    <row r="33" spans="2:32" s="1" customFormat="1" ht="13" hidden="1" x14ac:dyDescent="0.3">
      <c r="B33" s="383">
        <v>2026</v>
      </c>
      <c r="C33" s="361" t="s">
        <v>411</v>
      </c>
      <c r="D33" s="361" t="s">
        <v>162</v>
      </c>
      <c r="E33" s="360" t="s">
        <v>88</v>
      </c>
      <c r="F33" s="360" t="s">
        <v>87</v>
      </c>
      <c r="G33" s="362">
        <v>46196</v>
      </c>
      <c r="H33" s="363">
        <v>473180</v>
      </c>
      <c r="I33" s="360" t="s">
        <v>29</v>
      </c>
      <c r="J33" s="364" t="str">
        <f>IFERROR(VLOOKUP(I33,Map!$F$18:$G$56,2,0),"Add in Map")</f>
        <v>3P</v>
      </c>
      <c r="K33" s="364" t="str">
        <f>VLOOKUP(L33,Map!$C$18:$D$29,2,0)</f>
        <v>DVT</v>
      </c>
      <c r="L33" s="360" t="s">
        <v>42</v>
      </c>
      <c r="M33" s="365">
        <v>444230.15324388456</v>
      </c>
      <c r="N33" s="366">
        <f t="shared" si="14"/>
        <v>0</v>
      </c>
      <c r="O33" s="366">
        <f t="shared" si="15"/>
        <v>528633.88236022263</v>
      </c>
      <c r="P33" s="367">
        <f t="shared" si="16"/>
        <v>481.28944013421943</v>
      </c>
      <c r="Q33" s="367">
        <f t="shared" si="17"/>
        <v>0</v>
      </c>
      <c r="R33" s="368">
        <f t="shared" si="7"/>
        <v>572.73443375972113</v>
      </c>
      <c r="S33" s="384">
        <f>INDEX(FX!$D$3:$O$19,MATCH(B33,FX!$B$3:$B$32,0),MATCH(D33,FX!$D$2:$O$2,0))</f>
        <v>923</v>
      </c>
      <c r="T33" s="360" t="s">
        <v>81</v>
      </c>
      <c r="U33" s="360" t="s">
        <v>32</v>
      </c>
      <c r="V33" s="360" t="s">
        <v>83</v>
      </c>
      <c r="W33" s="364" t="str">
        <f>VLOOKUP(I33,Map!$F$18:$H$51,3,0)</f>
        <v>Variable</v>
      </c>
      <c r="X33" s="370" t="s">
        <v>149</v>
      </c>
      <c r="Y33" s="364" t="str">
        <f>VLOOKUP(L33,Map!$C$18:$D$29,2,0)</f>
        <v>DVT</v>
      </c>
      <c r="Z33" s="365"/>
      <c r="AA33" s="366">
        <f t="shared" si="3"/>
        <v>0</v>
      </c>
      <c r="AB33" s="366">
        <f t="shared" si="8"/>
        <v>0</v>
      </c>
      <c r="AC33" s="367">
        <f t="shared" si="4"/>
        <v>0</v>
      </c>
      <c r="AD33" s="367">
        <f t="shared" si="5"/>
        <v>0</v>
      </c>
      <c r="AE33" s="368">
        <f t="shared" si="9"/>
        <v>0</v>
      </c>
      <c r="AF33" s="385"/>
    </row>
    <row r="34" spans="2:32" s="1" customFormat="1" ht="13" hidden="1" x14ac:dyDescent="0.3">
      <c r="B34" s="383">
        <v>2026</v>
      </c>
      <c r="C34" s="361" t="s">
        <v>411</v>
      </c>
      <c r="D34" s="361" t="s">
        <v>162</v>
      </c>
      <c r="E34" s="360" t="s">
        <v>88</v>
      </c>
      <c r="F34" s="360" t="s">
        <v>87</v>
      </c>
      <c r="G34" s="362">
        <v>46196</v>
      </c>
      <c r="H34" s="363">
        <v>473180</v>
      </c>
      <c r="I34" s="360" t="s">
        <v>29</v>
      </c>
      <c r="J34" s="364" t="str">
        <f>IFERROR(VLOOKUP(I34,Map!$F$18:$G$56,2,0),"Add in Map")</f>
        <v>3P</v>
      </c>
      <c r="K34" s="364" t="str">
        <f>VLOOKUP(L34,Map!$C$18:$D$29,2,0)</f>
        <v>GLT</v>
      </c>
      <c r="L34" s="360" t="s">
        <v>44</v>
      </c>
      <c r="M34" s="365">
        <v>80299365.485116392</v>
      </c>
      <c r="N34" s="366">
        <f t="shared" si="14"/>
        <v>0</v>
      </c>
      <c r="O34" s="366">
        <f t="shared" si="15"/>
        <v>95556244.927288502</v>
      </c>
      <c r="P34" s="367">
        <f t="shared" si="16"/>
        <v>86998.229127970088</v>
      </c>
      <c r="Q34" s="367">
        <f t="shared" si="17"/>
        <v>0</v>
      </c>
      <c r="R34" s="368">
        <f t="shared" si="7"/>
        <v>103527.8926622844</v>
      </c>
      <c r="S34" s="384">
        <f>INDEX(FX!$D$3:$O$19,MATCH(B34,FX!$B$3:$B$32,0),MATCH(D34,FX!$D$2:$O$2,0))</f>
        <v>923</v>
      </c>
      <c r="T34" s="360" t="s">
        <v>81</v>
      </c>
      <c r="U34" s="360" t="s">
        <v>32</v>
      </c>
      <c r="V34" s="360" t="s">
        <v>83</v>
      </c>
      <c r="W34" s="364" t="str">
        <f>VLOOKUP(I34,Map!$F$18:$H$51,3,0)</f>
        <v>Variable</v>
      </c>
      <c r="X34" s="370" t="s">
        <v>149</v>
      </c>
      <c r="Y34" s="364" t="str">
        <f>VLOOKUP(L34,Map!$C$18:$D$29,2,0)</f>
        <v>GLT</v>
      </c>
      <c r="Z34" s="365"/>
      <c r="AA34" s="366">
        <f t="shared" si="3"/>
        <v>0</v>
      </c>
      <c r="AB34" s="366">
        <f t="shared" si="8"/>
        <v>0</v>
      </c>
      <c r="AC34" s="367">
        <f t="shared" si="4"/>
        <v>0</v>
      </c>
      <c r="AD34" s="367">
        <f t="shared" si="5"/>
        <v>0</v>
      </c>
      <c r="AE34" s="368">
        <f t="shared" si="9"/>
        <v>0</v>
      </c>
      <c r="AF34" s="385"/>
    </row>
    <row r="35" spans="2:32" s="1" customFormat="1" ht="13" hidden="1" x14ac:dyDescent="0.3">
      <c r="B35" s="383">
        <v>2026</v>
      </c>
      <c r="C35" s="361" t="s">
        <v>411</v>
      </c>
      <c r="D35" s="361" t="s">
        <v>162</v>
      </c>
      <c r="E35" s="360" t="s">
        <v>88</v>
      </c>
      <c r="F35" s="360" t="s">
        <v>87</v>
      </c>
      <c r="G35" s="362">
        <v>46196</v>
      </c>
      <c r="H35" s="363">
        <v>473180</v>
      </c>
      <c r="I35" s="360" t="s">
        <v>29</v>
      </c>
      <c r="J35" s="364" t="str">
        <f>IFERROR(VLOOKUP(I35,Map!$F$18:$G$56,2,0),"Add in Map")</f>
        <v>3P</v>
      </c>
      <c r="K35" s="364" t="str">
        <f>VLOOKUP(L35,Map!$C$18:$D$29,2,0)</f>
        <v>PNT</v>
      </c>
      <c r="L35" s="360" t="s">
        <v>46</v>
      </c>
      <c r="M35" s="365">
        <v>4357553.2273475425</v>
      </c>
      <c r="N35" s="366">
        <f t="shared" si="14"/>
        <v>0</v>
      </c>
      <c r="O35" s="366">
        <f t="shared" si="15"/>
        <v>5185488.3405435756</v>
      </c>
      <c r="P35" s="367">
        <f t="shared" si="16"/>
        <v>4721.0760859670017</v>
      </c>
      <c r="Q35" s="367">
        <f t="shared" si="17"/>
        <v>0</v>
      </c>
      <c r="R35" s="368">
        <f t="shared" si="7"/>
        <v>5618.0805423007314</v>
      </c>
      <c r="S35" s="384">
        <f>INDEX(FX!$D$3:$O$19,MATCH(B35,FX!$B$3:$B$32,0),MATCH(D35,FX!$D$2:$O$2,0))</f>
        <v>923</v>
      </c>
      <c r="T35" s="360" t="s">
        <v>81</v>
      </c>
      <c r="U35" s="360" t="s">
        <v>32</v>
      </c>
      <c r="V35" s="360" t="s">
        <v>83</v>
      </c>
      <c r="W35" s="364" t="str">
        <f>VLOOKUP(I35,Map!$F$18:$H$51,3,0)</f>
        <v>Variable</v>
      </c>
      <c r="X35" s="370" t="s">
        <v>149</v>
      </c>
      <c r="Y35" s="364" t="str">
        <f>VLOOKUP(L35,Map!$C$18:$D$29,2,0)</f>
        <v>PNT</v>
      </c>
      <c r="Z35" s="365"/>
      <c r="AA35" s="366">
        <f t="shared" si="3"/>
        <v>0</v>
      </c>
      <c r="AB35" s="366">
        <f t="shared" si="8"/>
        <v>0</v>
      </c>
      <c r="AC35" s="367">
        <f t="shared" si="4"/>
        <v>0</v>
      </c>
      <c r="AD35" s="367">
        <f t="shared" si="5"/>
        <v>0</v>
      </c>
      <c r="AE35" s="368">
        <f t="shared" si="9"/>
        <v>0</v>
      </c>
      <c r="AF35" s="385"/>
    </row>
    <row r="36" spans="2:32" s="1" customFormat="1" ht="13" hidden="1" x14ac:dyDescent="0.3">
      <c r="B36" s="383">
        <v>2026</v>
      </c>
      <c r="C36" s="361" t="s">
        <v>411</v>
      </c>
      <c r="D36" s="361" t="s">
        <v>162</v>
      </c>
      <c r="E36" s="360" t="s">
        <v>88</v>
      </c>
      <c r="F36" s="360" t="s">
        <v>87</v>
      </c>
      <c r="G36" s="362">
        <v>46196</v>
      </c>
      <c r="H36" s="363">
        <v>473180</v>
      </c>
      <c r="I36" s="360" t="s">
        <v>29</v>
      </c>
      <c r="J36" s="364" t="str">
        <f>IFERROR(VLOOKUP(I36,Map!$F$18:$G$56,2,0),"Add in Map")</f>
        <v>3P</v>
      </c>
      <c r="K36" s="364" t="str">
        <f>VLOOKUP(L36,Map!$C$18:$D$29,2,0)</f>
        <v>GTT</v>
      </c>
      <c r="L36" s="360" t="s">
        <v>48</v>
      </c>
      <c r="M36" s="365">
        <v>8665554.4856066834</v>
      </c>
      <c r="N36" s="366">
        <f t="shared" si="14"/>
        <v>0</v>
      </c>
      <c r="O36" s="366">
        <f t="shared" si="15"/>
        <v>10312009.837871952</v>
      </c>
      <c r="P36" s="367">
        <f t="shared" si="16"/>
        <v>9388.4663982737638</v>
      </c>
      <c r="Q36" s="367">
        <f t="shared" si="17"/>
        <v>0</v>
      </c>
      <c r="R36" s="368">
        <f t="shared" si="7"/>
        <v>11172.275013945778</v>
      </c>
      <c r="S36" s="384">
        <f>INDEX(FX!$D$3:$O$19,MATCH(B36,FX!$B$3:$B$32,0),MATCH(D36,FX!$D$2:$O$2,0))</f>
        <v>923</v>
      </c>
      <c r="T36" s="360" t="s">
        <v>81</v>
      </c>
      <c r="U36" s="360" t="s">
        <v>32</v>
      </c>
      <c r="V36" s="360" t="s">
        <v>83</v>
      </c>
      <c r="W36" s="364" t="str">
        <f>VLOOKUP(I36,Map!$F$18:$H$51,3,0)</f>
        <v>Variable</v>
      </c>
      <c r="X36" s="370" t="s">
        <v>149</v>
      </c>
      <c r="Y36" s="364" t="str">
        <f>VLOOKUP(L36,Map!$C$18:$D$29,2,0)</f>
        <v>GTT</v>
      </c>
      <c r="Z36" s="365"/>
      <c r="AA36" s="366">
        <f t="shared" si="3"/>
        <v>0</v>
      </c>
      <c r="AB36" s="366">
        <f t="shared" si="8"/>
        <v>0</v>
      </c>
      <c r="AC36" s="367">
        <f t="shared" si="4"/>
        <v>0</v>
      </c>
      <c r="AD36" s="367">
        <f t="shared" si="5"/>
        <v>0</v>
      </c>
      <c r="AE36" s="368">
        <f t="shared" si="9"/>
        <v>0</v>
      </c>
      <c r="AF36" s="385"/>
    </row>
    <row r="37" spans="2:32" s="1" customFormat="1" ht="13" hidden="1" x14ac:dyDescent="0.3">
      <c r="B37" s="383">
        <v>2026</v>
      </c>
      <c r="C37" s="361" t="s">
        <v>411</v>
      </c>
      <c r="D37" s="361" t="s">
        <v>162</v>
      </c>
      <c r="E37" s="360" t="s">
        <v>88</v>
      </c>
      <c r="F37" s="360" t="s">
        <v>87</v>
      </c>
      <c r="G37" s="362">
        <v>46196</v>
      </c>
      <c r="H37" s="363">
        <v>473180</v>
      </c>
      <c r="I37" s="360" t="s">
        <v>29</v>
      </c>
      <c r="J37" s="364" t="str">
        <f>IFERROR(VLOOKUP(I37,Map!$F$18:$G$56,2,0),"Add in Map")</f>
        <v>3P</v>
      </c>
      <c r="K37" s="364" t="str">
        <f>VLOOKUP(L37,Map!$C$18:$D$29,2,0)</f>
        <v>DGT</v>
      </c>
      <c r="L37" s="360" t="s">
        <v>50</v>
      </c>
      <c r="M37" s="365">
        <v>3213667.7413034462</v>
      </c>
      <c r="N37" s="366">
        <f t="shared" si="14"/>
        <v>0</v>
      </c>
      <c r="O37" s="366">
        <f t="shared" si="15"/>
        <v>3824264.6121511008</v>
      </c>
      <c r="P37" s="367">
        <f t="shared" si="16"/>
        <v>3481.763533373181</v>
      </c>
      <c r="Q37" s="367">
        <f t="shared" si="17"/>
        <v>0</v>
      </c>
      <c r="R37" s="368">
        <f t="shared" si="7"/>
        <v>4143.2986047140848</v>
      </c>
      <c r="S37" s="384">
        <f>INDEX(FX!$D$3:$O$19,MATCH(B37,FX!$B$3:$B$32,0),MATCH(D37,FX!$D$2:$O$2,0))</f>
        <v>923</v>
      </c>
      <c r="T37" s="360" t="s">
        <v>81</v>
      </c>
      <c r="U37" s="360" t="s">
        <v>32</v>
      </c>
      <c r="V37" s="360" t="s">
        <v>83</v>
      </c>
      <c r="W37" s="364" t="str">
        <f>VLOOKUP(I37,Map!$F$18:$H$51,3,0)</f>
        <v>Variable</v>
      </c>
      <c r="X37" s="370" t="s">
        <v>149</v>
      </c>
      <c r="Y37" s="364" t="str">
        <f>VLOOKUP(L37,Map!$C$18:$D$29,2,0)</f>
        <v>DGT</v>
      </c>
      <c r="Z37" s="365"/>
      <c r="AA37" s="366">
        <f t="shared" si="3"/>
        <v>0</v>
      </c>
      <c r="AB37" s="366">
        <f t="shared" si="8"/>
        <v>0</v>
      </c>
      <c r="AC37" s="367">
        <f t="shared" si="4"/>
        <v>0</v>
      </c>
      <c r="AD37" s="367">
        <f t="shared" si="5"/>
        <v>0</v>
      </c>
      <c r="AE37" s="368">
        <f t="shared" si="9"/>
        <v>0</v>
      </c>
      <c r="AF37" s="385"/>
    </row>
    <row r="38" spans="2:32" s="1" customFormat="1" ht="13" hidden="1" x14ac:dyDescent="0.3">
      <c r="B38" s="383">
        <v>2026</v>
      </c>
      <c r="C38" s="361" t="s">
        <v>411</v>
      </c>
      <c r="D38" s="361" t="s">
        <v>162</v>
      </c>
      <c r="E38" s="360" t="s">
        <v>88</v>
      </c>
      <c r="F38" s="360" t="s">
        <v>87</v>
      </c>
      <c r="G38" s="362">
        <v>46196</v>
      </c>
      <c r="H38" s="363">
        <v>473180</v>
      </c>
      <c r="I38" s="360" t="s">
        <v>29</v>
      </c>
      <c r="J38" s="364" t="str">
        <f>IFERROR(VLOOKUP(I38,Map!$F$18:$G$56,2,0),"Add in Map")</f>
        <v>3P</v>
      </c>
      <c r="K38" s="364" t="str">
        <f>VLOOKUP(L38,Map!$C$18:$D$29,2,0)</f>
        <v>DLT</v>
      </c>
      <c r="L38" s="360" t="s">
        <v>52</v>
      </c>
      <c r="M38" s="365">
        <v>1618812.9006997291</v>
      </c>
      <c r="N38" s="366">
        <f t="shared" si="14"/>
        <v>0</v>
      </c>
      <c r="O38" s="366">
        <f t="shared" si="15"/>
        <v>1926387.3518326776</v>
      </c>
      <c r="P38" s="367">
        <f t="shared" si="16"/>
        <v>1753.8601307689373</v>
      </c>
      <c r="Q38" s="367">
        <f t="shared" si="17"/>
        <v>0</v>
      </c>
      <c r="R38" s="368">
        <f t="shared" si="7"/>
        <v>2087.0935556150353</v>
      </c>
      <c r="S38" s="384">
        <f>INDEX(FX!$D$3:$O$19,MATCH(B38,FX!$B$3:$B$32,0),MATCH(D38,FX!$D$2:$O$2,0))</f>
        <v>923</v>
      </c>
      <c r="T38" s="360" t="s">
        <v>81</v>
      </c>
      <c r="U38" s="360" t="s">
        <v>32</v>
      </c>
      <c r="V38" s="360" t="s">
        <v>83</v>
      </c>
      <c r="W38" s="364" t="str">
        <f>VLOOKUP(I38,Map!$F$18:$H$51,3,0)</f>
        <v>Variable</v>
      </c>
      <c r="X38" s="370" t="s">
        <v>149</v>
      </c>
      <c r="Y38" s="364" t="str">
        <f>VLOOKUP(L38,Map!$C$18:$D$29,2,0)</f>
        <v>DLT</v>
      </c>
      <c r="Z38" s="365"/>
      <c r="AA38" s="366">
        <f t="shared" si="3"/>
        <v>0</v>
      </c>
      <c r="AB38" s="366">
        <f t="shared" si="8"/>
        <v>0</v>
      </c>
      <c r="AC38" s="367">
        <f t="shared" si="4"/>
        <v>0</v>
      </c>
      <c r="AD38" s="367">
        <f t="shared" si="5"/>
        <v>0</v>
      </c>
      <c r="AE38" s="368">
        <f t="shared" si="9"/>
        <v>0</v>
      </c>
      <c r="AF38" s="385"/>
    </row>
    <row r="39" spans="2:32" s="1" customFormat="1" ht="13" hidden="1" x14ac:dyDescent="0.3">
      <c r="B39" s="383">
        <v>2026</v>
      </c>
      <c r="C39" s="361" t="s">
        <v>411</v>
      </c>
      <c r="D39" s="361" t="s">
        <v>162</v>
      </c>
      <c r="E39" s="360" t="s">
        <v>88</v>
      </c>
      <c r="F39" s="360" t="s">
        <v>87</v>
      </c>
      <c r="G39" s="362">
        <v>46196</v>
      </c>
      <c r="H39" s="363">
        <v>473180</v>
      </c>
      <c r="I39" s="360" t="s">
        <v>29</v>
      </c>
      <c r="J39" s="364" t="str">
        <f>IFERROR(VLOOKUP(I39,Map!$F$18:$G$56,2,0),"Add in Map")</f>
        <v>3P</v>
      </c>
      <c r="K39" s="364" t="str">
        <f>VLOOKUP(L39,Map!$C$18:$D$29,2,0)</f>
        <v>DMT</v>
      </c>
      <c r="L39" s="360" t="s">
        <v>54</v>
      </c>
      <c r="M39" s="365">
        <v>0</v>
      </c>
      <c r="N39" s="366">
        <f t="shared" si="14"/>
        <v>0</v>
      </c>
      <c r="O39" s="366">
        <f t="shared" si="15"/>
        <v>0</v>
      </c>
      <c r="P39" s="386">
        <f t="shared" si="16"/>
        <v>0</v>
      </c>
      <c r="Q39" s="367">
        <f t="shared" si="17"/>
        <v>0</v>
      </c>
      <c r="R39" s="368">
        <f t="shared" si="7"/>
        <v>0</v>
      </c>
      <c r="S39" s="384">
        <f>INDEX(FX!$D$3:$O$19,MATCH(B39,FX!$B$3:$B$32,0),MATCH(D39,FX!$D$2:$O$2,0))</f>
        <v>923</v>
      </c>
      <c r="T39" s="360" t="s">
        <v>81</v>
      </c>
      <c r="U39" s="360" t="s">
        <v>32</v>
      </c>
      <c r="V39" s="360" t="s">
        <v>83</v>
      </c>
      <c r="W39" s="364" t="str">
        <f>VLOOKUP(I39,Map!$F$18:$H$51,3,0)</f>
        <v>Variable</v>
      </c>
      <c r="X39" s="370" t="s">
        <v>149</v>
      </c>
      <c r="Y39" s="364" t="str">
        <f>VLOOKUP(L39,Map!$C$18:$D$29,2,0)</f>
        <v>DMT</v>
      </c>
      <c r="Z39" s="365"/>
      <c r="AA39" s="366">
        <f t="shared" si="3"/>
        <v>0</v>
      </c>
      <c r="AB39" s="366">
        <f t="shared" si="8"/>
        <v>0</v>
      </c>
      <c r="AC39" s="386">
        <f t="shared" si="4"/>
        <v>0</v>
      </c>
      <c r="AD39" s="367">
        <f t="shared" si="5"/>
        <v>0</v>
      </c>
      <c r="AE39" s="368">
        <f t="shared" si="9"/>
        <v>0</v>
      </c>
      <c r="AF39" s="385"/>
    </row>
    <row r="40" spans="2:32" s="37" customFormat="1" hidden="1" x14ac:dyDescent="0.35">
      <c r="B40" s="387">
        <v>2026</v>
      </c>
      <c r="C40" s="389" t="s">
        <v>411</v>
      </c>
      <c r="D40" s="389" t="s">
        <v>162</v>
      </c>
      <c r="E40" s="388" t="s">
        <v>88</v>
      </c>
      <c r="F40" s="388" t="s">
        <v>87</v>
      </c>
      <c r="G40" s="390">
        <v>46196</v>
      </c>
      <c r="H40" s="391">
        <v>473180</v>
      </c>
      <c r="I40" s="388" t="s">
        <v>29</v>
      </c>
      <c r="J40" s="392" t="str">
        <f>IFERROR(VLOOKUP(I40,Map!$F$18:$G$56,2,0),"Add in Map")</f>
        <v>3P</v>
      </c>
      <c r="K40" s="392" t="str">
        <f>VLOOKUP(L40,Map!$C$18:$D$29,2,0)</f>
        <v>TOTAL</v>
      </c>
      <c r="L40" s="388" t="s">
        <v>56</v>
      </c>
      <c r="M40" s="393">
        <f>SUM(M29:M39)</f>
        <v>251810582.00000003</v>
      </c>
      <c r="N40" s="393">
        <f t="shared" si="14"/>
        <v>47844010.580000006</v>
      </c>
      <c r="O40" s="393">
        <f t="shared" si="15"/>
        <v>299654592.58000004</v>
      </c>
      <c r="P40" s="394">
        <f t="shared" si="16"/>
        <v>272817.5319609968</v>
      </c>
      <c r="Q40" s="394">
        <f t="shared" si="17"/>
        <v>51835.33107258939</v>
      </c>
      <c r="R40" s="395">
        <f t="shared" si="7"/>
        <v>324652.86303358618</v>
      </c>
      <c r="S40" s="396">
        <f>INDEX(FX!$D$3:$O$19,MATCH(B40,FX!$B$3:$B$32,0),MATCH(D40,FX!$D$2:$O$2,0))</f>
        <v>923</v>
      </c>
      <c r="T40" s="388" t="s">
        <v>81</v>
      </c>
      <c r="U40" s="388" t="s">
        <v>32</v>
      </c>
      <c r="V40" s="388" t="s">
        <v>83</v>
      </c>
      <c r="W40" s="392" t="str">
        <f>VLOOKUP(I40,Map!$F$18:$H$51,3,0)</f>
        <v>Variable</v>
      </c>
      <c r="X40" s="397" t="s">
        <v>149</v>
      </c>
      <c r="Y40" s="392" t="str">
        <f>VLOOKUP(L40,Map!$C$18:$D$29,2,0)</f>
        <v>TOTAL</v>
      </c>
      <c r="Z40" s="413"/>
      <c r="AA40" s="393">
        <f t="shared" si="3"/>
        <v>0</v>
      </c>
      <c r="AB40" s="393">
        <f t="shared" si="8"/>
        <v>0</v>
      </c>
      <c r="AC40" s="394">
        <f t="shared" si="4"/>
        <v>0</v>
      </c>
      <c r="AD40" s="394">
        <f t="shared" si="5"/>
        <v>0</v>
      </c>
      <c r="AE40" s="395">
        <f t="shared" si="9"/>
        <v>0</v>
      </c>
      <c r="AF40" s="398"/>
    </row>
    <row r="41" spans="2:32" s="5" customFormat="1" ht="13" hidden="1" x14ac:dyDescent="0.3">
      <c r="B41" s="400">
        <v>2026</v>
      </c>
      <c r="C41" s="402" t="s">
        <v>411</v>
      </c>
      <c r="D41" s="402" t="s">
        <v>162</v>
      </c>
      <c r="E41" s="401" t="s">
        <v>88</v>
      </c>
      <c r="F41" s="401" t="s">
        <v>87</v>
      </c>
      <c r="G41" s="403">
        <v>46196</v>
      </c>
      <c r="H41" s="404">
        <v>432245</v>
      </c>
      <c r="I41" s="401" t="s">
        <v>29</v>
      </c>
      <c r="J41" s="405" t="str">
        <f>IFERROR(VLOOKUP(I41,Map!$F$18:$G$56,2,0),"Add in Map")</f>
        <v>3P</v>
      </c>
      <c r="K41" s="405" t="str">
        <f>VLOOKUP(L41,Map!$C$18:$D$29,2,0)</f>
        <v>CNT</v>
      </c>
      <c r="L41" s="401" t="s">
        <v>31</v>
      </c>
      <c r="M41" s="406">
        <v>-18530452.810323246</v>
      </c>
      <c r="N41" s="407">
        <f t="shared" si="14"/>
        <v>0</v>
      </c>
      <c r="O41" s="407">
        <f t="shared" si="15"/>
        <v>-22051238.844284661</v>
      </c>
      <c r="P41" s="408">
        <f t="shared" si="16"/>
        <v>-20076.330238703409</v>
      </c>
      <c r="Q41" s="408">
        <f t="shared" si="17"/>
        <v>0</v>
      </c>
      <c r="R41" s="409">
        <f t="shared" si="7"/>
        <v>-23890.832984057055</v>
      </c>
      <c r="S41" s="410">
        <f>INDEX(FX!$D$3:$O$19,MATCH(B41,FX!$B$3:$B$32,0),MATCH(D41,FX!$D$2:$O$2,0))</f>
        <v>923</v>
      </c>
      <c r="T41" s="401" t="s">
        <v>81</v>
      </c>
      <c r="U41" s="401" t="s">
        <v>32</v>
      </c>
      <c r="V41" s="401" t="s">
        <v>93</v>
      </c>
      <c r="W41" s="405" t="str">
        <f>VLOOKUP(I41,Map!$F$18:$H$51,3,0)</f>
        <v>Variable</v>
      </c>
      <c r="X41" s="411" t="s">
        <v>149</v>
      </c>
      <c r="Y41" s="405" t="str">
        <f>VLOOKUP(L41,Map!$C$18:$D$29,2,0)</f>
        <v>CNT</v>
      </c>
      <c r="Z41" s="406"/>
      <c r="AA41" s="407">
        <f t="shared" si="3"/>
        <v>0</v>
      </c>
      <c r="AB41" s="407">
        <f t="shared" si="8"/>
        <v>0</v>
      </c>
      <c r="AC41" s="408">
        <f t="shared" si="4"/>
        <v>0</v>
      </c>
      <c r="AD41" s="408">
        <f t="shared" si="5"/>
        <v>0</v>
      </c>
      <c r="AE41" s="409">
        <f t="shared" si="9"/>
        <v>0</v>
      </c>
      <c r="AF41" s="412"/>
    </row>
    <row r="42" spans="2:32" s="1" customFormat="1" ht="13" hidden="1" x14ac:dyDescent="0.3">
      <c r="B42" s="383">
        <v>2026</v>
      </c>
      <c r="C42" s="361" t="s">
        <v>411</v>
      </c>
      <c r="D42" s="361" t="s">
        <v>162</v>
      </c>
      <c r="E42" s="360" t="s">
        <v>88</v>
      </c>
      <c r="F42" s="360" t="s">
        <v>87</v>
      </c>
      <c r="G42" s="362">
        <v>46196</v>
      </c>
      <c r="H42" s="363">
        <v>432245</v>
      </c>
      <c r="I42" s="360" t="s">
        <v>29</v>
      </c>
      <c r="J42" s="364" t="str">
        <f>IFERROR(VLOOKUP(I42,Map!$F$18:$G$56,2,0),"Add in Map")</f>
        <v>3P</v>
      </c>
      <c r="K42" s="364" t="str">
        <f>VLOOKUP(L42,Map!$C$18:$D$29,2,0)</f>
        <v>CVT</v>
      </c>
      <c r="L42" s="360" t="s">
        <v>36</v>
      </c>
      <c r="M42" s="365">
        <v>-377971.17779717781</v>
      </c>
      <c r="N42" s="366">
        <f t="shared" si="14"/>
        <v>0</v>
      </c>
      <c r="O42" s="366">
        <f t="shared" si="15"/>
        <v>-449785.70157864154</v>
      </c>
      <c r="P42" s="367">
        <f t="shared" si="16"/>
        <v>-409.50290118870834</v>
      </c>
      <c r="Q42" s="367">
        <f t="shared" si="17"/>
        <v>0</v>
      </c>
      <c r="R42" s="368">
        <f t="shared" si="7"/>
        <v>-487.30845241456291</v>
      </c>
      <c r="S42" s="384">
        <f>INDEX(FX!$D$3:$O$19,MATCH(B42,FX!$B$3:$B$32,0),MATCH(D42,FX!$D$2:$O$2,0))</f>
        <v>923</v>
      </c>
      <c r="T42" s="360" t="s">
        <v>81</v>
      </c>
      <c r="U42" s="360" t="s">
        <v>32</v>
      </c>
      <c r="V42" s="360" t="s">
        <v>93</v>
      </c>
      <c r="W42" s="364" t="str">
        <f>VLOOKUP(I42,Map!$F$18:$H$51,3,0)</f>
        <v>Variable</v>
      </c>
      <c r="X42" s="370" t="s">
        <v>149</v>
      </c>
      <c r="Y42" s="364" t="str">
        <f>VLOOKUP(L42,Map!$C$18:$D$29,2,0)</f>
        <v>CVT</v>
      </c>
      <c r="Z42" s="365"/>
      <c r="AA42" s="366">
        <f t="shared" si="3"/>
        <v>0</v>
      </c>
      <c r="AB42" s="366">
        <f t="shared" si="8"/>
        <v>0</v>
      </c>
      <c r="AC42" s="367">
        <f t="shared" si="4"/>
        <v>0</v>
      </c>
      <c r="AD42" s="367">
        <f t="shared" si="5"/>
        <v>0</v>
      </c>
      <c r="AE42" s="368">
        <f t="shared" si="9"/>
        <v>0</v>
      </c>
      <c r="AF42" s="385"/>
    </row>
    <row r="43" spans="2:32" s="1" customFormat="1" ht="13" hidden="1" x14ac:dyDescent="0.3">
      <c r="B43" s="383">
        <v>2026</v>
      </c>
      <c r="C43" s="361" t="s">
        <v>411</v>
      </c>
      <c r="D43" s="361" t="s">
        <v>162</v>
      </c>
      <c r="E43" s="360" t="s">
        <v>88</v>
      </c>
      <c r="F43" s="360" t="s">
        <v>87</v>
      </c>
      <c r="G43" s="362">
        <v>46196</v>
      </c>
      <c r="H43" s="363">
        <v>432245</v>
      </c>
      <c r="I43" s="360" t="s">
        <v>29</v>
      </c>
      <c r="J43" s="364" t="str">
        <f>IFERROR(VLOOKUP(I43,Map!$F$18:$G$56,2,0),"Add in Map")</f>
        <v>3P</v>
      </c>
      <c r="K43" s="364" t="str">
        <f>VLOOKUP(L43,Map!$C$18:$D$29,2,0)</f>
        <v>CDT</v>
      </c>
      <c r="L43" s="360" t="s">
        <v>38</v>
      </c>
      <c r="M43" s="365">
        <v>-1554002.8635011325</v>
      </c>
      <c r="N43" s="366">
        <f t="shared" si="14"/>
        <v>0</v>
      </c>
      <c r="O43" s="366">
        <f t="shared" si="15"/>
        <v>-1849263.4075663476</v>
      </c>
      <c r="P43" s="367">
        <f t="shared" si="16"/>
        <v>-1683.6434057433721</v>
      </c>
      <c r="Q43" s="367">
        <f t="shared" si="17"/>
        <v>0</v>
      </c>
      <c r="R43" s="368">
        <f t="shared" si="7"/>
        <v>-2003.5356528346126</v>
      </c>
      <c r="S43" s="384">
        <f>INDEX(FX!$D$3:$O$19,MATCH(B43,FX!$B$3:$B$32,0),MATCH(D43,FX!$D$2:$O$2,0))</f>
        <v>923</v>
      </c>
      <c r="T43" s="360" t="s">
        <v>81</v>
      </c>
      <c r="U43" s="360" t="s">
        <v>32</v>
      </c>
      <c r="V43" s="360" t="s">
        <v>93</v>
      </c>
      <c r="W43" s="364" t="str">
        <f>VLOOKUP(I43,Map!$F$18:$H$51,3,0)</f>
        <v>Variable</v>
      </c>
      <c r="X43" s="370" t="s">
        <v>149</v>
      </c>
      <c r="Y43" s="364" t="str">
        <f>VLOOKUP(L43,Map!$C$18:$D$29,2,0)</f>
        <v>CDT</v>
      </c>
      <c r="Z43" s="365"/>
      <c r="AA43" s="366">
        <f t="shared" si="3"/>
        <v>0</v>
      </c>
      <c r="AB43" s="366">
        <f t="shared" si="8"/>
        <v>0</v>
      </c>
      <c r="AC43" s="367">
        <f t="shared" si="4"/>
        <v>0</v>
      </c>
      <c r="AD43" s="367">
        <f t="shared" si="5"/>
        <v>0</v>
      </c>
      <c r="AE43" s="368">
        <f t="shared" si="9"/>
        <v>0</v>
      </c>
      <c r="AF43" s="385"/>
    </row>
    <row r="44" spans="2:32" s="1" customFormat="1" ht="13" hidden="1" x14ac:dyDescent="0.3">
      <c r="B44" s="383">
        <v>2026</v>
      </c>
      <c r="C44" s="361" t="s">
        <v>411</v>
      </c>
      <c r="D44" s="361" t="s">
        <v>162</v>
      </c>
      <c r="E44" s="360" t="s">
        <v>88</v>
      </c>
      <c r="F44" s="360" t="s">
        <v>87</v>
      </c>
      <c r="G44" s="362">
        <v>46196</v>
      </c>
      <c r="H44" s="363">
        <v>432245</v>
      </c>
      <c r="I44" s="360" t="s">
        <v>29</v>
      </c>
      <c r="J44" s="364" t="str">
        <f>IFERROR(VLOOKUP(I44,Map!$F$18:$G$56,2,0),"Add in Map")</f>
        <v>3P</v>
      </c>
      <c r="K44" s="364" t="str">
        <f>VLOOKUP(L44,Map!$C$18:$D$29,2,0)</f>
        <v>DFT</v>
      </c>
      <c r="L44" s="360" t="s">
        <v>40</v>
      </c>
      <c r="M44" s="365">
        <v>-40127779.364692219</v>
      </c>
      <c r="N44" s="366">
        <f t="shared" si="14"/>
        <v>0</v>
      </c>
      <c r="O44" s="366">
        <f t="shared" si="15"/>
        <v>-47752057.443983741</v>
      </c>
      <c r="P44" s="367">
        <f t="shared" si="16"/>
        <v>-43475.383927077157</v>
      </c>
      <c r="Q44" s="367">
        <f t="shared" si="17"/>
        <v>0</v>
      </c>
      <c r="R44" s="368">
        <f t="shared" si="7"/>
        <v>-51735.706873221818</v>
      </c>
      <c r="S44" s="384">
        <f>INDEX(FX!$D$3:$O$19,MATCH(B44,FX!$B$3:$B$32,0),MATCH(D44,FX!$D$2:$O$2,0))</f>
        <v>923</v>
      </c>
      <c r="T44" s="360" t="s">
        <v>81</v>
      </c>
      <c r="U44" s="360" t="s">
        <v>32</v>
      </c>
      <c r="V44" s="360" t="s">
        <v>93</v>
      </c>
      <c r="W44" s="364" t="str">
        <f>VLOOKUP(I44,Map!$F$18:$H$51,3,0)</f>
        <v>Variable</v>
      </c>
      <c r="X44" s="370" t="s">
        <v>149</v>
      </c>
      <c r="Y44" s="364" t="str">
        <f>VLOOKUP(L44,Map!$C$18:$D$29,2,0)</f>
        <v>DFT</v>
      </c>
      <c r="Z44" s="365"/>
      <c r="AA44" s="366">
        <f t="shared" si="3"/>
        <v>0</v>
      </c>
      <c r="AB44" s="366">
        <f t="shared" si="8"/>
        <v>0</v>
      </c>
      <c r="AC44" s="367">
        <f t="shared" si="4"/>
        <v>0</v>
      </c>
      <c r="AD44" s="367">
        <f t="shared" si="5"/>
        <v>0</v>
      </c>
      <c r="AE44" s="368">
        <f t="shared" si="9"/>
        <v>0</v>
      </c>
      <c r="AF44" s="385"/>
    </row>
    <row r="45" spans="2:32" s="1" customFormat="1" ht="13" hidden="1" x14ac:dyDescent="0.3">
      <c r="B45" s="383">
        <v>2026</v>
      </c>
      <c r="C45" s="361" t="s">
        <v>411</v>
      </c>
      <c r="D45" s="361" t="s">
        <v>162</v>
      </c>
      <c r="E45" s="360" t="s">
        <v>88</v>
      </c>
      <c r="F45" s="360" t="s">
        <v>87</v>
      </c>
      <c r="G45" s="362">
        <v>46196</v>
      </c>
      <c r="H45" s="363">
        <v>432245</v>
      </c>
      <c r="I45" s="360" t="s">
        <v>29</v>
      </c>
      <c r="J45" s="364" t="str">
        <f>IFERROR(VLOOKUP(I45,Map!$F$18:$G$56,2,0),"Add in Map")</f>
        <v>3P</v>
      </c>
      <c r="K45" s="364" t="str">
        <f>VLOOKUP(L45,Map!$C$18:$D$29,2,0)</f>
        <v>DVT</v>
      </c>
      <c r="L45" s="360" t="s">
        <v>42</v>
      </c>
      <c r="M45" s="365">
        <v>-175678.81334375456</v>
      </c>
      <c r="N45" s="366">
        <f t="shared" si="14"/>
        <v>0</v>
      </c>
      <c r="O45" s="366">
        <f t="shared" si="15"/>
        <v>-209057.78787906791</v>
      </c>
      <c r="P45" s="367">
        <f t="shared" si="16"/>
        <v>-190.33457567037331</v>
      </c>
      <c r="Q45" s="367">
        <f t="shared" si="17"/>
        <v>0</v>
      </c>
      <c r="R45" s="368">
        <f t="shared" si="7"/>
        <v>-226.49814504774423</v>
      </c>
      <c r="S45" s="384">
        <f>INDEX(FX!$D$3:$O$19,MATCH(B45,FX!$B$3:$B$32,0),MATCH(D45,FX!$D$2:$O$2,0))</f>
        <v>923</v>
      </c>
      <c r="T45" s="360" t="s">
        <v>81</v>
      </c>
      <c r="U45" s="360" t="s">
        <v>32</v>
      </c>
      <c r="V45" s="360" t="s">
        <v>93</v>
      </c>
      <c r="W45" s="364" t="str">
        <f>VLOOKUP(I45,Map!$F$18:$H$51,3,0)</f>
        <v>Variable</v>
      </c>
      <c r="X45" s="370" t="s">
        <v>149</v>
      </c>
      <c r="Y45" s="364" t="str">
        <f>VLOOKUP(L45,Map!$C$18:$D$29,2,0)</f>
        <v>DVT</v>
      </c>
      <c r="Z45" s="365"/>
      <c r="AA45" s="366">
        <f t="shared" si="3"/>
        <v>0</v>
      </c>
      <c r="AB45" s="366">
        <f t="shared" si="8"/>
        <v>0</v>
      </c>
      <c r="AC45" s="367">
        <f t="shared" si="4"/>
        <v>0</v>
      </c>
      <c r="AD45" s="367">
        <f t="shared" si="5"/>
        <v>0</v>
      </c>
      <c r="AE45" s="368">
        <f t="shared" si="9"/>
        <v>0</v>
      </c>
      <c r="AF45" s="385"/>
    </row>
    <row r="46" spans="2:32" s="1" customFormat="1" ht="13" hidden="1" x14ac:dyDescent="0.3">
      <c r="B46" s="383">
        <v>2026</v>
      </c>
      <c r="C46" s="361" t="s">
        <v>411</v>
      </c>
      <c r="D46" s="361" t="s">
        <v>162</v>
      </c>
      <c r="E46" s="360" t="s">
        <v>88</v>
      </c>
      <c r="F46" s="360" t="s">
        <v>87</v>
      </c>
      <c r="G46" s="362">
        <v>46196</v>
      </c>
      <c r="H46" s="363">
        <v>432245</v>
      </c>
      <c r="I46" s="360" t="s">
        <v>29</v>
      </c>
      <c r="J46" s="364" t="str">
        <f>IFERROR(VLOOKUP(I46,Map!$F$18:$G$56,2,0),"Add in Map")</f>
        <v>3P</v>
      </c>
      <c r="K46" s="364" t="str">
        <f>VLOOKUP(L46,Map!$C$18:$D$29,2,0)</f>
        <v>GLT</v>
      </c>
      <c r="L46" s="360" t="s">
        <v>44</v>
      </c>
      <c r="M46" s="365">
        <v>-31755830.030153159</v>
      </c>
      <c r="N46" s="366">
        <f t="shared" si="14"/>
        <v>0</v>
      </c>
      <c r="O46" s="366">
        <f t="shared" si="15"/>
        <v>-37789437.73588226</v>
      </c>
      <c r="P46" s="367">
        <f t="shared" si="16"/>
        <v>-34405.016284022924</v>
      </c>
      <c r="Q46" s="367">
        <f t="shared" si="17"/>
        <v>0</v>
      </c>
      <c r="R46" s="368">
        <f t="shared" si="7"/>
        <v>-40941.969377987276</v>
      </c>
      <c r="S46" s="384">
        <f>INDEX(FX!$D$3:$O$19,MATCH(B46,FX!$B$3:$B$32,0),MATCH(D46,FX!$D$2:$O$2,0))</f>
        <v>923</v>
      </c>
      <c r="T46" s="360" t="s">
        <v>81</v>
      </c>
      <c r="U46" s="360" t="s">
        <v>32</v>
      </c>
      <c r="V46" s="360" t="s">
        <v>93</v>
      </c>
      <c r="W46" s="364" t="str">
        <f>VLOOKUP(I46,Map!$F$18:$H$51,3,0)</f>
        <v>Variable</v>
      </c>
      <c r="X46" s="370" t="s">
        <v>149</v>
      </c>
      <c r="Y46" s="364" t="str">
        <f>VLOOKUP(L46,Map!$C$18:$D$29,2,0)</f>
        <v>GLT</v>
      </c>
      <c r="Z46" s="365"/>
      <c r="AA46" s="366">
        <f t="shared" si="3"/>
        <v>0</v>
      </c>
      <c r="AB46" s="366">
        <f t="shared" si="8"/>
        <v>0</v>
      </c>
      <c r="AC46" s="367">
        <f t="shared" si="4"/>
        <v>0</v>
      </c>
      <c r="AD46" s="367">
        <f t="shared" si="5"/>
        <v>0</v>
      </c>
      <c r="AE46" s="368">
        <f t="shared" si="9"/>
        <v>0</v>
      </c>
      <c r="AF46" s="385"/>
    </row>
    <row r="47" spans="2:32" s="1" customFormat="1" ht="13" hidden="1" x14ac:dyDescent="0.3">
      <c r="B47" s="383">
        <v>2026</v>
      </c>
      <c r="C47" s="361" t="s">
        <v>411</v>
      </c>
      <c r="D47" s="361" t="s">
        <v>162</v>
      </c>
      <c r="E47" s="360" t="s">
        <v>88</v>
      </c>
      <c r="F47" s="360" t="s">
        <v>87</v>
      </c>
      <c r="G47" s="362">
        <v>46196</v>
      </c>
      <c r="H47" s="363">
        <v>432245</v>
      </c>
      <c r="I47" s="360" t="s">
        <v>29</v>
      </c>
      <c r="J47" s="364" t="str">
        <f>IFERROR(VLOOKUP(I47,Map!$F$18:$G$56,2,0),"Add in Map")</f>
        <v>3P</v>
      </c>
      <c r="K47" s="364" t="str">
        <f>VLOOKUP(L47,Map!$C$18:$D$29,2,0)</f>
        <v>PNT</v>
      </c>
      <c r="L47" s="360" t="s">
        <v>46</v>
      </c>
      <c r="M47" s="365">
        <v>-1723272.8901281594</v>
      </c>
      <c r="N47" s="366">
        <f t="shared" si="14"/>
        <v>0</v>
      </c>
      <c r="O47" s="366">
        <f t="shared" si="15"/>
        <v>-2050694.7392525095</v>
      </c>
      <c r="P47" s="367">
        <f t="shared" si="16"/>
        <v>-1867.0345505180492</v>
      </c>
      <c r="Q47" s="367">
        <f t="shared" si="17"/>
        <v>0</v>
      </c>
      <c r="R47" s="368">
        <f t="shared" si="7"/>
        <v>-2221.7711151164785</v>
      </c>
      <c r="S47" s="384">
        <f>INDEX(FX!$D$3:$O$19,MATCH(B47,FX!$B$3:$B$32,0),MATCH(D47,FX!$D$2:$O$2,0))</f>
        <v>923</v>
      </c>
      <c r="T47" s="360" t="s">
        <v>81</v>
      </c>
      <c r="U47" s="360" t="s">
        <v>32</v>
      </c>
      <c r="V47" s="360" t="s">
        <v>93</v>
      </c>
      <c r="W47" s="364" t="str">
        <f>VLOOKUP(I47,Map!$F$18:$H$51,3,0)</f>
        <v>Variable</v>
      </c>
      <c r="X47" s="370" t="s">
        <v>149</v>
      </c>
      <c r="Y47" s="364" t="str">
        <f>VLOOKUP(L47,Map!$C$18:$D$29,2,0)</f>
        <v>PNT</v>
      </c>
      <c r="Z47" s="365"/>
      <c r="AA47" s="366">
        <f t="shared" si="3"/>
        <v>0</v>
      </c>
      <c r="AB47" s="366">
        <f t="shared" si="8"/>
        <v>0</v>
      </c>
      <c r="AC47" s="367">
        <f t="shared" si="4"/>
        <v>0</v>
      </c>
      <c r="AD47" s="367">
        <f t="shared" si="5"/>
        <v>0</v>
      </c>
      <c r="AE47" s="368">
        <f t="shared" si="9"/>
        <v>0</v>
      </c>
      <c r="AF47" s="385"/>
    </row>
    <row r="48" spans="2:32" s="1" customFormat="1" ht="13" hidden="1" x14ac:dyDescent="0.3">
      <c r="B48" s="383">
        <v>2026</v>
      </c>
      <c r="C48" s="361" t="s">
        <v>411</v>
      </c>
      <c r="D48" s="361" t="s">
        <v>162</v>
      </c>
      <c r="E48" s="360" t="s">
        <v>88</v>
      </c>
      <c r="F48" s="360" t="s">
        <v>87</v>
      </c>
      <c r="G48" s="362">
        <v>46196</v>
      </c>
      <c r="H48" s="363">
        <v>432245</v>
      </c>
      <c r="I48" s="360" t="s">
        <v>29</v>
      </c>
      <c r="J48" s="364" t="str">
        <f>IFERROR(VLOOKUP(I48,Map!$F$18:$G$56,2,0),"Add in Map")</f>
        <v>3P</v>
      </c>
      <c r="K48" s="364" t="str">
        <f>VLOOKUP(L48,Map!$C$18:$D$29,2,0)</f>
        <v>GTT</v>
      </c>
      <c r="L48" s="360" t="s">
        <v>48</v>
      </c>
      <c r="M48" s="365">
        <v>-3426949.5617989968</v>
      </c>
      <c r="N48" s="366">
        <f t="shared" si="14"/>
        <v>0</v>
      </c>
      <c r="O48" s="366">
        <f t="shared" si="15"/>
        <v>-4078069.9785408061</v>
      </c>
      <c r="P48" s="367">
        <f t="shared" si="16"/>
        <v>-3712.8380951235067</v>
      </c>
      <c r="Q48" s="367">
        <f t="shared" si="17"/>
        <v>0</v>
      </c>
      <c r="R48" s="368">
        <f t="shared" si="7"/>
        <v>-4418.2773331969729</v>
      </c>
      <c r="S48" s="384">
        <f>INDEX(FX!$D$3:$O$19,MATCH(B48,FX!$B$3:$B$32,0),MATCH(D48,FX!$D$2:$O$2,0))</f>
        <v>923</v>
      </c>
      <c r="T48" s="360" t="s">
        <v>81</v>
      </c>
      <c r="U48" s="360" t="s">
        <v>32</v>
      </c>
      <c r="V48" s="360" t="s">
        <v>93</v>
      </c>
      <c r="W48" s="364" t="str">
        <f>VLOOKUP(I48,Map!$F$18:$H$51,3,0)</f>
        <v>Variable</v>
      </c>
      <c r="X48" s="370" t="s">
        <v>149</v>
      </c>
      <c r="Y48" s="364" t="str">
        <f>VLOOKUP(L48,Map!$C$18:$D$29,2,0)</f>
        <v>GTT</v>
      </c>
      <c r="Z48" s="365"/>
      <c r="AA48" s="366">
        <f t="shared" si="3"/>
        <v>0</v>
      </c>
      <c r="AB48" s="366">
        <f t="shared" si="8"/>
        <v>0</v>
      </c>
      <c r="AC48" s="367">
        <f t="shared" si="4"/>
        <v>0</v>
      </c>
      <c r="AD48" s="367">
        <f t="shared" si="5"/>
        <v>0</v>
      </c>
      <c r="AE48" s="368">
        <f t="shared" si="9"/>
        <v>0</v>
      </c>
      <c r="AF48" s="385"/>
    </row>
    <row r="49" spans="2:32" s="1" customFormat="1" ht="13" hidden="1" x14ac:dyDescent="0.3">
      <c r="B49" s="383">
        <v>2026</v>
      </c>
      <c r="C49" s="361" t="s">
        <v>411</v>
      </c>
      <c r="D49" s="361" t="s">
        <v>162</v>
      </c>
      <c r="E49" s="360" t="s">
        <v>88</v>
      </c>
      <c r="F49" s="360" t="s">
        <v>87</v>
      </c>
      <c r="G49" s="362">
        <v>46196</v>
      </c>
      <c r="H49" s="363">
        <v>432245</v>
      </c>
      <c r="I49" s="360" t="s">
        <v>29</v>
      </c>
      <c r="J49" s="364" t="str">
        <f>IFERROR(VLOOKUP(I49,Map!$F$18:$G$56,2,0),"Add in Map")</f>
        <v>3P</v>
      </c>
      <c r="K49" s="364" t="str">
        <f>VLOOKUP(L49,Map!$C$18:$D$29,2,0)</f>
        <v>DGT</v>
      </c>
      <c r="L49" s="360" t="s">
        <v>50</v>
      </c>
      <c r="M49" s="365">
        <v>-1270902.7767490151</v>
      </c>
      <c r="N49" s="366">
        <f t="shared" si="14"/>
        <v>0</v>
      </c>
      <c r="O49" s="366">
        <f t="shared" si="15"/>
        <v>-1512374.3043313278</v>
      </c>
      <c r="P49" s="367">
        <f t="shared" si="16"/>
        <v>-1376.9260853185428</v>
      </c>
      <c r="Q49" s="367">
        <f t="shared" si="17"/>
        <v>0</v>
      </c>
      <c r="R49" s="368">
        <f t="shared" si="7"/>
        <v>-1638.542041529066</v>
      </c>
      <c r="S49" s="384">
        <f>INDEX(FX!$D$3:$O$19,MATCH(B49,FX!$B$3:$B$32,0),MATCH(D49,FX!$D$2:$O$2,0))</f>
        <v>923</v>
      </c>
      <c r="T49" s="360" t="s">
        <v>81</v>
      </c>
      <c r="U49" s="360" t="s">
        <v>32</v>
      </c>
      <c r="V49" s="360" t="s">
        <v>93</v>
      </c>
      <c r="W49" s="364" t="str">
        <f>VLOOKUP(I49,Map!$F$18:$H$51,3,0)</f>
        <v>Variable</v>
      </c>
      <c r="X49" s="370" t="s">
        <v>149</v>
      </c>
      <c r="Y49" s="364" t="str">
        <f>VLOOKUP(L49,Map!$C$18:$D$29,2,0)</f>
        <v>DGT</v>
      </c>
      <c r="Z49" s="365"/>
      <c r="AA49" s="366">
        <f t="shared" si="3"/>
        <v>0</v>
      </c>
      <c r="AB49" s="366">
        <f t="shared" si="8"/>
        <v>0</v>
      </c>
      <c r="AC49" s="367">
        <f t="shared" si="4"/>
        <v>0</v>
      </c>
      <c r="AD49" s="367">
        <f t="shared" si="5"/>
        <v>0</v>
      </c>
      <c r="AE49" s="368">
        <f t="shared" si="9"/>
        <v>0</v>
      </c>
      <c r="AF49" s="385"/>
    </row>
    <row r="50" spans="2:32" s="1" customFormat="1" ht="13" hidden="1" x14ac:dyDescent="0.3">
      <c r="B50" s="383">
        <v>2026</v>
      </c>
      <c r="C50" s="361" t="s">
        <v>411</v>
      </c>
      <c r="D50" s="361" t="s">
        <v>162</v>
      </c>
      <c r="E50" s="360" t="s">
        <v>88</v>
      </c>
      <c r="F50" s="360" t="s">
        <v>87</v>
      </c>
      <c r="G50" s="362">
        <v>46196</v>
      </c>
      <c r="H50" s="363">
        <v>432245</v>
      </c>
      <c r="I50" s="360" t="s">
        <v>29</v>
      </c>
      <c r="J50" s="364" t="str">
        <f>IFERROR(VLOOKUP(I50,Map!$F$18:$G$56,2,0),"Add in Map")</f>
        <v>3P</v>
      </c>
      <c r="K50" s="364" t="str">
        <f>VLOOKUP(L50,Map!$C$18:$D$29,2,0)</f>
        <v>DLT</v>
      </c>
      <c r="L50" s="360" t="s">
        <v>52</v>
      </c>
      <c r="M50" s="365">
        <v>-640188.71151314536</v>
      </c>
      <c r="N50" s="366">
        <f t="shared" si="14"/>
        <v>0</v>
      </c>
      <c r="O50" s="366">
        <f t="shared" si="15"/>
        <v>-761824.56670064293</v>
      </c>
      <c r="P50" s="367">
        <f t="shared" si="16"/>
        <v>-693.59557043677717</v>
      </c>
      <c r="Q50" s="367">
        <f t="shared" si="17"/>
        <v>0</v>
      </c>
      <c r="R50" s="368">
        <f t="shared" si="7"/>
        <v>-825.37872881976477</v>
      </c>
      <c r="S50" s="384">
        <f>INDEX(FX!$D$3:$O$19,MATCH(B50,FX!$B$3:$B$32,0),MATCH(D50,FX!$D$2:$O$2,0))</f>
        <v>923</v>
      </c>
      <c r="T50" s="360" t="s">
        <v>81</v>
      </c>
      <c r="U50" s="360" t="s">
        <v>32</v>
      </c>
      <c r="V50" s="360" t="s">
        <v>93</v>
      </c>
      <c r="W50" s="364" t="str">
        <f>VLOOKUP(I50,Map!$F$18:$H$51,3,0)</f>
        <v>Variable</v>
      </c>
      <c r="X50" s="370" t="s">
        <v>149</v>
      </c>
      <c r="Y50" s="364" t="str">
        <f>VLOOKUP(L50,Map!$C$18:$D$29,2,0)</f>
        <v>DLT</v>
      </c>
      <c r="Z50" s="365"/>
      <c r="AA50" s="366">
        <f t="shared" si="3"/>
        <v>0</v>
      </c>
      <c r="AB50" s="366">
        <f t="shared" si="8"/>
        <v>0</v>
      </c>
      <c r="AC50" s="367">
        <f t="shared" si="4"/>
        <v>0</v>
      </c>
      <c r="AD50" s="367">
        <f t="shared" si="5"/>
        <v>0</v>
      </c>
      <c r="AE50" s="368">
        <f t="shared" si="9"/>
        <v>0</v>
      </c>
      <c r="AF50" s="385"/>
    </row>
    <row r="51" spans="2:32" s="1" customFormat="1" ht="13" hidden="1" x14ac:dyDescent="0.3">
      <c r="B51" s="383">
        <v>2026</v>
      </c>
      <c r="C51" s="361" t="s">
        <v>411</v>
      </c>
      <c r="D51" s="361" t="s">
        <v>162</v>
      </c>
      <c r="E51" s="360" t="s">
        <v>88</v>
      </c>
      <c r="F51" s="360" t="s">
        <v>87</v>
      </c>
      <c r="G51" s="362">
        <v>46196</v>
      </c>
      <c r="H51" s="363">
        <v>432245</v>
      </c>
      <c r="I51" s="360" t="s">
        <v>29</v>
      </c>
      <c r="J51" s="364" t="str">
        <f>IFERROR(VLOOKUP(I51,Map!$F$18:$G$56,2,0),"Add in Map")</f>
        <v>3P</v>
      </c>
      <c r="K51" s="364" t="str">
        <f>VLOOKUP(L51,Map!$C$18:$D$29,2,0)</f>
        <v>DMT</v>
      </c>
      <c r="L51" s="360" t="s">
        <v>54</v>
      </c>
      <c r="M51" s="365"/>
      <c r="N51" s="366">
        <f t="shared" si="14"/>
        <v>0</v>
      </c>
      <c r="O51" s="366">
        <f t="shared" si="15"/>
        <v>0</v>
      </c>
      <c r="P51" s="386">
        <f t="shared" si="16"/>
        <v>0</v>
      </c>
      <c r="Q51" s="367">
        <f t="shared" si="17"/>
        <v>0</v>
      </c>
      <c r="R51" s="368">
        <f t="shared" si="7"/>
        <v>0</v>
      </c>
      <c r="S51" s="384">
        <f>INDEX(FX!$D$3:$O$19,MATCH(B51,FX!$B$3:$B$32,0),MATCH(D51,FX!$D$2:$O$2,0))</f>
        <v>923</v>
      </c>
      <c r="T51" s="360" t="s">
        <v>81</v>
      </c>
      <c r="U51" s="360" t="s">
        <v>32</v>
      </c>
      <c r="V51" s="360" t="s">
        <v>93</v>
      </c>
      <c r="W51" s="364" t="str">
        <f>VLOOKUP(I51,Map!$F$18:$H$51,3,0)</f>
        <v>Variable</v>
      </c>
      <c r="X51" s="370" t="s">
        <v>149</v>
      </c>
      <c r="Y51" s="364" t="str">
        <f>VLOOKUP(L51,Map!$C$18:$D$29,2,0)</f>
        <v>DMT</v>
      </c>
      <c r="Z51" s="365"/>
      <c r="AA51" s="366">
        <f t="shared" si="3"/>
        <v>0</v>
      </c>
      <c r="AB51" s="366">
        <f t="shared" si="8"/>
        <v>0</v>
      </c>
      <c r="AC51" s="386">
        <f t="shared" si="4"/>
        <v>0</v>
      </c>
      <c r="AD51" s="367">
        <f t="shared" si="5"/>
        <v>0</v>
      </c>
      <c r="AE51" s="368">
        <f t="shared" si="9"/>
        <v>0</v>
      </c>
      <c r="AF51" s="385"/>
    </row>
    <row r="52" spans="2:32" s="37" customFormat="1" hidden="1" x14ac:dyDescent="0.35">
      <c r="B52" s="387">
        <v>2026</v>
      </c>
      <c r="C52" s="389" t="s">
        <v>411</v>
      </c>
      <c r="D52" s="389" t="s">
        <v>162</v>
      </c>
      <c r="E52" s="388" t="s">
        <v>88</v>
      </c>
      <c r="F52" s="388" t="s">
        <v>87</v>
      </c>
      <c r="G52" s="390">
        <v>46196</v>
      </c>
      <c r="H52" s="391">
        <v>432245</v>
      </c>
      <c r="I52" s="388" t="s">
        <v>29</v>
      </c>
      <c r="J52" s="392" t="str">
        <f>IFERROR(VLOOKUP(I52,Map!$F$18:$G$56,2,0),"Add in Map")</f>
        <v>3P</v>
      </c>
      <c r="K52" s="392" t="str">
        <f>VLOOKUP(L52,Map!$C$18:$D$29,2,0)</f>
        <v>TOTAL</v>
      </c>
      <c r="L52" s="388" t="s">
        <v>56</v>
      </c>
      <c r="M52" s="393">
        <f>SUM(M41:M51)</f>
        <v>-99583029</v>
      </c>
      <c r="N52" s="393">
        <f t="shared" si="14"/>
        <v>-18920775.510000002</v>
      </c>
      <c r="O52" s="393">
        <f t="shared" si="15"/>
        <v>-118503804.50999999</v>
      </c>
      <c r="P52" s="394">
        <f t="shared" si="16"/>
        <v>-107890.60563380281</v>
      </c>
      <c r="Q52" s="394">
        <f t="shared" si="17"/>
        <v>-20499.215070422535</v>
      </c>
      <c r="R52" s="395">
        <f t="shared" si="7"/>
        <v>-128389.82070422535</v>
      </c>
      <c r="S52" s="396">
        <f>INDEX(FX!$D$3:$O$19,MATCH(B52,FX!$B$3:$B$32,0),MATCH(D52,FX!$D$2:$O$2,0))</f>
        <v>923</v>
      </c>
      <c r="T52" s="388" t="s">
        <v>81</v>
      </c>
      <c r="U52" s="388" t="s">
        <v>32</v>
      </c>
      <c r="V52" s="388" t="s">
        <v>93</v>
      </c>
      <c r="W52" s="392" t="str">
        <f>VLOOKUP(I52,Map!$F$18:$H$51,3,0)</f>
        <v>Variable</v>
      </c>
      <c r="X52" s="397" t="s">
        <v>149</v>
      </c>
      <c r="Y52" s="392" t="str">
        <f>VLOOKUP(L52,Map!$C$18:$D$29,2,0)</f>
        <v>TOTAL</v>
      </c>
      <c r="Z52" s="413"/>
      <c r="AA52" s="393">
        <f t="shared" si="3"/>
        <v>0</v>
      </c>
      <c r="AB52" s="393">
        <f t="shared" si="8"/>
        <v>0</v>
      </c>
      <c r="AC52" s="394">
        <f t="shared" si="4"/>
        <v>0</v>
      </c>
      <c r="AD52" s="394">
        <f t="shared" si="5"/>
        <v>0</v>
      </c>
      <c r="AE52" s="395">
        <f t="shared" si="9"/>
        <v>0</v>
      </c>
      <c r="AF52" s="398"/>
    </row>
    <row r="53" spans="2:32" s="1" customFormat="1" ht="13" hidden="1" x14ac:dyDescent="0.3">
      <c r="B53" s="383">
        <v>2026</v>
      </c>
      <c r="C53" s="361" t="s">
        <v>415</v>
      </c>
      <c r="D53" s="361" t="s">
        <v>159</v>
      </c>
      <c r="E53" s="360" t="s">
        <v>88</v>
      </c>
      <c r="F53" s="360" t="s">
        <v>80</v>
      </c>
      <c r="G53" s="362">
        <v>46177</v>
      </c>
      <c r="H53" s="363">
        <v>3719</v>
      </c>
      <c r="I53" s="360" t="s">
        <v>148</v>
      </c>
      <c r="J53" s="364" t="str">
        <f>IFERROR(VLOOKUP(I53,Map!$F$18:$G$56,2,0),"Add in Map")</f>
        <v>3P</v>
      </c>
      <c r="K53" s="364" t="str">
        <f>VLOOKUP(L53,Map!$C$18:$D$29,2,0)</f>
        <v>CNT</v>
      </c>
      <c r="L53" s="360" t="s">
        <v>31</v>
      </c>
      <c r="M53" s="365">
        <v>2055020.8797885906</v>
      </c>
      <c r="N53" s="366">
        <f t="shared" ref="N53:N84" si="18">IF(L53="TOTAL",(M53*0.19),0)</f>
        <v>0</v>
      </c>
      <c r="O53" s="366">
        <f t="shared" ref="O53:O84" si="19">M53*1.19</f>
        <v>2445474.8469484225</v>
      </c>
      <c r="P53" s="367">
        <f t="shared" ref="P53:P84" si="20">M53/S53</f>
        <v>2306.4207405034686</v>
      </c>
      <c r="Q53" s="367">
        <f t="shared" ref="Q53:Q84" si="21">IF(L53="TOTAL",(P53*0.19),0)</f>
        <v>0</v>
      </c>
      <c r="R53" s="368">
        <f t="shared" si="7"/>
        <v>2744.6406811991274</v>
      </c>
      <c r="S53" s="384">
        <f>INDEX(FX!$D$3:$O$19,MATCH(B53,FX!$B$3:$B$32,0),MATCH(D53,FX!$D$2:$O$2,0))</f>
        <v>891</v>
      </c>
      <c r="T53" s="360" t="s">
        <v>143</v>
      </c>
      <c r="U53" s="360" t="s">
        <v>32</v>
      </c>
      <c r="V53" s="360" t="s">
        <v>83</v>
      </c>
      <c r="W53" s="364" t="str">
        <f>VLOOKUP(I53,Map!$F$18:$H$51,3,0)</f>
        <v>Variable</v>
      </c>
      <c r="X53" s="370" t="s">
        <v>149</v>
      </c>
      <c r="Y53" s="364" t="str">
        <f>VLOOKUP(L53,Map!$C$18:$D$29,2,0)</f>
        <v>CNT</v>
      </c>
      <c r="Z53" s="365"/>
      <c r="AA53" s="366">
        <f t="shared" si="3"/>
        <v>0</v>
      </c>
      <c r="AB53" s="366">
        <f t="shared" si="8"/>
        <v>0</v>
      </c>
      <c r="AC53" s="367">
        <f t="shared" si="4"/>
        <v>0</v>
      </c>
      <c r="AD53" s="367">
        <f t="shared" si="5"/>
        <v>0</v>
      </c>
      <c r="AE53" s="368">
        <f t="shared" si="9"/>
        <v>0</v>
      </c>
      <c r="AF53" s="385"/>
    </row>
    <row r="54" spans="2:32" s="1" customFormat="1" ht="13" hidden="1" x14ac:dyDescent="0.3">
      <c r="B54" s="383">
        <v>2026</v>
      </c>
      <c r="C54" s="361" t="s">
        <v>415</v>
      </c>
      <c r="D54" s="361" t="s">
        <v>159</v>
      </c>
      <c r="E54" s="360" t="s">
        <v>88</v>
      </c>
      <c r="F54" s="360" t="s">
        <v>80</v>
      </c>
      <c r="G54" s="362">
        <v>46177</v>
      </c>
      <c r="H54" s="363">
        <v>3719</v>
      </c>
      <c r="I54" s="360" t="s">
        <v>148</v>
      </c>
      <c r="J54" s="364" t="str">
        <f>IFERROR(VLOOKUP(I54,Map!$F$18:$G$56,2,0),"Add in Map")</f>
        <v>3P</v>
      </c>
      <c r="K54" s="364" t="str">
        <f>VLOOKUP(L54,Map!$C$18:$D$29,2,0)</f>
        <v>CVT</v>
      </c>
      <c r="L54" s="360" t="s">
        <v>36</v>
      </c>
      <c r="M54" s="365">
        <v>110705.62388511069</v>
      </c>
      <c r="N54" s="366">
        <f t="shared" si="18"/>
        <v>0</v>
      </c>
      <c r="O54" s="366">
        <f t="shared" si="19"/>
        <v>131739.69242328173</v>
      </c>
      <c r="P54" s="367">
        <f t="shared" si="20"/>
        <v>124.24873612245868</v>
      </c>
      <c r="Q54" s="367">
        <f t="shared" si="21"/>
        <v>0</v>
      </c>
      <c r="R54" s="368">
        <f t="shared" si="7"/>
        <v>147.85599598572583</v>
      </c>
      <c r="S54" s="384">
        <f>INDEX(FX!$D$3:$O$19,MATCH(B54,FX!$B$3:$B$32,0),MATCH(D54,FX!$D$2:$O$2,0))</f>
        <v>891</v>
      </c>
      <c r="T54" s="360" t="s">
        <v>143</v>
      </c>
      <c r="U54" s="360" t="s">
        <v>32</v>
      </c>
      <c r="V54" s="360" t="s">
        <v>83</v>
      </c>
      <c r="W54" s="364" t="str">
        <f>VLOOKUP(I54,Map!$F$18:$H$51,3,0)</f>
        <v>Variable</v>
      </c>
      <c r="X54" s="370" t="s">
        <v>149</v>
      </c>
      <c r="Y54" s="364" t="str">
        <f>VLOOKUP(L54,Map!$C$18:$D$29,2,0)</f>
        <v>CVT</v>
      </c>
      <c r="Z54" s="365"/>
      <c r="AA54" s="366">
        <f t="shared" si="3"/>
        <v>0</v>
      </c>
      <c r="AB54" s="366">
        <f t="shared" si="8"/>
        <v>0</v>
      </c>
      <c r="AC54" s="367">
        <f t="shared" si="4"/>
        <v>0</v>
      </c>
      <c r="AD54" s="367">
        <f t="shared" si="5"/>
        <v>0</v>
      </c>
      <c r="AE54" s="368">
        <f t="shared" si="9"/>
        <v>0</v>
      </c>
      <c r="AF54" s="385"/>
    </row>
    <row r="55" spans="2:32" s="1" customFormat="1" ht="13" hidden="1" x14ac:dyDescent="0.3">
      <c r="B55" s="383">
        <v>2026</v>
      </c>
      <c r="C55" s="361" t="s">
        <v>415</v>
      </c>
      <c r="D55" s="361" t="s">
        <v>159</v>
      </c>
      <c r="E55" s="360" t="s">
        <v>88</v>
      </c>
      <c r="F55" s="360" t="s">
        <v>80</v>
      </c>
      <c r="G55" s="362">
        <v>46177</v>
      </c>
      <c r="H55" s="363">
        <v>3719</v>
      </c>
      <c r="I55" s="360" t="s">
        <v>148</v>
      </c>
      <c r="J55" s="364" t="str">
        <f>IFERROR(VLOOKUP(I55,Map!$F$18:$G$56,2,0),"Add in Map")</f>
        <v>3P</v>
      </c>
      <c r="K55" s="364" t="str">
        <f>VLOOKUP(L55,Map!$C$18:$D$29,2,0)</f>
        <v>CDT</v>
      </c>
      <c r="L55" s="360" t="s">
        <v>38</v>
      </c>
      <c r="M55" s="365">
        <v>0</v>
      </c>
      <c r="N55" s="366">
        <f t="shared" si="18"/>
        <v>0</v>
      </c>
      <c r="O55" s="366">
        <f t="shared" si="19"/>
        <v>0</v>
      </c>
      <c r="P55" s="367">
        <f t="shared" si="20"/>
        <v>0</v>
      </c>
      <c r="Q55" s="367">
        <f t="shared" si="21"/>
        <v>0</v>
      </c>
      <c r="R55" s="368">
        <f t="shared" si="7"/>
        <v>0</v>
      </c>
      <c r="S55" s="384">
        <f>INDEX(FX!$D$3:$O$19,MATCH(B55,FX!$B$3:$B$32,0),MATCH(D55,FX!$D$2:$O$2,0))</f>
        <v>891</v>
      </c>
      <c r="T55" s="360" t="s">
        <v>143</v>
      </c>
      <c r="U55" s="360" t="s">
        <v>32</v>
      </c>
      <c r="V55" s="360" t="s">
        <v>83</v>
      </c>
      <c r="W55" s="364" t="str">
        <f>VLOOKUP(I55,Map!$F$18:$H$51,3,0)</f>
        <v>Variable</v>
      </c>
      <c r="X55" s="370" t="s">
        <v>149</v>
      </c>
      <c r="Y55" s="364" t="str">
        <f>VLOOKUP(L55,Map!$C$18:$D$29,2,0)</f>
        <v>CDT</v>
      </c>
      <c r="Z55" s="365"/>
      <c r="AA55" s="366">
        <f t="shared" si="3"/>
        <v>0</v>
      </c>
      <c r="AB55" s="366">
        <f t="shared" si="8"/>
        <v>0</v>
      </c>
      <c r="AC55" s="367">
        <f t="shared" si="4"/>
        <v>0</v>
      </c>
      <c r="AD55" s="367">
        <f t="shared" si="5"/>
        <v>0</v>
      </c>
      <c r="AE55" s="368">
        <f t="shared" si="9"/>
        <v>0</v>
      </c>
      <c r="AF55" s="385"/>
    </row>
    <row r="56" spans="2:32" s="1" customFormat="1" ht="13" hidden="1" x14ac:dyDescent="0.3">
      <c r="B56" s="383">
        <v>2026</v>
      </c>
      <c r="C56" s="361" t="s">
        <v>415</v>
      </c>
      <c r="D56" s="361" t="s">
        <v>159</v>
      </c>
      <c r="E56" s="360" t="s">
        <v>88</v>
      </c>
      <c r="F56" s="360" t="s">
        <v>80</v>
      </c>
      <c r="G56" s="362">
        <v>46177</v>
      </c>
      <c r="H56" s="363">
        <v>3719</v>
      </c>
      <c r="I56" s="360" t="s">
        <v>148</v>
      </c>
      <c r="J56" s="364" t="str">
        <f>IFERROR(VLOOKUP(I56,Map!$F$18:$G$56,2,0),"Add in Map")</f>
        <v>3P</v>
      </c>
      <c r="K56" s="364" t="str">
        <f>VLOOKUP(L56,Map!$C$18:$D$29,2,0)</f>
        <v>DFT</v>
      </c>
      <c r="L56" s="360" t="s">
        <v>40</v>
      </c>
      <c r="M56" s="365">
        <v>6018437.3580757603</v>
      </c>
      <c r="N56" s="366">
        <f t="shared" si="18"/>
        <v>0</v>
      </c>
      <c r="O56" s="366">
        <f t="shared" si="19"/>
        <v>7161940.4561101543</v>
      </c>
      <c r="P56" s="367">
        <f t="shared" si="20"/>
        <v>6754.6996162466448</v>
      </c>
      <c r="Q56" s="367">
        <f t="shared" si="21"/>
        <v>0</v>
      </c>
      <c r="R56" s="368">
        <f t="shared" si="7"/>
        <v>8038.0925433335069</v>
      </c>
      <c r="S56" s="384">
        <f>INDEX(FX!$D$3:$O$19,MATCH(B56,FX!$B$3:$B$32,0),MATCH(D56,FX!$D$2:$O$2,0))</f>
        <v>891</v>
      </c>
      <c r="T56" s="360" t="s">
        <v>143</v>
      </c>
      <c r="U56" s="360" t="s">
        <v>32</v>
      </c>
      <c r="V56" s="360" t="s">
        <v>83</v>
      </c>
      <c r="W56" s="364" t="str">
        <f>VLOOKUP(I56,Map!$F$18:$H$51,3,0)</f>
        <v>Variable</v>
      </c>
      <c r="X56" s="370" t="s">
        <v>149</v>
      </c>
      <c r="Y56" s="364" t="str">
        <f>VLOOKUP(L56,Map!$C$18:$D$29,2,0)</f>
        <v>DFT</v>
      </c>
      <c r="Z56" s="365"/>
      <c r="AA56" s="366">
        <f t="shared" si="3"/>
        <v>0</v>
      </c>
      <c r="AB56" s="366">
        <f t="shared" si="8"/>
        <v>0</v>
      </c>
      <c r="AC56" s="367">
        <f t="shared" si="4"/>
        <v>0</v>
      </c>
      <c r="AD56" s="367">
        <f t="shared" si="5"/>
        <v>0</v>
      </c>
      <c r="AE56" s="368">
        <f t="shared" si="9"/>
        <v>0</v>
      </c>
      <c r="AF56" s="385"/>
    </row>
    <row r="57" spans="2:32" s="1" customFormat="1" ht="13" hidden="1" x14ac:dyDescent="0.3">
      <c r="B57" s="383">
        <v>2026</v>
      </c>
      <c r="C57" s="361" t="s">
        <v>415</v>
      </c>
      <c r="D57" s="361" t="s">
        <v>159</v>
      </c>
      <c r="E57" s="360" t="s">
        <v>88</v>
      </c>
      <c r="F57" s="360" t="s">
        <v>80</v>
      </c>
      <c r="G57" s="362">
        <v>46177</v>
      </c>
      <c r="H57" s="363">
        <v>3719</v>
      </c>
      <c r="I57" s="360" t="s">
        <v>148</v>
      </c>
      <c r="J57" s="364" t="str">
        <f>IFERROR(VLOOKUP(I57,Map!$F$18:$G$56,2,0),"Add in Map")</f>
        <v>3P</v>
      </c>
      <c r="K57" s="364" t="str">
        <f>VLOOKUP(L57,Map!$C$18:$D$29,2,0)</f>
        <v>DVT</v>
      </c>
      <c r="L57" s="360" t="s">
        <v>42</v>
      </c>
      <c r="M57" s="365">
        <v>0</v>
      </c>
      <c r="N57" s="366">
        <f t="shared" si="18"/>
        <v>0</v>
      </c>
      <c r="O57" s="366">
        <f t="shared" si="19"/>
        <v>0</v>
      </c>
      <c r="P57" s="367">
        <f t="shared" si="20"/>
        <v>0</v>
      </c>
      <c r="Q57" s="367">
        <f t="shared" si="21"/>
        <v>0</v>
      </c>
      <c r="R57" s="368">
        <f t="shared" si="7"/>
        <v>0</v>
      </c>
      <c r="S57" s="384">
        <f>INDEX(FX!$D$3:$O$19,MATCH(B57,FX!$B$3:$B$32,0),MATCH(D57,FX!$D$2:$O$2,0))</f>
        <v>891</v>
      </c>
      <c r="T57" s="360" t="s">
        <v>143</v>
      </c>
      <c r="U57" s="360" t="s">
        <v>32</v>
      </c>
      <c r="V57" s="360" t="s">
        <v>83</v>
      </c>
      <c r="W57" s="364" t="str">
        <f>VLOOKUP(I57,Map!$F$18:$H$51,3,0)</f>
        <v>Variable</v>
      </c>
      <c r="X57" s="370" t="s">
        <v>149</v>
      </c>
      <c r="Y57" s="364" t="str">
        <f>VLOOKUP(L57,Map!$C$18:$D$29,2,0)</f>
        <v>DVT</v>
      </c>
      <c r="Z57" s="365"/>
      <c r="AA57" s="366">
        <f t="shared" si="3"/>
        <v>0</v>
      </c>
      <c r="AB57" s="366">
        <f t="shared" si="8"/>
        <v>0</v>
      </c>
      <c r="AC57" s="367">
        <f t="shared" si="4"/>
        <v>0</v>
      </c>
      <c r="AD57" s="367">
        <f t="shared" si="5"/>
        <v>0</v>
      </c>
      <c r="AE57" s="368">
        <f t="shared" si="9"/>
        <v>0</v>
      </c>
      <c r="AF57" s="385"/>
    </row>
    <row r="58" spans="2:32" s="1" customFormat="1" ht="13" hidden="1" x14ac:dyDescent="0.3">
      <c r="B58" s="383">
        <v>2026</v>
      </c>
      <c r="C58" s="361" t="s">
        <v>415</v>
      </c>
      <c r="D58" s="361" t="s">
        <v>159</v>
      </c>
      <c r="E58" s="360" t="s">
        <v>88</v>
      </c>
      <c r="F58" s="360" t="s">
        <v>80</v>
      </c>
      <c r="G58" s="362">
        <v>46177</v>
      </c>
      <c r="H58" s="363">
        <v>3719</v>
      </c>
      <c r="I58" s="360" t="s">
        <v>148</v>
      </c>
      <c r="J58" s="364" t="str">
        <f>IFERROR(VLOOKUP(I58,Map!$F$18:$G$56,2,0),"Add in Map")</f>
        <v>3P</v>
      </c>
      <c r="K58" s="364" t="str">
        <f>VLOOKUP(L58,Map!$C$18:$D$29,2,0)</f>
        <v>GLT</v>
      </c>
      <c r="L58" s="360" t="s">
        <v>44</v>
      </c>
      <c r="M58" s="365">
        <v>2689893.1298958594</v>
      </c>
      <c r="N58" s="366">
        <f t="shared" si="18"/>
        <v>0</v>
      </c>
      <c r="O58" s="366">
        <f t="shared" si="19"/>
        <v>3200972.8245760724</v>
      </c>
      <c r="P58" s="367">
        <f t="shared" si="20"/>
        <v>3018.9597417461946</v>
      </c>
      <c r="Q58" s="367">
        <f t="shared" si="21"/>
        <v>0</v>
      </c>
      <c r="R58" s="368">
        <f t="shared" si="7"/>
        <v>3592.5620926779716</v>
      </c>
      <c r="S58" s="384">
        <f>INDEX(FX!$D$3:$O$19,MATCH(B58,FX!$B$3:$B$32,0),MATCH(D58,FX!$D$2:$O$2,0))</f>
        <v>891</v>
      </c>
      <c r="T58" s="360" t="s">
        <v>143</v>
      </c>
      <c r="U58" s="360" t="s">
        <v>32</v>
      </c>
      <c r="V58" s="360" t="s">
        <v>83</v>
      </c>
      <c r="W58" s="364" t="str">
        <f>VLOOKUP(I58,Map!$F$18:$H$51,3,0)</f>
        <v>Variable</v>
      </c>
      <c r="X58" s="370" t="s">
        <v>149</v>
      </c>
      <c r="Y58" s="364" t="str">
        <f>VLOOKUP(L58,Map!$C$18:$D$29,2,0)</f>
        <v>GLT</v>
      </c>
      <c r="Z58" s="365"/>
      <c r="AA58" s="366">
        <f t="shared" si="3"/>
        <v>0</v>
      </c>
      <c r="AB58" s="366">
        <f t="shared" si="8"/>
        <v>0</v>
      </c>
      <c r="AC58" s="367">
        <f t="shared" si="4"/>
        <v>0</v>
      </c>
      <c r="AD58" s="367">
        <f t="shared" si="5"/>
        <v>0</v>
      </c>
      <c r="AE58" s="368">
        <f t="shared" si="9"/>
        <v>0</v>
      </c>
      <c r="AF58" s="385"/>
    </row>
    <row r="59" spans="2:32" s="1" customFormat="1" ht="13" hidden="1" x14ac:dyDescent="0.3">
      <c r="B59" s="383">
        <v>2026</v>
      </c>
      <c r="C59" s="361" t="s">
        <v>415</v>
      </c>
      <c r="D59" s="361" t="s">
        <v>159</v>
      </c>
      <c r="E59" s="360" t="s">
        <v>88</v>
      </c>
      <c r="F59" s="360" t="s">
        <v>80</v>
      </c>
      <c r="G59" s="362">
        <v>46177</v>
      </c>
      <c r="H59" s="363">
        <v>3719</v>
      </c>
      <c r="I59" s="360" t="s">
        <v>148</v>
      </c>
      <c r="J59" s="364" t="str">
        <f>IFERROR(VLOOKUP(I59,Map!$F$18:$G$56,2,0),"Add in Map")</f>
        <v>3P</v>
      </c>
      <c r="K59" s="364" t="str">
        <f>VLOOKUP(L59,Map!$C$18:$D$29,2,0)</f>
        <v>PNT</v>
      </c>
      <c r="L59" s="360" t="s">
        <v>46</v>
      </c>
      <c r="M59" s="365">
        <v>202816.14837633111</v>
      </c>
      <c r="N59" s="366">
        <f t="shared" si="18"/>
        <v>0</v>
      </c>
      <c r="O59" s="366">
        <f t="shared" si="19"/>
        <v>241351.21656783402</v>
      </c>
      <c r="P59" s="367">
        <f t="shared" si="20"/>
        <v>227.6275514885871</v>
      </c>
      <c r="Q59" s="367">
        <f t="shared" si="21"/>
        <v>0</v>
      </c>
      <c r="R59" s="368">
        <f t="shared" si="7"/>
        <v>270.87678627141867</v>
      </c>
      <c r="S59" s="384">
        <f>INDEX(FX!$D$3:$O$19,MATCH(B59,FX!$B$3:$B$32,0),MATCH(D59,FX!$D$2:$O$2,0))</f>
        <v>891</v>
      </c>
      <c r="T59" s="360" t="s">
        <v>143</v>
      </c>
      <c r="U59" s="360" t="s">
        <v>32</v>
      </c>
      <c r="V59" s="360" t="s">
        <v>83</v>
      </c>
      <c r="W59" s="364" t="str">
        <f>VLOOKUP(I59,Map!$F$18:$H$51,3,0)</f>
        <v>Variable</v>
      </c>
      <c r="X59" s="370" t="s">
        <v>149</v>
      </c>
      <c r="Y59" s="364" t="str">
        <f>VLOOKUP(L59,Map!$C$18:$D$29,2,0)</f>
        <v>PNT</v>
      </c>
      <c r="Z59" s="365"/>
      <c r="AA59" s="366">
        <f t="shared" si="3"/>
        <v>0</v>
      </c>
      <c r="AB59" s="366">
        <f t="shared" si="8"/>
        <v>0</v>
      </c>
      <c r="AC59" s="367">
        <f t="shared" si="4"/>
        <v>0</v>
      </c>
      <c r="AD59" s="367">
        <f t="shared" si="5"/>
        <v>0</v>
      </c>
      <c r="AE59" s="368">
        <f t="shared" si="9"/>
        <v>0</v>
      </c>
      <c r="AF59" s="385"/>
    </row>
    <row r="60" spans="2:32" s="1" customFormat="1" ht="13" hidden="1" x14ac:dyDescent="0.3">
      <c r="B60" s="383">
        <v>2026</v>
      </c>
      <c r="C60" s="361" t="s">
        <v>415</v>
      </c>
      <c r="D60" s="361" t="s">
        <v>159</v>
      </c>
      <c r="E60" s="360" t="s">
        <v>88</v>
      </c>
      <c r="F60" s="360" t="s">
        <v>80</v>
      </c>
      <c r="G60" s="362">
        <v>46177</v>
      </c>
      <c r="H60" s="363">
        <v>3719</v>
      </c>
      <c r="I60" s="360" t="s">
        <v>148</v>
      </c>
      <c r="J60" s="364" t="str">
        <f>IFERROR(VLOOKUP(I60,Map!$F$18:$G$56,2,0),"Add in Map")</f>
        <v>3P</v>
      </c>
      <c r="K60" s="364" t="str">
        <f>VLOOKUP(L60,Map!$C$18:$D$29,2,0)</f>
        <v>GTT</v>
      </c>
      <c r="L60" s="360" t="s">
        <v>48</v>
      </c>
      <c r="M60" s="365">
        <v>108893.76599716295</v>
      </c>
      <c r="N60" s="366">
        <f t="shared" si="18"/>
        <v>0</v>
      </c>
      <c r="O60" s="366">
        <f t="shared" si="19"/>
        <v>129583.5815366239</v>
      </c>
      <c r="P60" s="367">
        <f t="shared" si="20"/>
        <v>122.21522558604147</v>
      </c>
      <c r="Q60" s="367">
        <f t="shared" si="21"/>
        <v>0</v>
      </c>
      <c r="R60" s="368">
        <f t="shared" si="7"/>
        <v>145.43611844738933</v>
      </c>
      <c r="S60" s="384">
        <f>INDEX(FX!$D$3:$O$19,MATCH(B60,FX!$B$3:$B$32,0),MATCH(D60,FX!$D$2:$O$2,0))</f>
        <v>891</v>
      </c>
      <c r="T60" s="360" t="s">
        <v>143</v>
      </c>
      <c r="U60" s="360" t="s">
        <v>32</v>
      </c>
      <c r="V60" s="360" t="s">
        <v>83</v>
      </c>
      <c r="W60" s="364" t="str">
        <f>VLOOKUP(I60,Map!$F$18:$H$51,3,0)</f>
        <v>Variable</v>
      </c>
      <c r="X60" s="370" t="s">
        <v>149</v>
      </c>
      <c r="Y60" s="364" t="str">
        <f>VLOOKUP(L60,Map!$C$18:$D$29,2,0)</f>
        <v>GTT</v>
      </c>
      <c r="Z60" s="365"/>
      <c r="AA60" s="366">
        <f t="shared" si="3"/>
        <v>0</v>
      </c>
      <c r="AB60" s="366">
        <f t="shared" si="8"/>
        <v>0</v>
      </c>
      <c r="AC60" s="367">
        <f t="shared" si="4"/>
        <v>0</v>
      </c>
      <c r="AD60" s="367">
        <f t="shared" si="5"/>
        <v>0</v>
      </c>
      <c r="AE60" s="368">
        <f t="shared" si="9"/>
        <v>0</v>
      </c>
      <c r="AF60" s="385"/>
    </row>
    <row r="61" spans="2:32" s="1" customFormat="1" ht="13" hidden="1" x14ac:dyDescent="0.3">
      <c r="B61" s="383">
        <v>2026</v>
      </c>
      <c r="C61" s="361" t="s">
        <v>415</v>
      </c>
      <c r="D61" s="361" t="s">
        <v>159</v>
      </c>
      <c r="E61" s="360" t="s">
        <v>88</v>
      </c>
      <c r="F61" s="360" t="s">
        <v>80</v>
      </c>
      <c r="G61" s="362">
        <v>46177</v>
      </c>
      <c r="H61" s="363">
        <v>3719</v>
      </c>
      <c r="I61" s="360" t="s">
        <v>148</v>
      </c>
      <c r="J61" s="364" t="str">
        <f>IFERROR(VLOOKUP(I61,Map!$F$18:$G$56,2,0),"Add in Map")</f>
        <v>3P</v>
      </c>
      <c r="K61" s="364" t="str">
        <f>VLOOKUP(L61,Map!$C$18:$D$29,2,0)</f>
        <v>DGT</v>
      </c>
      <c r="L61" s="360" t="s">
        <v>50</v>
      </c>
      <c r="M61" s="365">
        <v>54903.208762582544</v>
      </c>
      <c r="N61" s="366">
        <f t="shared" si="18"/>
        <v>0</v>
      </c>
      <c r="O61" s="366">
        <f t="shared" si="19"/>
        <v>65334.818427473227</v>
      </c>
      <c r="P61" s="367">
        <f t="shared" si="20"/>
        <v>61.619762920968064</v>
      </c>
      <c r="Q61" s="367">
        <f t="shared" si="21"/>
        <v>0</v>
      </c>
      <c r="R61" s="368">
        <f t="shared" si="7"/>
        <v>73.327517875951997</v>
      </c>
      <c r="S61" s="384">
        <f>INDEX(FX!$D$3:$O$19,MATCH(B61,FX!$B$3:$B$32,0),MATCH(D61,FX!$D$2:$O$2,0))</f>
        <v>891</v>
      </c>
      <c r="T61" s="360" t="s">
        <v>143</v>
      </c>
      <c r="U61" s="360" t="s">
        <v>32</v>
      </c>
      <c r="V61" s="360" t="s">
        <v>83</v>
      </c>
      <c r="W61" s="364" t="str">
        <f>VLOOKUP(I61,Map!$F$18:$H$51,3,0)</f>
        <v>Variable</v>
      </c>
      <c r="X61" s="370" t="s">
        <v>149</v>
      </c>
      <c r="Y61" s="364" t="str">
        <f>VLOOKUP(L61,Map!$C$18:$D$29,2,0)</f>
        <v>DGT</v>
      </c>
      <c r="Z61" s="365"/>
      <c r="AA61" s="366">
        <f t="shared" si="3"/>
        <v>0</v>
      </c>
      <c r="AB61" s="366">
        <f t="shared" si="8"/>
        <v>0</v>
      </c>
      <c r="AC61" s="367">
        <f t="shared" si="4"/>
        <v>0</v>
      </c>
      <c r="AD61" s="367">
        <f t="shared" si="5"/>
        <v>0</v>
      </c>
      <c r="AE61" s="368">
        <f t="shared" si="9"/>
        <v>0</v>
      </c>
      <c r="AF61" s="385"/>
    </row>
    <row r="62" spans="2:32" s="1" customFormat="1" ht="13" hidden="1" x14ac:dyDescent="0.3">
      <c r="B62" s="383">
        <v>2026</v>
      </c>
      <c r="C62" s="361" t="s">
        <v>415</v>
      </c>
      <c r="D62" s="361" t="s">
        <v>159</v>
      </c>
      <c r="E62" s="360" t="s">
        <v>88</v>
      </c>
      <c r="F62" s="360" t="s">
        <v>80</v>
      </c>
      <c r="G62" s="362">
        <v>46177</v>
      </c>
      <c r="H62" s="363">
        <v>3719</v>
      </c>
      <c r="I62" s="360" t="s">
        <v>148</v>
      </c>
      <c r="J62" s="364" t="str">
        <f>IFERROR(VLOOKUP(I62,Map!$F$18:$G$56,2,0),"Add in Map")</f>
        <v>3P</v>
      </c>
      <c r="K62" s="364" t="str">
        <f>VLOOKUP(L62,Map!$C$18:$D$29,2,0)</f>
        <v>DLT</v>
      </c>
      <c r="L62" s="360" t="s">
        <v>52</v>
      </c>
      <c r="M62" s="365">
        <v>16787.885218604297</v>
      </c>
      <c r="N62" s="366">
        <f t="shared" si="18"/>
        <v>0</v>
      </c>
      <c r="O62" s="366">
        <f t="shared" si="19"/>
        <v>19977.583410139112</v>
      </c>
      <c r="P62" s="367">
        <f t="shared" si="20"/>
        <v>18.841622018635576</v>
      </c>
      <c r="Q62" s="367">
        <f t="shared" si="21"/>
        <v>0</v>
      </c>
      <c r="R62" s="368">
        <f t="shared" si="7"/>
        <v>22.421530202176335</v>
      </c>
      <c r="S62" s="384">
        <f>INDEX(FX!$D$3:$O$19,MATCH(B62,FX!$B$3:$B$32,0),MATCH(D62,FX!$D$2:$O$2,0))</f>
        <v>891</v>
      </c>
      <c r="T62" s="360" t="s">
        <v>143</v>
      </c>
      <c r="U62" s="360" t="s">
        <v>32</v>
      </c>
      <c r="V62" s="360" t="s">
        <v>83</v>
      </c>
      <c r="W62" s="364" t="str">
        <f>VLOOKUP(I62,Map!$F$18:$H$51,3,0)</f>
        <v>Variable</v>
      </c>
      <c r="X62" s="370" t="s">
        <v>149</v>
      </c>
      <c r="Y62" s="364" t="str">
        <f>VLOOKUP(L62,Map!$C$18:$D$29,2,0)</f>
        <v>DLT</v>
      </c>
      <c r="Z62" s="365"/>
      <c r="AA62" s="366">
        <f t="shared" si="3"/>
        <v>0</v>
      </c>
      <c r="AB62" s="366">
        <f t="shared" si="8"/>
        <v>0</v>
      </c>
      <c r="AC62" s="367">
        <f t="shared" si="4"/>
        <v>0</v>
      </c>
      <c r="AD62" s="367">
        <f t="shared" si="5"/>
        <v>0</v>
      </c>
      <c r="AE62" s="368">
        <f t="shared" si="9"/>
        <v>0</v>
      </c>
      <c r="AF62" s="385"/>
    </row>
    <row r="63" spans="2:32" s="1" customFormat="1" ht="13" hidden="1" x14ac:dyDescent="0.3">
      <c r="B63" s="383">
        <v>2026</v>
      </c>
      <c r="C63" s="361" t="s">
        <v>415</v>
      </c>
      <c r="D63" s="361" t="s">
        <v>159</v>
      </c>
      <c r="E63" s="360" t="s">
        <v>88</v>
      </c>
      <c r="F63" s="360" t="s">
        <v>80</v>
      </c>
      <c r="G63" s="362">
        <v>46177</v>
      </c>
      <c r="H63" s="363">
        <v>3719</v>
      </c>
      <c r="I63" s="360" t="s">
        <v>148</v>
      </c>
      <c r="J63" s="364" t="str">
        <f>IFERROR(VLOOKUP(I63,Map!$F$18:$G$56,2,0),"Add in Map")</f>
        <v>3P</v>
      </c>
      <c r="K63" s="364" t="str">
        <f>VLOOKUP(L63,Map!$C$18:$D$29,2,0)</f>
        <v>DMT</v>
      </c>
      <c r="L63" s="360" t="s">
        <v>54</v>
      </c>
      <c r="M63" s="365">
        <v>0</v>
      </c>
      <c r="N63" s="366">
        <f t="shared" si="18"/>
        <v>0</v>
      </c>
      <c r="O63" s="366">
        <f t="shared" si="19"/>
        <v>0</v>
      </c>
      <c r="P63" s="386">
        <f t="shared" si="20"/>
        <v>0</v>
      </c>
      <c r="Q63" s="367">
        <f t="shared" si="21"/>
        <v>0</v>
      </c>
      <c r="R63" s="368">
        <f t="shared" si="7"/>
        <v>0</v>
      </c>
      <c r="S63" s="384">
        <f>INDEX(FX!$D$3:$O$19,MATCH(B63,FX!$B$3:$B$32,0),MATCH(D63,FX!$D$2:$O$2,0))</f>
        <v>891</v>
      </c>
      <c r="T63" s="360" t="s">
        <v>143</v>
      </c>
      <c r="U63" s="360" t="s">
        <v>32</v>
      </c>
      <c r="V63" s="360" t="s">
        <v>83</v>
      </c>
      <c r="W63" s="364" t="str">
        <f>VLOOKUP(I63,Map!$F$18:$H$51,3,0)</f>
        <v>Variable</v>
      </c>
      <c r="X63" s="370" t="s">
        <v>149</v>
      </c>
      <c r="Y63" s="364" t="str">
        <f>VLOOKUP(L63,Map!$C$18:$D$29,2,0)</f>
        <v>DMT</v>
      </c>
      <c r="Z63" s="365"/>
      <c r="AA63" s="366">
        <f t="shared" si="3"/>
        <v>0</v>
      </c>
      <c r="AB63" s="366">
        <f t="shared" si="8"/>
        <v>0</v>
      </c>
      <c r="AC63" s="386">
        <f t="shared" si="4"/>
        <v>0</v>
      </c>
      <c r="AD63" s="367">
        <f t="shared" si="5"/>
        <v>0</v>
      </c>
      <c r="AE63" s="368">
        <f t="shared" si="9"/>
        <v>0</v>
      </c>
      <c r="AF63" s="385"/>
    </row>
    <row r="64" spans="2:32" s="37" customFormat="1" hidden="1" x14ac:dyDescent="0.35">
      <c r="B64" s="387">
        <v>2026</v>
      </c>
      <c r="C64" s="389" t="s">
        <v>415</v>
      </c>
      <c r="D64" s="389" t="s">
        <v>159</v>
      </c>
      <c r="E64" s="388" t="s">
        <v>88</v>
      </c>
      <c r="F64" s="388" t="s">
        <v>80</v>
      </c>
      <c r="G64" s="390">
        <v>46177</v>
      </c>
      <c r="H64" s="391">
        <v>3719</v>
      </c>
      <c r="I64" s="388" t="s">
        <v>148</v>
      </c>
      <c r="J64" s="392" t="str">
        <f>IFERROR(VLOOKUP(I64,Map!$F$18:$G$56,2,0),"Add in Map")</f>
        <v>3P</v>
      </c>
      <c r="K64" s="392" t="str">
        <f>VLOOKUP(L64,Map!$C$18:$D$29,2,0)</f>
        <v>TOTAL</v>
      </c>
      <c r="L64" s="388" t="s">
        <v>56</v>
      </c>
      <c r="M64" s="393">
        <f>SUM(M53:M63)</f>
        <v>11257458</v>
      </c>
      <c r="N64" s="393">
        <f t="shared" si="18"/>
        <v>2138917.02</v>
      </c>
      <c r="O64" s="393">
        <f t="shared" si="19"/>
        <v>13396375.02</v>
      </c>
      <c r="P64" s="394">
        <f t="shared" si="20"/>
        <v>12634.632996632996</v>
      </c>
      <c r="Q64" s="394">
        <f t="shared" si="21"/>
        <v>2400.5802693602691</v>
      </c>
      <c r="R64" s="395">
        <f t="shared" si="7"/>
        <v>15035.213265993265</v>
      </c>
      <c r="S64" s="396">
        <f>INDEX(FX!$D$3:$O$19,MATCH(B64,FX!$B$3:$B$32,0),MATCH(D64,FX!$D$2:$O$2,0))</f>
        <v>891</v>
      </c>
      <c r="T64" s="388" t="s">
        <v>143</v>
      </c>
      <c r="U64" s="388" t="s">
        <v>32</v>
      </c>
      <c r="V64" s="388" t="s">
        <v>83</v>
      </c>
      <c r="W64" s="392" t="str">
        <f>VLOOKUP(I64,Map!$F$18:$H$51,3,0)</f>
        <v>Variable</v>
      </c>
      <c r="X64" s="397" t="s">
        <v>149</v>
      </c>
      <c r="Y64" s="392" t="str">
        <f>VLOOKUP(L64,Map!$C$18:$D$29,2,0)</f>
        <v>TOTAL</v>
      </c>
      <c r="Z64" s="413"/>
      <c r="AA64" s="393">
        <f t="shared" si="3"/>
        <v>0</v>
      </c>
      <c r="AB64" s="393">
        <f t="shared" si="8"/>
        <v>0</v>
      </c>
      <c r="AC64" s="394">
        <f t="shared" si="4"/>
        <v>0</v>
      </c>
      <c r="AD64" s="394">
        <f t="shared" si="5"/>
        <v>0</v>
      </c>
      <c r="AE64" s="395">
        <f t="shared" si="9"/>
        <v>0</v>
      </c>
      <c r="AF64" s="398"/>
    </row>
    <row r="65" spans="2:32" s="1" customFormat="1" ht="13" hidden="1" x14ac:dyDescent="0.3">
      <c r="B65" s="383">
        <v>2026</v>
      </c>
      <c r="C65" s="361" t="s">
        <v>398</v>
      </c>
      <c r="D65" s="361" t="s">
        <v>80</v>
      </c>
      <c r="E65" s="360" t="s">
        <v>88</v>
      </c>
      <c r="F65" s="360" t="s">
        <v>172</v>
      </c>
      <c r="G65" s="362"/>
      <c r="H65" s="363"/>
      <c r="I65" s="360" t="s">
        <v>148</v>
      </c>
      <c r="J65" s="364" t="str">
        <f>IFERROR(VLOOKUP(I65,Map!$F$18:$G$56,2,0),"Add in Map")</f>
        <v>3P</v>
      </c>
      <c r="K65" s="364" t="str">
        <f>VLOOKUP(L65,Map!$C$18:$D$29,2,0)</f>
        <v>CNT</v>
      </c>
      <c r="L65" s="360" t="s">
        <v>31</v>
      </c>
      <c r="M65" s="365">
        <v>5510370.3004917251</v>
      </c>
      <c r="N65" s="366">
        <f t="shared" si="18"/>
        <v>0</v>
      </c>
      <c r="O65" s="366">
        <f t="shared" si="19"/>
        <v>6557340.6575851524</v>
      </c>
      <c r="P65" s="367">
        <f t="shared" si="20"/>
        <v>5963.6042213113906</v>
      </c>
      <c r="Q65" s="367">
        <f t="shared" si="21"/>
        <v>0</v>
      </c>
      <c r="R65" s="368">
        <f t="shared" si="7"/>
        <v>7096.6890233605545</v>
      </c>
      <c r="S65" s="384">
        <f>INDEX(FX!$D$3:$O$19,MATCH(B65,FX!$B$3:$B$32,0),MATCH(D65,FX!$D$2:$O$2,0))</f>
        <v>924</v>
      </c>
      <c r="T65" s="360" t="s">
        <v>141</v>
      </c>
      <c r="U65" s="360" t="s">
        <v>32</v>
      </c>
      <c r="V65" s="360" t="s">
        <v>83</v>
      </c>
      <c r="W65" s="364" t="str">
        <f>VLOOKUP(I65,Map!$F$18:$H$51,3,0)</f>
        <v>Variable</v>
      </c>
      <c r="X65" s="370" t="s">
        <v>172</v>
      </c>
      <c r="Y65" s="364" t="str">
        <f>VLOOKUP(L65,Map!$C$18:$D$29,2,0)</f>
        <v>CNT</v>
      </c>
      <c r="Z65" s="365"/>
      <c r="AA65" s="366">
        <f t="shared" si="3"/>
        <v>0</v>
      </c>
      <c r="AB65" s="366">
        <f t="shared" si="8"/>
        <v>0</v>
      </c>
      <c r="AC65" s="367">
        <f t="shared" si="4"/>
        <v>0</v>
      </c>
      <c r="AD65" s="367">
        <f t="shared" si="5"/>
        <v>0</v>
      </c>
      <c r="AE65" s="368">
        <f t="shared" si="9"/>
        <v>0</v>
      </c>
      <c r="AF65" s="385"/>
    </row>
    <row r="66" spans="2:32" s="1" customFormat="1" ht="13" hidden="1" x14ac:dyDescent="0.3">
      <c r="B66" s="383">
        <v>2026</v>
      </c>
      <c r="C66" s="361" t="s">
        <v>398</v>
      </c>
      <c r="D66" s="361" t="s">
        <v>80</v>
      </c>
      <c r="E66" s="360" t="s">
        <v>88</v>
      </c>
      <c r="F66" s="360" t="s">
        <v>172</v>
      </c>
      <c r="G66" s="362"/>
      <c r="H66" s="363"/>
      <c r="I66" s="360" t="s">
        <v>148</v>
      </c>
      <c r="J66" s="364" t="str">
        <f>IFERROR(VLOOKUP(I66,Map!$F$18:$G$56,2,0),"Add in Map")</f>
        <v>3P</v>
      </c>
      <c r="K66" s="364" t="str">
        <f>VLOOKUP(L66,Map!$C$18:$D$29,2,0)</f>
        <v>CVT</v>
      </c>
      <c r="L66" s="360" t="s">
        <v>36</v>
      </c>
      <c r="M66" s="365">
        <v>0</v>
      </c>
      <c r="N66" s="366">
        <f t="shared" si="18"/>
        <v>0</v>
      </c>
      <c r="O66" s="366">
        <f t="shared" si="19"/>
        <v>0</v>
      </c>
      <c r="P66" s="367">
        <f t="shared" si="20"/>
        <v>0</v>
      </c>
      <c r="Q66" s="367">
        <f t="shared" si="21"/>
        <v>0</v>
      </c>
      <c r="R66" s="368">
        <f t="shared" si="7"/>
        <v>0</v>
      </c>
      <c r="S66" s="384">
        <f>INDEX(FX!$D$3:$O$19,MATCH(B66,FX!$B$3:$B$32,0),MATCH(D66,FX!$D$2:$O$2,0))</f>
        <v>924</v>
      </c>
      <c r="T66" s="360" t="s">
        <v>141</v>
      </c>
      <c r="U66" s="360" t="s">
        <v>32</v>
      </c>
      <c r="V66" s="360" t="s">
        <v>83</v>
      </c>
      <c r="W66" s="364" t="str">
        <f>VLOOKUP(I66,Map!$F$18:$H$51,3,0)</f>
        <v>Variable</v>
      </c>
      <c r="X66" s="370" t="s">
        <v>172</v>
      </c>
      <c r="Y66" s="364" t="str">
        <f>VLOOKUP(L66,Map!$C$18:$D$29,2,0)</f>
        <v>CVT</v>
      </c>
      <c r="Z66" s="365"/>
      <c r="AA66" s="366">
        <f t="shared" si="3"/>
        <v>0</v>
      </c>
      <c r="AB66" s="366">
        <f t="shared" si="8"/>
        <v>0</v>
      </c>
      <c r="AC66" s="367">
        <f t="shared" si="4"/>
        <v>0</v>
      </c>
      <c r="AD66" s="367">
        <f t="shared" si="5"/>
        <v>0</v>
      </c>
      <c r="AE66" s="368">
        <f t="shared" si="9"/>
        <v>0</v>
      </c>
      <c r="AF66" s="385"/>
    </row>
    <row r="67" spans="2:32" s="1" customFormat="1" ht="13" hidden="1" x14ac:dyDescent="0.3">
      <c r="B67" s="383">
        <v>2026</v>
      </c>
      <c r="C67" s="361" t="s">
        <v>398</v>
      </c>
      <c r="D67" s="361" t="s">
        <v>80</v>
      </c>
      <c r="E67" s="360" t="s">
        <v>88</v>
      </c>
      <c r="F67" s="360" t="s">
        <v>172</v>
      </c>
      <c r="G67" s="362"/>
      <c r="H67" s="363"/>
      <c r="I67" s="360" t="s">
        <v>148</v>
      </c>
      <c r="J67" s="364" t="str">
        <f>IFERROR(VLOOKUP(I67,Map!$F$18:$G$56,2,0),"Add in Map")</f>
        <v>3P</v>
      </c>
      <c r="K67" s="364" t="str">
        <f>VLOOKUP(L67,Map!$C$18:$D$29,2,0)</f>
        <v>CDT</v>
      </c>
      <c r="L67" s="360" t="s">
        <v>38</v>
      </c>
      <c r="M67" s="365">
        <v>70645.77308322725</v>
      </c>
      <c r="N67" s="366">
        <f t="shared" si="18"/>
        <v>0</v>
      </c>
      <c r="O67" s="366">
        <f t="shared" si="19"/>
        <v>84068.469969040423</v>
      </c>
      <c r="P67" s="367">
        <f t="shared" si="20"/>
        <v>76.456464375787064</v>
      </c>
      <c r="Q67" s="367">
        <f t="shared" si="21"/>
        <v>0</v>
      </c>
      <c r="R67" s="368">
        <f t="shared" si="7"/>
        <v>90.983192607186609</v>
      </c>
      <c r="S67" s="384">
        <f>INDEX(FX!$D$3:$O$19,MATCH(B67,FX!$B$3:$B$32,0),MATCH(D67,FX!$D$2:$O$2,0))</f>
        <v>924</v>
      </c>
      <c r="T67" s="360" t="s">
        <v>141</v>
      </c>
      <c r="U67" s="360" t="s">
        <v>32</v>
      </c>
      <c r="V67" s="360" t="s">
        <v>83</v>
      </c>
      <c r="W67" s="364" t="str">
        <f>VLOOKUP(I67,Map!$F$18:$H$51,3,0)</f>
        <v>Variable</v>
      </c>
      <c r="X67" s="370" t="s">
        <v>172</v>
      </c>
      <c r="Y67" s="364" t="str">
        <f>VLOOKUP(L67,Map!$C$18:$D$29,2,0)</f>
        <v>CDT</v>
      </c>
      <c r="Z67" s="365"/>
      <c r="AA67" s="366">
        <f t="shared" si="3"/>
        <v>0</v>
      </c>
      <c r="AB67" s="366">
        <f t="shared" si="8"/>
        <v>0</v>
      </c>
      <c r="AC67" s="367">
        <f t="shared" si="4"/>
        <v>0</v>
      </c>
      <c r="AD67" s="367">
        <f t="shared" si="5"/>
        <v>0</v>
      </c>
      <c r="AE67" s="368">
        <f t="shared" si="9"/>
        <v>0</v>
      </c>
      <c r="AF67" s="385"/>
    </row>
    <row r="68" spans="2:32" s="1" customFormat="1" ht="13" hidden="1" x14ac:dyDescent="0.3">
      <c r="B68" s="383">
        <v>2026</v>
      </c>
      <c r="C68" s="361" t="s">
        <v>398</v>
      </c>
      <c r="D68" s="361" t="s">
        <v>80</v>
      </c>
      <c r="E68" s="360" t="s">
        <v>88</v>
      </c>
      <c r="F68" s="360" t="s">
        <v>172</v>
      </c>
      <c r="G68" s="362"/>
      <c r="H68" s="363"/>
      <c r="I68" s="360" t="s">
        <v>148</v>
      </c>
      <c r="J68" s="364" t="str">
        <f>IFERROR(VLOOKUP(I68,Map!$F$18:$G$56,2,0),"Add in Map")</f>
        <v>3P</v>
      </c>
      <c r="K68" s="364" t="str">
        <f>VLOOKUP(L68,Map!$C$18:$D$29,2,0)</f>
        <v>DFT</v>
      </c>
      <c r="L68" s="360" t="s">
        <v>40</v>
      </c>
      <c r="M68" s="365">
        <v>13281405.339646721</v>
      </c>
      <c r="N68" s="366">
        <f t="shared" si="18"/>
        <v>0</v>
      </c>
      <c r="O68" s="366">
        <f t="shared" si="19"/>
        <v>15804872.354179598</v>
      </c>
      <c r="P68" s="367">
        <f t="shared" si="20"/>
        <v>14373.815302647967</v>
      </c>
      <c r="Q68" s="367">
        <f t="shared" si="21"/>
        <v>0</v>
      </c>
      <c r="R68" s="368">
        <f t="shared" si="7"/>
        <v>17104.84021015108</v>
      </c>
      <c r="S68" s="384">
        <f>INDEX(FX!$D$3:$O$19,MATCH(B68,FX!$B$3:$B$32,0),MATCH(D68,FX!$D$2:$O$2,0))</f>
        <v>924</v>
      </c>
      <c r="T68" s="360" t="s">
        <v>141</v>
      </c>
      <c r="U68" s="360" t="s">
        <v>32</v>
      </c>
      <c r="V68" s="360" t="s">
        <v>83</v>
      </c>
      <c r="W68" s="364" t="str">
        <f>VLOOKUP(I68,Map!$F$18:$H$51,3,0)</f>
        <v>Variable</v>
      </c>
      <c r="X68" s="370" t="s">
        <v>172</v>
      </c>
      <c r="Y68" s="364" t="str">
        <f>VLOOKUP(L68,Map!$C$18:$D$29,2,0)</f>
        <v>DFT</v>
      </c>
      <c r="Z68" s="365"/>
      <c r="AA68" s="366">
        <f t="shared" si="3"/>
        <v>0</v>
      </c>
      <c r="AB68" s="366">
        <f t="shared" si="8"/>
        <v>0</v>
      </c>
      <c r="AC68" s="367">
        <f t="shared" si="4"/>
        <v>0</v>
      </c>
      <c r="AD68" s="367">
        <f t="shared" si="5"/>
        <v>0</v>
      </c>
      <c r="AE68" s="368">
        <f t="shared" si="9"/>
        <v>0</v>
      </c>
      <c r="AF68" s="385"/>
    </row>
    <row r="69" spans="2:32" s="1" customFormat="1" ht="13" hidden="1" x14ac:dyDescent="0.3">
      <c r="B69" s="383">
        <v>2026</v>
      </c>
      <c r="C69" s="361" t="s">
        <v>398</v>
      </c>
      <c r="D69" s="361" t="s">
        <v>80</v>
      </c>
      <c r="E69" s="360" t="s">
        <v>88</v>
      </c>
      <c r="F69" s="360" t="s">
        <v>172</v>
      </c>
      <c r="G69" s="362"/>
      <c r="H69" s="363"/>
      <c r="I69" s="360" t="s">
        <v>148</v>
      </c>
      <c r="J69" s="364" t="str">
        <f>IFERROR(VLOOKUP(I69,Map!$F$18:$G$56,2,0),"Add in Map")</f>
        <v>3P</v>
      </c>
      <c r="K69" s="364" t="str">
        <f>VLOOKUP(L69,Map!$C$18:$D$29,2,0)</f>
        <v>DVT</v>
      </c>
      <c r="L69" s="360" t="s">
        <v>42</v>
      </c>
      <c r="M69" s="365">
        <v>0</v>
      </c>
      <c r="N69" s="366">
        <f t="shared" si="18"/>
        <v>0</v>
      </c>
      <c r="O69" s="366">
        <f t="shared" si="19"/>
        <v>0</v>
      </c>
      <c r="P69" s="367">
        <f t="shared" si="20"/>
        <v>0</v>
      </c>
      <c r="Q69" s="367">
        <f t="shared" si="21"/>
        <v>0</v>
      </c>
      <c r="R69" s="368">
        <f t="shared" si="7"/>
        <v>0</v>
      </c>
      <c r="S69" s="384">
        <f>INDEX(FX!$D$3:$O$19,MATCH(B69,FX!$B$3:$B$32,0),MATCH(D69,FX!$D$2:$O$2,0))</f>
        <v>924</v>
      </c>
      <c r="T69" s="360" t="s">
        <v>141</v>
      </c>
      <c r="U69" s="360" t="s">
        <v>32</v>
      </c>
      <c r="V69" s="360" t="s">
        <v>83</v>
      </c>
      <c r="W69" s="364" t="str">
        <f>VLOOKUP(I69,Map!$F$18:$H$51,3,0)</f>
        <v>Variable</v>
      </c>
      <c r="X69" s="370" t="s">
        <v>172</v>
      </c>
      <c r="Y69" s="364" t="str">
        <f>VLOOKUP(L69,Map!$C$18:$D$29,2,0)</f>
        <v>DVT</v>
      </c>
      <c r="Z69" s="365"/>
      <c r="AA69" s="366">
        <f t="shared" ref="AA69:AA132" si="22">IF(Y69="TOTAL",(Z69*0.19),0)</f>
        <v>0</v>
      </c>
      <c r="AB69" s="366">
        <f t="shared" si="8"/>
        <v>0</v>
      </c>
      <c r="AC69" s="367">
        <f t="shared" ref="AC69:AC132" si="23">Z69/S69</f>
        <v>0</v>
      </c>
      <c r="AD69" s="367">
        <f t="shared" ref="AD69:AD132" si="24">IF(Y69="TOTAL",(AC69*0.19),0)</f>
        <v>0</v>
      </c>
      <c r="AE69" s="368">
        <f t="shared" si="9"/>
        <v>0</v>
      </c>
      <c r="AF69" s="385"/>
    </row>
    <row r="70" spans="2:32" s="1" customFormat="1" ht="13" hidden="1" x14ac:dyDescent="0.3">
      <c r="B70" s="383">
        <v>2026</v>
      </c>
      <c r="C70" s="361" t="s">
        <v>398</v>
      </c>
      <c r="D70" s="361" t="s">
        <v>80</v>
      </c>
      <c r="E70" s="360" t="s">
        <v>88</v>
      </c>
      <c r="F70" s="360" t="s">
        <v>172</v>
      </c>
      <c r="G70" s="362"/>
      <c r="H70" s="363"/>
      <c r="I70" s="360" t="s">
        <v>148</v>
      </c>
      <c r="J70" s="364" t="str">
        <f>IFERROR(VLOOKUP(I70,Map!$F$18:$G$56,2,0),"Add in Map")</f>
        <v>3P</v>
      </c>
      <c r="K70" s="364" t="str">
        <f>VLOOKUP(L70,Map!$C$18:$D$29,2,0)</f>
        <v>GLT</v>
      </c>
      <c r="L70" s="360" t="s">
        <v>44</v>
      </c>
      <c r="M70" s="365">
        <v>2896476.696412317</v>
      </c>
      <c r="N70" s="366">
        <f t="shared" si="18"/>
        <v>0</v>
      </c>
      <c r="O70" s="366">
        <f t="shared" si="19"/>
        <v>3446807.2687306572</v>
      </c>
      <c r="P70" s="367">
        <f t="shared" si="20"/>
        <v>3134.7150394072696</v>
      </c>
      <c r="Q70" s="367">
        <f t="shared" si="21"/>
        <v>0</v>
      </c>
      <c r="R70" s="368">
        <f t="shared" ref="R70:R133" si="25">P70*1.19</f>
        <v>3730.3108968946508</v>
      </c>
      <c r="S70" s="384">
        <f>INDEX(FX!$D$3:$O$19,MATCH(B70,FX!$B$3:$B$32,0),MATCH(D70,FX!$D$2:$O$2,0))</f>
        <v>924</v>
      </c>
      <c r="T70" s="360" t="s">
        <v>141</v>
      </c>
      <c r="U70" s="360" t="s">
        <v>32</v>
      </c>
      <c r="V70" s="360" t="s">
        <v>83</v>
      </c>
      <c r="W70" s="364" t="str">
        <f>VLOOKUP(I70,Map!$F$18:$H$51,3,0)</f>
        <v>Variable</v>
      </c>
      <c r="X70" s="370" t="s">
        <v>172</v>
      </c>
      <c r="Y70" s="364" t="str">
        <f>VLOOKUP(L70,Map!$C$18:$D$29,2,0)</f>
        <v>GLT</v>
      </c>
      <c r="Z70" s="365"/>
      <c r="AA70" s="366">
        <f t="shared" si="22"/>
        <v>0</v>
      </c>
      <c r="AB70" s="366">
        <f t="shared" ref="AB70:AB133" si="26">Z70*1.19</f>
        <v>0</v>
      </c>
      <c r="AC70" s="367">
        <f t="shared" si="23"/>
        <v>0</v>
      </c>
      <c r="AD70" s="367">
        <f t="shared" si="24"/>
        <v>0</v>
      </c>
      <c r="AE70" s="368">
        <f t="shared" ref="AE70:AE133" si="27">AC70*1.19</f>
        <v>0</v>
      </c>
      <c r="AF70" s="385"/>
    </row>
    <row r="71" spans="2:32" s="1" customFormat="1" ht="13" hidden="1" x14ac:dyDescent="0.3">
      <c r="B71" s="383">
        <v>2026</v>
      </c>
      <c r="C71" s="361" t="s">
        <v>398</v>
      </c>
      <c r="D71" s="361" t="s">
        <v>80</v>
      </c>
      <c r="E71" s="360" t="s">
        <v>88</v>
      </c>
      <c r="F71" s="360" t="s">
        <v>172</v>
      </c>
      <c r="G71" s="362"/>
      <c r="H71" s="363"/>
      <c r="I71" s="360" t="s">
        <v>148</v>
      </c>
      <c r="J71" s="364" t="str">
        <f>IFERROR(VLOOKUP(I71,Map!$F$18:$G$56,2,0),"Add in Map")</f>
        <v>3P</v>
      </c>
      <c r="K71" s="364" t="str">
        <f>VLOOKUP(L71,Map!$C$18:$D$29,2,0)</f>
        <v>PNT</v>
      </c>
      <c r="L71" s="360" t="s">
        <v>46</v>
      </c>
      <c r="M71" s="365">
        <v>494520.41158259072</v>
      </c>
      <c r="N71" s="366">
        <f t="shared" si="18"/>
        <v>0</v>
      </c>
      <c r="O71" s="366">
        <f t="shared" si="19"/>
        <v>588479.2897832829</v>
      </c>
      <c r="P71" s="367">
        <f t="shared" si="20"/>
        <v>535.19525063050946</v>
      </c>
      <c r="Q71" s="367">
        <f t="shared" si="21"/>
        <v>0</v>
      </c>
      <c r="R71" s="368">
        <f t="shared" si="25"/>
        <v>636.88234825030622</v>
      </c>
      <c r="S71" s="384">
        <f>INDEX(FX!$D$3:$O$19,MATCH(B71,FX!$B$3:$B$32,0),MATCH(D71,FX!$D$2:$O$2,0))</f>
        <v>924</v>
      </c>
      <c r="T71" s="360" t="s">
        <v>141</v>
      </c>
      <c r="U71" s="360" t="s">
        <v>32</v>
      </c>
      <c r="V71" s="360" t="s">
        <v>83</v>
      </c>
      <c r="W71" s="364" t="str">
        <f>VLOOKUP(I71,Map!$F$18:$H$51,3,0)</f>
        <v>Variable</v>
      </c>
      <c r="X71" s="370" t="s">
        <v>172</v>
      </c>
      <c r="Y71" s="364" t="str">
        <f>VLOOKUP(L71,Map!$C$18:$D$29,2,0)</f>
        <v>PNT</v>
      </c>
      <c r="Z71" s="365"/>
      <c r="AA71" s="366">
        <f t="shared" si="22"/>
        <v>0</v>
      </c>
      <c r="AB71" s="366">
        <f t="shared" si="26"/>
        <v>0</v>
      </c>
      <c r="AC71" s="367">
        <f t="shared" si="23"/>
        <v>0</v>
      </c>
      <c r="AD71" s="367">
        <f t="shared" si="24"/>
        <v>0</v>
      </c>
      <c r="AE71" s="368">
        <f t="shared" si="27"/>
        <v>0</v>
      </c>
      <c r="AF71" s="385"/>
    </row>
    <row r="72" spans="2:32" s="1" customFormat="1" ht="13" hidden="1" x14ac:dyDescent="0.3">
      <c r="B72" s="383">
        <v>2026</v>
      </c>
      <c r="C72" s="361" t="s">
        <v>398</v>
      </c>
      <c r="D72" s="361" t="s">
        <v>80</v>
      </c>
      <c r="E72" s="360" t="s">
        <v>88</v>
      </c>
      <c r="F72" s="360" t="s">
        <v>172</v>
      </c>
      <c r="G72" s="362"/>
      <c r="H72" s="363"/>
      <c r="I72" s="360" t="s">
        <v>148</v>
      </c>
      <c r="J72" s="364" t="str">
        <f>IFERROR(VLOOKUP(I72,Map!$F$18:$G$56,2,0),"Add in Map")</f>
        <v>3P</v>
      </c>
      <c r="K72" s="364" t="str">
        <f>VLOOKUP(L72,Map!$C$18:$D$29,2,0)</f>
        <v>GTT</v>
      </c>
      <c r="L72" s="360" t="s">
        <v>48</v>
      </c>
      <c r="M72" s="365">
        <v>282583.092332909</v>
      </c>
      <c r="N72" s="366">
        <f t="shared" si="18"/>
        <v>0</v>
      </c>
      <c r="O72" s="366">
        <f t="shared" si="19"/>
        <v>336273.87987616169</v>
      </c>
      <c r="P72" s="367">
        <f t="shared" si="20"/>
        <v>305.82585750314826</v>
      </c>
      <c r="Q72" s="367">
        <f t="shared" si="21"/>
        <v>0</v>
      </c>
      <c r="R72" s="368">
        <f t="shared" si="25"/>
        <v>363.93277042874644</v>
      </c>
      <c r="S72" s="384">
        <f>INDEX(FX!$D$3:$O$19,MATCH(B72,FX!$B$3:$B$32,0),MATCH(D72,FX!$D$2:$O$2,0))</f>
        <v>924</v>
      </c>
      <c r="T72" s="360" t="s">
        <v>141</v>
      </c>
      <c r="U72" s="360" t="s">
        <v>32</v>
      </c>
      <c r="V72" s="360" t="s">
        <v>83</v>
      </c>
      <c r="W72" s="364" t="str">
        <f>VLOOKUP(I72,Map!$F$18:$H$51,3,0)</f>
        <v>Variable</v>
      </c>
      <c r="X72" s="370" t="s">
        <v>172</v>
      </c>
      <c r="Y72" s="364" t="str">
        <f>VLOOKUP(L72,Map!$C$18:$D$29,2,0)</f>
        <v>GTT</v>
      </c>
      <c r="Z72" s="365"/>
      <c r="AA72" s="366">
        <f t="shared" si="22"/>
        <v>0</v>
      </c>
      <c r="AB72" s="366">
        <f t="shared" si="26"/>
        <v>0</v>
      </c>
      <c r="AC72" s="367">
        <f t="shared" si="23"/>
        <v>0</v>
      </c>
      <c r="AD72" s="367">
        <f t="shared" si="24"/>
        <v>0</v>
      </c>
      <c r="AE72" s="368">
        <f t="shared" si="27"/>
        <v>0</v>
      </c>
      <c r="AF72" s="385"/>
    </row>
    <row r="73" spans="2:32" s="1" customFormat="1" ht="13" hidden="1" x14ac:dyDescent="0.3">
      <c r="B73" s="383">
        <v>2026</v>
      </c>
      <c r="C73" s="361" t="s">
        <v>398</v>
      </c>
      <c r="D73" s="361" t="s">
        <v>80</v>
      </c>
      <c r="E73" s="360" t="s">
        <v>88</v>
      </c>
      <c r="F73" s="360" t="s">
        <v>172</v>
      </c>
      <c r="G73" s="362"/>
      <c r="H73" s="363"/>
      <c r="I73" s="360" t="s">
        <v>148</v>
      </c>
      <c r="J73" s="364" t="str">
        <f>IFERROR(VLOOKUP(I73,Map!$F$18:$G$56,2,0),"Add in Map")</f>
        <v>3P</v>
      </c>
      <c r="K73" s="364" t="str">
        <f>VLOOKUP(L73,Map!$C$18:$D$29,2,0)</f>
        <v>DGT</v>
      </c>
      <c r="L73" s="360" t="s">
        <v>50</v>
      </c>
      <c r="M73" s="365">
        <v>211937.31924968172</v>
      </c>
      <c r="N73" s="366">
        <f t="shared" si="18"/>
        <v>0</v>
      </c>
      <c r="O73" s="366">
        <f t="shared" si="19"/>
        <v>252205.40990712124</v>
      </c>
      <c r="P73" s="367">
        <f t="shared" si="20"/>
        <v>229.36939312736118</v>
      </c>
      <c r="Q73" s="367">
        <f t="shared" si="21"/>
        <v>0</v>
      </c>
      <c r="R73" s="368">
        <f t="shared" si="25"/>
        <v>272.94957782155979</v>
      </c>
      <c r="S73" s="384">
        <f>INDEX(FX!$D$3:$O$19,MATCH(B73,FX!$B$3:$B$32,0),MATCH(D73,FX!$D$2:$O$2,0))</f>
        <v>924</v>
      </c>
      <c r="T73" s="360" t="s">
        <v>141</v>
      </c>
      <c r="U73" s="360" t="s">
        <v>32</v>
      </c>
      <c r="V73" s="360" t="s">
        <v>83</v>
      </c>
      <c r="W73" s="364" t="str">
        <f>VLOOKUP(I73,Map!$F$18:$H$51,3,0)</f>
        <v>Variable</v>
      </c>
      <c r="X73" s="370" t="s">
        <v>172</v>
      </c>
      <c r="Y73" s="364" t="str">
        <f>VLOOKUP(L73,Map!$C$18:$D$29,2,0)</f>
        <v>DGT</v>
      </c>
      <c r="Z73" s="365"/>
      <c r="AA73" s="366">
        <f t="shared" si="22"/>
        <v>0</v>
      </c>
      <c r="AB73" s="366">
        <f t="shared" si="26"/>
        <v>0</v>
      </c>
      <c r="AC73" s="367">
        <f t="shared" si="23"/>
        <v>0</v>
      </c>
      <c r="AD73" s="367">
        <f t="shared" si="24"/>
        <v>0</v>
      </c>
      <c r="AE73" s="368">
        <f t="shared" si="27"/>
        <v>0</v>
      </c>
      <c r="AF73" s="385"/>
    </row>
    <row r="74" spans="2:32" s="1" customFormat="1" ht="13" hidden="1" x14ac:dyDescent="0.3">
      <c r="B74" s="383">
        <v>2026</v>
      </c>
      <c r="C74" s="361" t="s">
        <v>398</v>
      </c>
      <c r="D74" s="361" t="s">
        <v>80</v>
      </c>
      <c r="E74" s="360" t="s">
        <v>88</v>
      </c>
      <c r="F74" s="360" t="s">
        <v>172</v>
      </c>
      <c r="G74" s="362"/>
      <c r="H74" s="363"/>
      <c r="I74" s="360" t="s">
        <v>148</v>
      </c>
      <c r="J74" s="364" t="str">
        <f>IFERROR(VLOOKUP(I74,Map!$F$18:$G$56,2,0),"Add in Map")</f>
        <v>3P</v>
      </c>
      <c r="K74" s="364" t="str">
        <f>VLOOKUP(L74,Map!$C$18:$D$29,2,0)</f>
        <v>DLT</v>
      </c>
      <c r="L74" s="360" t="s">
        <v>52</v>
      </c>
      <c r="M74" s="365">
        <v>70645.77308322725</v>
      </c>
      <c r="N74" s="366">
        <f t="shared" si="18"/>
        <v>0</v>
      </c>
      <c r="O74" s="366">
        <f t="shared" si="19"/>
        <v>84068.469969040423</v>
      </c>
      <c r="P74" s="367">
        <f t="shared" si="20"/>
        <v>76.456464375787064</v>
      </c>
      <c r="Q74" s="367">
        <f t="shared" si="21"/>
        <v>0</v>
      </c>
      <c r="R74" s="368">
        <f t="shared" si="25"/>
        <v>90.983192607186609</v>
      </c>
      <c r="S74" s="384">
        <f>INDEX(FX!$D$3:$O$19,MATCH(B74,FX!$B$3:$B$32,0),MATCH(D74,FX!$D$2:$O$2,0))</f>
        <v>924</v>
      </c>
      <c r="T74" s="360" t="s">
        <v>141</v>
      </c>
      <c r="U74" s="360" t="s">
        <v>32</v>
      </c>
      <c r="V74" s="360" t="s">
        <v>83</v>
      </c>
      <c r="W74" s="364" t="str">
        <f>VLOOKUP(I74,Map!$F$18:$H$51,3,0)</f>
        <v>Variable</v>
      </c>
      <c r="X74" s="370" t="s">
        <v>172</v>
      </c>
      <c r="Y74" s="364" t="str">
        <f>VLOOKUP(L74,Map!$C$18:$D$29,2,0)</f>
        <v>DLT</v>
      </c>
      <c r="Z74" s="365"/>
      <c r="AA74" s="366">
        <f t="shared" si="22"/>
        <v>0</v>
      </c>
      <c r="AB74" s="366">
        <f t="shared" si="26"/>
        <v>0</v>
      </c>
      <c r="AC74" s="367">
        <f t="shared" si="23"/>
        <v>0</v>
      </c>
      <c r="AD74" s="367">
        <f t="shared" si="24"/>
        <v>0</v>
      </c>
      <c r="AE74" s="368">
        <f t="shared" si="27"/>
        <v>0</v>
      </c>
      <c r="AF74" s="385"/>
    </row>
    <row r="75" spans="2:32" s="1" customFormat="1" ht="13" hidden="1" x14ac:dyDescent="0.3">
      <c r="B75" s="383">
        <v>2026</v>
      </c>
      <c r="C75" s="361" t="s">
        <v>398</v>
      </c>
      <c r="D75" s="361" t="s">
        <v>80</v>
      </c>
      <c r="E75" s="360" t="s">
        <v>88</v>
      </c>
      <c r="F75" s="360" t="s">
        <v>172</v>
      </c>
      <c r="G75" s="362"/>
      <c r="H75" s="363"/>
      <c r="I75" s="360" t="s">
        <v>148</v>
      </c>
      <c r="J75" s="364" t="str">
        <f>IFERROR(VLOOKUP(I75,Map!$F$18:$G$56,2,0),"Add in Map")</f>
        <v>3P</v>
      </c>
      <c r="K75" s="364" t="str">
        <f>VLOOKUP(L75,Map!$C$18:$D$29,2,0)</f>
        <v>DMT</v>
      </c>
      <c r="L75" s="360" t="s">
        <v>54</v>
      </c>
      <c r="M75" s="365">
        <v>0</v>
      </c>
      <c r="N75" s="366">
        <f t="shared" si="18"/>
        <v>0</v>
      </c>
      <c r="O75" s="366">
        <f t="shared" si="19"/>
        <v>0</v>
      </c>
      <c r="P75" s="386">
        <f t="shared" si="20"/>
        <v>0</v>
      </c>
      <c r="Q75" s="367">
        <f t="shared" si="21"/>
        <v>0</v>
      </c>
      <c r="R75" s="368">
        <f t="shared" si="25"/>
        <v>0</v>
      </c>
      <c r="S75" s="384">
        <f>INDEX(FX!$D$3:$O$19,MATCH(B75,FX!$B$3:$B$32,0),MATCH(D75,FX!$D$2:$O$2,0))</f>
        <v>924</v>
      </c>
      <c r="T75" s="360" t="s">
        <v>141</v>
      </c>
      <c r="U75" s="360" t="s">
        <v>32</v>
      </c>
      <c r="V75" s="360" t="s">
        <v>83</v>
      </c>
      <c r="W75" s="364" t="str">
        <f>VLOOKUP(I75,Map!$F$18:$H$51,3,0)</f>
        <v>Variable</v>
      </c>
      <c r="X75" s="370" t="s">
        <v>172</v>
      </c>
      <c r="Y75" s="364" t="str">
        <f>VLOOKUP(L75,Map!$C$18:$D$29,2,0)</f>
        <v>DMT</v>
      </c>
      <c r="Z75" s="365"/>
      <c r="AA75" s="366">
        <f t="shared" si="22"/>
        <v>0</v>
      </c>
      <c r="AB75" s="366">
        <f t="shared" si="26"/>
        <v>0</v>
      </c>
      <c r="AC75" s="386">
        <f t="shared" si="23"/>
        <v>0</v>
      </c>
      <c r="AD75" s="367">
        <f t="shared" si="24"/>
        <v>0</v>
      </c>
      <c r="AE75" s="368">
        <f t="shared" si="27"/>
        <v>0</v>
      </c>
      <c r="AF75" s="385"/>
    </row>
    <row r="76" spans="2:32" s="37" customFormat="1" hidden="1" x14ac:dyDescent="0.35">
      <c r="B76" s="387">
        <v>2026</v>
      </c>
      <c r="C76" s="389" t="s">
        <v>398</v>
      </c>
      <c r="D76" s="389" t="s">
        <v>80</v>
      </c>
      <c r="E76" s="388" t="s">
        <v>88</v>
      </c>
      <c r="F76" s="388" t="s">
        <v>172</v>
      </c>
      <c r="G76" s="390"/>
      <c r="H76" s="391"/>
      <c r="I76" s="388" t="s">
        <v>148</v>
      </c>
      <c r="J76" s="392" t="str">
        <f>IFERROR(VLOOKUP(I76,Map!$F$18:$G$56,2,0),"Add in Map")</f>
        <v>3P</v>
      </c>
      <c r="K76" s="392" t="str">
        <f>VLOOKUP(L76,Map!$C$18:$D$29,2,0)</f>
        <v>TOTAL</v>
      </c>
      <c r="L76" s="388" t="s">
        <v>56</v>
      </c>
      <c r="M76" s="393">
        <f>SUM(M65:M75)</f>
        <v>22818584.7058824</v>
      </c>
      <c r="N76" s="393">
        <f t="shared" si="18"/>
        <v>4335531.0941176564</v>
      </c>
      <c r="O76" s="393">
        <f t="shared" si="19"/>
        <v>27154115.800000057</v>
      </c>
      <c r="P76" s="394">
        <f t="shared" si="20"/>
        <v>24695.437993379222</v>
      </c>
      <c r="Q76" s="394">
        <f t="shared" si="21"/>
        <v>4692.1332187420521</v>
      </c>
      <c r="R76" s="395">
        <f t="shared" si="25"/>
        <v>29387.571212121275</v>
      </c>
      <c r="S76" s="396">
        <f>INDEX(FX!$D$3:$O$19,MATCH(B76,FX!$B$3:$B$32,0),MATCH(D76,FX!$D$2:$O$2,0))</f>
        <v>924</v>
      </c>
      <c r="T76" s="388" t="s">
        <v>141</v>
      </c>
      <c r="U76" s="388" t="s">
        <v>32</v>
      </c>
      <c r="V76" s="388" t="s">
        <v>83</v>
      </c>
      <c r="W76" s="392" t="str">
        <f>VLOOKUP(I76,Map!$F$18:$H$51,3,0)</f>
        <v>Variable</v>
      </c>
      <c r="X76" s="397" t="s">
        <v>172</v>
      </c>
      <c r="Y76" s="392" t="str">
        <f>VLOOKUP(L76,Map!$C$18:$D$29,2,0)</f>
        <v>TOTAL</v>
      </c>
      <c r="Z76" s="413"/>
      <c r="AA76" s="393">
        <f t="shared" si="22"/>
        <v>0</v>
      </c>
      <c r="AB76" s="393">
        <f t="shared" si="26"/>
        <v>0</v>
      </c>
      <c r="AC76" s="394">
        <f t="shared" si="23"/>
        <v>0</v>
      </c>
      <c r="AD76" s="394">
        <f t="shared" si="24"/>
        <v>0</v>
      </c>
      <c r="AE76" s="395">
        <f t="shared" si="27"/>
        <v>0</v>
      </c>
      <c r="AF76" s="398"/>
    </row>
    <row r="77" spans="2:32" s="1" customFormat="1" ht="13" hidden="1" x14ac:dyDescent="0.3">
      <c r="B77" s="383">
        <v>2026</v>
      </c>
      <c r="C77" s="361" t="s">
        <v>397</v>
      </c>
      <c r="D77" s="361" t="s">
        <v>80</v>
      </c>
      <c r="E77" s="360" t="s">
        <v>88</v>
      </c>
      <c r="F77" s="360" t="s">
        <v>172</v>
      </c>
      <c r="G77" s="362"/>
      <c r="H77" s="363"/>
      <c r="I77" s="360" t="s">
        <v>148</v>
      </c>
      <c r="J77" s="364" t="str">
        <f>IFERROR(VLOOKUP(I77,Map!$F$18:$G$56,2,0),"Add in Map")</f>
        <v>3P</v>
      </c>
      <c r="K77" s="364" t="str">
        <f>VLOOKUP(L77,Map!$C$18:$D$29,2,0)</f>
        <v>CNT</v>
      </c>
      <c r="L77" s="360" t="s">
        <v>31</v>
      </c>
      <c r="M77" s="365">
        <v>2753819.4613003097</v>
      </c>
      <c r="N77" s="366">
        <f t="shared" si="18"/>
        <v>0</v>
      </c>
      <c r="O77" s="366">
        <f t="shared" si="19"/>
        <v>3277045.1589473686</v>
      </c>
      <c r="P77" s="367">
        <f t="shared" si="20"/>
        <v>2980.3240923163526</v>
      </c>
      <c r="Q77" s="367">
        <f t="shared" si="21"/>
        <v>0</v>
      </c>
      <c r="R77" s="368">
        <f t="shared" si="25"/>
        <v>3546.5856698564594</v>
      </c>
      <c r="S77" s="384">
        <f>INDEX(FX!$D$3:$O$19,MATCH(B77,FX!$B$3:$B$32,0),MATCH(D77,FX!$D$2:$O$2,0))</f>
        <v>924</v>
      </c>
      <c r="T77" s="360" t="s">
        <v>141</v>
      </c>
      <c r="U77" s="360" t="s">
        <v>32</v>
      </c>
      <c r="V77" s="360" t="s">
        <v>83</v>
      </c>
      <c r="W77" s="364" t="str">
        <f>VLOOKUP(I77,Map!$F$18:$H$51,3,0)</f>
        <v>Variable</v>
      </c>
      <c r="X77" s="370" t="s">
        <v>172</v>
      </c>
      <c r="Y77" s="364" t="str">
        <f>VLOOKUP(L77,Map!$C$18:$D$29,2,0)</f>
        <v>CNT</v>
      </c>
      <c r="Z77" s="365"/>
      <c r="AA77" s="366">
        <f t="shared" si="22"/>
        <v>0</v>
      </c>
      <c r="AB77" s="366">
        <f t="shared" si="26"/>
        <v>0</v>
      </c>
      <c r="AC77" s="367">
        <f t="shared" si="23"/>
        <v>0</v>
      </c>
      <c r="AD77" s="367">
        <f t="shared" si="24"/>
        <v>0</v>
      </c>
      <c r="AE77" s="368">
        <f t="shared" si="27"/>
        <v>0</v>
      </c>
      <c r="AF77" s="385"/>
    </row>
    <row r="78" spans="2:32" s="1" customFormat="1" ht="13" hidden="1" x14ac:dyDescent="0.3">
      <c r="B78" s="383">
        <v>2026</v>
      </c>
      <c r="C78" s="361" t="s">
        <v>397</v>
      </c>
      <c r="D78" s="361" t="s">
        <v>80</v>
      </c>
      <c r="E78" s="360" t="s">
        <v>88</v>
      </c>
      <c r="F78" s="360" t="s">
        <v>172</v>
      </c>
      <c r="G78" s="362"/>
      <c r="H78" s="363"/>
      <c r="I78" s="360" t="s">
        <v>148</v>
      </c>
      <c r="J78" s="364" t="str">
        <f>IFERROR(VLOOKUP(I78,Map!$F$18:$G$56,2,0),"Add in Map")</f>
        <v>3P</v>
      </c>
      <c r="K78" s="364" t="str">
        <f>VLOOKUP(L78,Map!$C$18:$D$29,2,0)</f>
        <v>CVT</v>
      </c>
      <c r="L78" s="360" t="s">
        <v>36</v>
      </c>
      <c r="M78" s="365">
        <v>0</v>
      </c>
      <c r="N78" s="366">
        <f t="shared" si="18"/>
        <v>0</v>
      </c>
      <c r="O78" s="366">
        <f t="shared" si="19"/>
        <v>0</v>
      </c>
      <c r="P78" s="367">
        <f t="shared" si="20"/>
        <v>0</v>
      </c>
      <c r="Q78" s="367">
        <f t="shared" si="21"/>
        <v>0</v>
      </c>
      <c r="R78" s="368">
        <f t="shared" si="25"/>
        <v>0</v>
      </c>
      <c r="S78" s="384">
        <f>INDEX(FX!$D$3:$O$19,MATCH(B78,FX!$B$3:$B$32,0),MATCH(D78,FX!$D$2:$O$2,0))</f>
        <v>924</v>
      </c>
      <c r="T78" s="360" t="s">
        <v>141</v>
      </c>
      <c r="U78" s="360" t="s">
        <v>32</v>
      </c>
      <c r="V78" s="360" t="s">
        <v>83</v>
      </c>
      <c r="W78" s="364" t="str">
        <f>VLOOKUP(I78,Map!$F$18:$H$51,3,0)</f>
        <v>Variable</v>
      </c>
      <c r="X78" s="370" t="s">
        <v>172</v>
      </c>
      <c r="Y78" s="364" t="str">
        <f>VLOOKUP(L78,Map!$C$18:$D$29,2,0)</f>
        <v>CVT</v>
      </c>
      <c r="Z78" s="365"/>
      <c r="AA78" s="366">
        <f t="shared" si="22"/>
        <v>0</v>
      </c>
      <c r="AB78" s="366">
        <f t="shared" si="26"/>
        <v>0</v>
      </c>
      <c r="AC78" s="367">
        <f t="shared" si="23"/>
        <v>0</v>
      </c>
      <c r="AD78" s="367">
        <f t="shared" si="24"/>
        <v>0</v>
      </c>
      <c r="AE78" s="368">
        <f t="shared" si="27"/>
        <v>0</v>
      </c>
      <c r="AF78" s="385"/>
    </row>
    <row r="79" spans="2:32" s="1" customFormat="1" ht="13" hidden="1" x14ac:dyDescent="0.3">
      <c r="B79" s="383">
        <v>2026</v>
      </c>
      <c r="C79" s="361" t="s">
        <v>397</v>
      </c>
      <c r="D79" s="361" t="s">
        <v>80</v>
      </c>
      <c r="E79" s="360" t="s">
        <v>88</v>
      </c>
      <c r="F79" s="360" t="s">
        <v>172</v>
      </c>
      <c r="G79" s="362"/>
      <c r="H79" s="363"/>
      <c r="I79" s="360" t="s">
        <v>148</v>
      </c>
      <c r="J79" s="364" t="str">
        <f>IFERROR(VLOOKUP(I79,Map!$F$18:$G$56,2,0),"Add in Map")</f>
        <v>3P</v>
      </c>
      <c r="K79" s="364" t="str">
        <f>VLOOKUP(L79,Map!$C$18:$D$29,2,0)</f>
        <v>CDT</v>
      </c>
      <c r="L79" s="360" t="s">
        <v>38</v>
      </c>
      <c r="M79" s="365">
        <v>35305.377708978333</v>
      </c>
      <c r="N79" s="366">
        <f t="shared" si="18"/>
        <v>0</v>
      </c>
      <c r="O79" s="366">
        <f t="shared" si="19"/>
        <v>42013.399473684214</v>
      </c>
      <c r="P79" s="367">
        <f t="shared" si="20"/>
        <v>38.209283234825037</v>
      </c>
      <c r="Q79" s="367">
        <f t="shared" si="21"/>
        <v>0</v>
      </c>
      <c r="R79" s="368">
        <f t="shared" si="25"/>
        <v>45.469047049441791</v>
      </c>
      <c r="S79" s="384">
        <f>INDEX(FX!$D$3:$O$19,MATCH(B79,FX!$B$3:$B$32,0),MATCH(D79,FX!$D$2:$O$2,0))</f>
        <v>924</v>
      </c>
      <c r="T79" s="360" t="s">
        <v>141</v>
      </c>
      <c r="U79" s="360" t="s">
        <v>32</v>
      </c>
      <c r="V79" s="360" t="s">
        <v>83</v>
      </c>
      <c r="W79" s="364" t="str">
        <f>VLOOKUP(I79,Map!$F$18:$H$51,3,0)</f>
        <v>Variable</v>
      </c>
      <c r="X79" s="370" t="s">
        <v>172</v>
      </c>
      <c r="Y79" s="364" t="str">
        <f>VLOOKUP(L79,Map!$C$18:$D$29,2,0)</f>
        <v>CDT</v>
      </c>
      <c r="Z79" s="365"/>
      <c r="AA79" s="366">
        <f t="shared" si="22"/>
        <v>0</v>
      </c>
      <c r="AB79" s="366">
        <f t="shared" si="26"/>
        <v>0</v>
      </c>
      <c r="AC79" s="367">
        <f t="shared" si="23"/>
        <v>0</v>
      </c>
      <c r="AD79" s="367">
        <f t="shared" si="24"/>
        <v>0</v>
      </c>
      <c r="AE79" s="368">
        <f t="shared" si="27"/>
        <v>0</v>
      </c>
      <c r="AF79" s="385"/>
    </row>
    <row r="80" spans="2:32" s="1" customFormat="1" ht="13" hidden="1" x14ac:dyDescent="0.3">
      <c r="B80" s="383">
        <v>2026</v>
      </c>
      <c r="C80" s="361" t="s">
        <v>397</v>
      </c>
      <c r="D80" s="361" t="s">
        <v>80</v>
      </c>
      <c r="E80" s="360" t="s">
        <v>88</v>
      </c>
      <c r="F80" s="360" t="s">
        <v>172</v>
      </c>
      <c r="G80" s="362"/>
      <c r="H80" s="363"/>
      <c r="I80" s="360" t="s">
        <v>148</v>
      </c>
      <c r="J80" s="364" t="str">
        <f>IFERROR(VLOOKUP(I80,Map!$F$18:$G$56,2,0),"Add in Map")</f>
        <v>3P</v>
      </c>
      <c r="K80" s="364" t="str">
        <f>VLOOKUP(L80,Map!$C$18:$D$29,2,0)</f>
        <v>DFT</v>
      </c>
      <c r="L80" s="360" t="s">
        <v>40</v>
      </c>
      <c r="M80" s="365">
        <v>6637411.0092879254</v>
      </c>
      <c r="N80" s="366">
        <f t="shared" si="18"/>
        <v>0</v>
      </c>
      <c r="O80" s="366">
        <f t="shared" si="19"/>
        <v>7898519.1010526307</v>
      </c>
      <c r="P80" s="367">
        <f t="shared" si="20"/>
        <v>7183.3452481471058</v>
      </c>
      <c r="Q80" s="367">
        <f t="shared" si="21"/>
        <v>0</v>
      </c>
      <c r="R80" s="368">
        <f t="shared" si="25"/>
        <v>8548.1808452950554</v>
      </c>
      <c r="S80" s="384">
        <f>INDEX(FX!$D$3:$O$19,MATCH(B80,FX!$B$3:$B$32,0),MATCH(D80,FX!$D$2:$O$2,0))</f>
        <v>924</v>
      </c>
      <c r="T80" s="360" t="s">
        <v>141</v>
      </c>
      <c r="U80" s="360" t="s">
        <v>32</v>
      </c>
      <c r="V80" s="360" t="s">
        <v>83</v>
      </c>
      <c r="W80" s="364" t="str">
        <f>VLOOKUP(I80,Map!$F$18:$H$51,3,0)</f>
        <v>Variable</v>
      </c>
      <c r="X80" s="370" t="s">
        <v>172</v>
      </c>
      <c r="Y80" s="364" t="str">
        <f>VLOOKUP(L80,Map!$C$18:$D$29,2,0)</f>
        <v>DFT</v>
      </c>
      <c r="Z80" s="365"/>
      <c r="AA80" s="366">
        <f t="shared" si="22"/>
        <v>0</v>
      </c>
      <c r="AB80" s="366">
        <f t="shared" si="26"/>
        <v>0</v>
      </c>
      <c r="AC80" s="367">
        <f t="shared" si="23"/>
        <v>0</v>
      </c>
      <c r="AD80" s="367">
        <f t="shared" si="24"/>
        <v>0</v>
      </c>
      <c r="AE80" s="368">
        <f t="shared" si="27"/>
        <v>0</v>
      </c>
      <c r="AF80" s="385"/>
    </row>
    <row r="81" spans="2:32" s="1" customFormat="1" ht="13" hidden="1" x14ac:dyDescent="0.3">
      <c r="B81" s="383">
        <v>2026</v>
      </c>
      <c r="C81" s="361" t="s">
        <v>397</v>
      </c>
      <c r="D81" s="361" t="s">
        <v>80</v>
      </c>
      <c r="E81" s="360" t="s">
        <v>88</v>
      </c>
      <c r="F81" s="360" t="s">
        <v>172</v>
      </c>
      <c r="G81" s="362"/>
      <c r="H81" s="363"/>
      <c r="I81" s="360" t="s">
        <v>148</v>
      </c>
      <c r="J81" s="364" t="str">
        <f>IFERROR(VLOOKUP(I81,Map!$F$18:$G$56,2,0),"Add in Map")</f>
        <v>3P</v>
      </c>
      <c r="K81" s="364" t="str">
        <f>VLOOKUP(L81,Map!$C$18:$D$29,2,0)</f>
        <v>DVT</v>
      </c>
      <c r="L81" s="360" t="s">
        <v>42</v>
      </c>
      <c r="M81" s="365">
        <v>0</v>
      </c>
      <c r="N81" s="366">
        <f t="shared" si="18"/>
        <v>0</v>
      </c>
      <c r="O81" s="366">
        <f t="shared" si="19"/>
        <v>0</v>
      </c>
      <c r="P81" s="367">
        <f t="shared" si="20"/>
        <v>0</v>
      </c>
      <c r="Q81" s="367">
        <f t="shared" si="21"/>
        <v>0</v>
      </c>
      <c r="R81" s="368">
        <f t="shared" si="25"/>
        <v>0</v>
      </c>
      <c r="S81" s="384">
        <f>INDEX(FX!$D$3:$O$19,MATCH(B81,FX!$B$3:$B$32,0),MATCH(D81,FX!$D$2:$O$2,0))</f>
        <v>924</v>
      </c>
      <c r="T81" s="360" t="s">
        <v>141</v>
      </c>
      <c r="U81" s="360" t="s">
        <v>32</v>
      </c>
      <c r="V81" s="360" t="s">
        <v>83</v>
      </c>
      <c r="W81" s="364" t="str">
        <f>VLOOKUP(I81,Map!$F$18:$H$51,3,0)</f>
        <v>Variable</v>
      </c>
      <c r="X81" s="370" t="s">
        <v>172</v>
      </c>
      <c r="Y81" s="364" t="str">
        <f>VLOOKUP(L81,Map!$C$18:$D$29,2,0)</f>
        <v>DVT</v>
      </c>
      <c r="Z81" s="365"/>
      <c r="AA81" s="366">
        <f t="shared" si="22"/>
        <v>0</v>
      </c>
      <c r="AB81" s="366">
        <f t="shared" si="26"/>
        <v>0</v>
      </c>
      <c r="AC81" s="367">
        <f t="shared" si="23"/>
        <v>0</v>
      </c>
      <c r="AD81" s="367">
        <f t="shared" si="24"/>
        <v>0</v>
      </c>
      <c r="AE81" s="368">
        <f t="shared" si="27"/>
        <v>0</v>
      </c>
      <c r="AF81" s="385"/>
    </row>
    <row r="82" spans="2:32" s="1" customFormat="1" ht="13" hidden="1" x14ac:dyDescent="0.3">
      <c r="B82" s="383">
        <v>2026</v>
      </c>
      <c r="C82" s="361" t="s">
        <v>397</v>
      </c>
      <c r="D82" s="361" t="s">
        <v>80</v>
      </c>
      <c r="E82" s="360" t="s">
        <v>88</v>
      </c>
      <c r="F82" s="360" t="s">
        <v>172</v>
      </c>
      <c r="G82" s="362"/>
      <c r="H82" s="363"/>
      <c r="I82" s="360" t="s">
        <v>148</v>
      </c>
      <c r="J82" s="364" t="str">
        <f>IFERROR(VLOOKUP(I82,Map!$F$18:$G$56,2,0),"Add in Map")</f>
        <v>3P</v>
      </c>
      <c r="K82" s="364" t="str">
        <f>VLOOKUP(L82,Map!$C$18:$D$29,2,0)</f>
        <v>GLT</v>
      </c>
      <c r="L82" s="360" t="s">
        <v>44</v>
      </c>
      <c r="M82" s="365">
        <v>1447520.4860681114</v>
      </c>
      <c r="N82" s="366">
        <f t="shared" si="18"/>
        <v>0</v>
      </c>
      <c r="O82" s="366">
        <f t="shared" si="19"/>
        <v>1722549.3784210524</v>
      </c>
      <c r="P82" s="367">
        <f t="shared" si="20"/>
        <v>1566.5806126278262</v>
      </c>
      <c r="Q82" s="367">
        <f t="shared" si="21"/>
        <v>0</v>
      </c>
      <c r="R82" s="368">
        <f t="shared" si="25"/>
        <v>1864.230929027113</v>
      </c>
      <c r="S82" s="384">
        <f>INDEX(FX!$D$3:$O$19,MATCH(B82,FX!$B$3:$B$32,0),MATCH(D82,FX!$D$2:$O$2,0))</f>
        <v>924</v>
      </c>
      <c r="T82" s="360" t="s">
        <v>141</v>
      </c>
      <c r="U82" s="360" t="s">
        <v>32</v>
      </c>
      <c r="V82" s="360" t="s">
        <v>83</v>
      </c>
      <c r="W82" s="364" t="str">
        <f>VLOOKUP(I82,Map!$F$18:$H$51,3,0)</f>
        <v>Variable</v>
      </c>
      <c r="X82" s="370" t="s">
        <v>172</v>
      </c>
      <c r="Y82" s="364" t="str">
        <f>VLOOKUP(L82,Map!$C$18:$D$29,2,0)</f>
        <v>GLT</v>
      </c>
      <c r="Z82" s="365"/>
      <c r="AA82" s="366">
        <f t="shared" si="22"/>
        <v>0</v>
      </c>
      <c r="AB82" s="366">
        <f t="shared" si="26"/>
        <v>0</v>
      </c>
      <c r="AC82" s="367">
        <f t="shared" si="23"/>
        <v>0</v>
      </c>
      <c r="AD82" s="367">
        <f t="shared" si="24"/>
        <v>0</v>
      </c>
      <c r="AE82" s="368">
        <f t="shared" si="27"/>
        <v>0</v>
      </c>
      <c r="AF82" s="385"/>
    </row>
    <row r="83" spans="2:32" s="1" customFormat="1" ht="13" hidden="1" x14ac:dyDescent="0.3">
      <c r="B83" s="383">
        <v>2026</v>
      </c>
      <c r="C83" s="361" t="s">
        <v>397</v>
      </c>
      <c r="D83" s="361" t="s">
        <v>80</v>
      </c>
      <c r="E83" s="360" t="s">
        <v>88</v>
      </c>
      <c r="F83" s="360" t="s">
        <v>172</v>
      </c>
      <c r="G83" s="362"/>
      <c r="H83" s="363"/>
      <c r="I83" s="360" t="s">
        <v>148</v>
      </c>
      <c r="J83" s="364" t="str">
        <f>IFERROR(VLOOKUP(I83,Map!$F$18:$G$56,2,0),"Add in Map")</f>
        <v>3P</v>
      </c>
      <c r="K83" s="364" t="str">
        <f>VLOOKUP(L83,Map!$C$18:$D$29,2,0)</f>
        <v>PNT</v>
      </c>
      <c r="L83" s="360" t="s">
        <v>46</v>
      </c>
      <c r="M83" s="365">
        <v>247137.64396284829</v>
      </c>
      <c r="N83" s="366">
        <f t="shared" si="18"/>
        <v>0</v>
      </c>
      <c r="O83" s="366">
        <f t="shared" si="19"/>
        <v>294093.79631578946</v>
      </c>
      <c r="P83" s="367">
        <f t="shared" si="20"/>
        <v>267.46498264377522</v>
      </c>
      <c r="Q83" s="367">
        <f t="shared" si="21"/>
        <v>0</v>
      </c>
      <c r="R83" s="368">
        <f t="shared" si="25"/>
        <v>318.2833293460925</v>
      </c>
      <c r="S83" s="384">
        <f>INDEX(FX!$D$3:$O$19,MATCH(B83,FX!$B$3:$B$32,0),MATCH(D83,FX!$D$2:$O$2,0))</f>
        <v>924</v>
      </c>
      <c r="T83" s="360" t="s">
        <v>141</v>
      </c>
      <c r="U83" s="360" t="s">
        <v>32</v>
      </c>
      <c r="V83" s="360" t="s">
        <v>83</v>
      </c>
      <c r="W83" s="364" t="str">
        <f>VLOOKUP(I83,Map!$F$18:$H$51,3,0)</f>
        <v>Variable</v>
      </c>
      <c r="X83" s="370" t="s">
        <v>172</v>
      </c>
      <c r="Y83" s="364" t="str">
        <f>VLOOKUP(L83,Map!$C$18:$D$29,2,0)</f>
        <v>PNT</v>
      </c>
      <c r="Z83" s="365"/>
      <c r="AA83" s="366">
        <f t="shared" si="22"/>
        <v>0</v>
      </c>
      <c r="AB83" s="366">
        <f t="shared" si="26"/>
        <v>0</v>
      </c>
      <c r="AC83" s="367">
        <f t="shared" si="23"/>
        <v>0</v>
      </c>
      <c r="AD83" s="367">
        <f t="shared" si="24"/>
        <v>0</v>
      </c>
      <c r="AE83" s="368">
        <f t="shared" si="27"/>
        <v>0</v>
      </c>
      <c r="AF83" s="385"/>
    </row>
    <row r="84" spans="2:32" s="1" customFormat="1" ht="13" hidden="1" x14ac:dyDescent="0.3">
      <c r="B84" s="383">
        <v>2026</v>
      </c>
      <c r="C84" s="361" t="s">
        <v>397</v>
      </c>
      <c r="D84" s="361" t="s">
        <v>80</v>
      </c>
      <c r="E84" s="360" t="s">
        <v>88</v>
      </c>
      <c r="F84" s="360" t="s">
        <v>172</v>
      </c>
      <c r="G84" s="362"/>
      <c r="H84" s="363"/>
      <c r="I84" s="360" t="s">
        <v>148</v>
      </c>
      <c r="J84" s="364" t="str">
        <f>IFERROR(VLOOKUP(I84,Map!$F$18:$G$56,2,0),"Add in Map")</f>
        <v>3P</v>
      </c>
      <c r="K84" s="364" t="str">
        <f>VLOOKUP(L84,Map!$C$18:$D$29,2,0)</f>
        <v>GTT</v>
      </c>
      <c r="L84" s="360" t="s">
        <v>48</v>
      </c>
      <c r="M84" s="365">
        <v>141221.51083591333</v>
      </c>
      <c r="N84" s="366">
        <f t="shared" si="18"/>
        <v>0</v>
      </c>
      <c r="O84" s="366">
        <f t="shared" si="19"/>
        <v>168053.59789473686</v>
      </c>
      <c r="P84" s="367">
        <f t="shared" si="20"/>
        <v>152.83713293930015</v>
      </c>
      <c r="Q84" s="367">
        <f t="shared" si="21"/>
        <v>0</v>
      </c>
      <c r="R84" s="368">
        <f t="shared" si="25"/>
        <v>181.87618819776716</v>
      </c>
      <c r="S84" s="384">
        <f>INDEX(FX!$D$3:$O$19,MATCH(B84,FX!$B$3:$B$32,0),MATCH(D84,FX!$D$2:$O$2,0))</f>
        <v>924</v>
      </c>
      <c r="T84" s="360" t="s">
        <v>141</v>
      </c>
      <c r="U84" s="360" t="s">
        <v>32</v>
      </c>
      <c r="V84" s="360" t="s">
        <v>83</v>
      </c>
      <c r="W84" s="364" t="str">
        <f>VLOOKUP(I84,Map!$F$18:$H$51,3,0)</f>
        <v>Variable</v>
      </c>
      <c r="X84" s="370" t="s">
        <v>172</v>
      </c>
      <c r="Y84" s="364" t="str">
        <f>VLOOKUP(L84,Map!$C$18:$D$29,2,0)</f>
        <v>GTT</v>
      </c>
      <c r="Z84" s="365"/>
      <c r="AA84" s="366">
        <f t="shared" si="22"/>
        <v>0</v>
      </c>
      <c r="AB84" s="366">
        <f t="shared" si="26"/>
        <v>0</v>
      </c>
      <c r="AC84" s="367">
        <f t="shared" si="23"/>
        <v>0</v>
      </c>
      <c r="AD84" s="367">
        <f t="shared" si="24"/>
        <v>0</v>
      </c>
      <c r="AE84" s="368">
        <f t="shared" si="27"/>
        <v>0</v>
      </c>
      <c r="AF84" s="385"/>
    </row>
    <row r="85" spans="2:32" s="1" customFormat="1" ht="13" hidden="1" x14ac:dyDescent="0.3">
      <c r="B85" s="383">
        <v>2026</v>
      </c>
      <c r="C85" s="361" t="s">
        <v>397</v>
      </c>
      <c r="D85" s="361" t="s">
        <v>80</v>
      </c>
      <c r="E85" s="360" t="s">
        <v>88</v>
      </c>
      <c r="F85" s="360" t="s">
        <v>172</v>
      </c>
      <c r="G85" s="362"/>
      <c r="H85" s="363"/>
      <c r="I85" s="360" t="s">
        <v>148</v>
      </c>
      <c r="J85" s="364" t="str">
        <f>IFERROR(VLOOKUP(I85,Map!$F$18:$G$56,2,0),"Add in Map")</f>
        <v>3P</v>
      </c>
      <c r="K85" s="364" t="str">
        <f>VLOOKUP(L85,Map!$C$18:$D$29,2,0)</f>
        <v>DGT</v>
      </c>
      <c r="L85" s="360" t="s">
        <v>50</v>
      </c>
      <c r="M85" s="365">
        <v>105916.13312693498</v>
      </c>
      <c r="N85" s="366">
        <f t="shared" ref="N85:N116" si="28">IF(L85="TOTAL",(M85*0.19),0)</f>
        <v>0</v>
      </c>
      <c r="O85" s="366">
        <f t="shared" ref="O85:O116" si="29">M85*1.19</f>
        <v>126040.19842105261</v>
      </c>
      <c r="P85" s="367">
        <f t="shared" ref="P85:P116" si="30">M85/S85</f>
        <v>114.62784970447508</v>
      </c>
      <c r="Q85" s="367">
        <f t="shared" ref="Q85:Q116" si="31">IF(L85="TOTAL",(P85*0.19),0)</f>
        <v>0</v>
      </c>
      <c r="R85" s="368">
        <f t="shared" si="25"/>
        <v>136.40714114832534</v>
      </c>
      <c r="S85" s="384">
        <f>INDEX(FX!$D$3:$O$19,MATCH(B85,FX!$B$3:$B$32,0),MATCH(D85,FX!$D$2:$O$2,0))</f>
        <v>924</v>
      </c>
      <c r="T85" s="360" t="s">
        <v>141</v>
      </c>
      <c r="U85" s="360" t="s">
        <v>32</v>
      </c>
      <c r="V85" s="360" t="s">
        <v>83</v>
      </c>
      <c r="W85" s="364" t="str">
        <f>VLOOKUP(I85,Map!$F$18:$H$51,3,0)</f>
        <v>Variable</v>
      </c>
      <c r="X85" s="370" t="s">
        <v>172</v>
      </c>
      <c r="Y85" s="364" t="str">
        <f>VLOOKUP(L85,Map!$C$18:$D$29,2,0)</f>
        <v>DGT</v>
      </c>
      <c r="Z85" s="365"/>
      <c r="AA85" s="366">
        <f t="shared" si="22"/>
        <v>0</v>
      </c>
      <c r="AB85" s="366">
        <f t="shared" si="26"/>
        <v>0</v>
      </c>
      <c r="AC85" s="367">
        <f t="shared" si="23"/>
        <v>0</v>
      </c>
      <c r="AD85" s="367">
        <f t="shared" si="24"/>
        <v>0</v>
      </c>
      <c r="AE85" s="368">
        <f t="shared" si="27"/>
        <v>0</v>
      </c>
      <c r="AF85" s="385"/>
    </row>
    <row r="86" spans="2:32" s="1" customFormat="1" ht="13" hidden="1" x14ac:dyDescent="0.3">
      <c r="B86" s="383">
        <v>2026</v>
      </c>
      <c r="C86" s="361" t="s">
        <v>397</v>
      </c>
      <c r="D86" s="361" t="s">
        <v>80</v>
      </c>
      <c r="E86" s="360" t="s">
        <v>88</v>
      </c>
      <c r="F86" s="360" t="s">
        <v>172</v>
      </c>
      <c r="G86" s="362"/>
      <c r="H86" s="363"/>
      <c r="I86" s="360" t="s">
        <v>148</v>
      </c>
      <c r="J86" s="364" t="str">
        <f>IFERROR(VLOOKUP(I86,Map!$F$18:$G$56,2,0),"Add in Map")</f>
        <v>3P</v>
      </c>
      <c r="K86" s="364" t="str">
        <f>VLOOKUP(L86,Map!$C$18:$D$29,2,0)</f>
        <v>DLT</v>
      </c>
      <c r="L86" s="360" t="s">
        <v>52</v>
      </c>
      <c r="M86" s="365">
        <v>35305.377708978333</v>
      </c>
      <c r="N86" s="366">
        <f t="shared" si="28"/>
        <v>0</v>
      </c>
      <c r="O86" s="366">
        <f t="shared" si="29"/>
        <v>42013.399473684214</v>
      </c>
      <c r="P86" s="367">
        <f t="shared" si="30"/>
        <v>38.209283234825037</v>
      </c>
      <c r="Q86" s="367">
        <f t="shared" si="31"/>
        <v>0</v>
      </c>
      <c r="R86" s="368">
        <f t="shared" si="25"/>
        <v>45.469047049441791</v>
      </c>
      <c r="S86" s="384">
        <f>INDEX(FX!$D$3:$O$19,MATCH(B86,FX!$B$3:$B$32,0),MATCH(D86,FX!$D$2:$O$2,0))</f>
        <v>924</v>
      </c>
      <c r="T86" s="360" t="s">
        <v>141</v>
      </c>
      <c r="U86" s="360" t="s">
        <v>32</v>
      </c>
      <c r="V86" s="360" t="s">
        <v>83</v>
      </c>
      <c r="W86" s="364" t="str">
        <f>VLOOKUP(I86,Map!$F$18:$H$51,3,0)</f>
        <v>Variable</v>
      </c>
      <c r="X86" s="370" t="s">
        <v>172</v>
      </c>
      <c r="Y86" s="364" t="str">
        <f>VLOOKUP(L86,Map!$C$18:$D$29,2,0)</f>
        <v>DLT</v>
      </c>
      <c r="Z86" s="365"/>
      <c r="AA86" s="366">
        <f t="shared" si="22"/>
        <v>0</v>
      </c>
      <c r="AB86" s="366">
        <f t="shared" si="26"/>
        <v>0</v>
      </c>
      <c r="AC86" s="367">
        <f t="shared" si="23"/>
        <v>0</v>
      </c>
      <c r="AD86" s="367">
        <f t="shared" si="24"/>
        <v>0</v>
      </c>
      <c r="AE86" s="368">
        <f t="shared" si="27"/>
        <v>0</v>
      </c>
      <c r="AF86" s="385"/>
    </row>
    <row r="87" spans="2:32" s="1" customFormat="1" ht="13" hidden="1" x14ac:dyDescent="0.3">
      <c r="B87" s="383">
        <v>2026</v>
      </c>
      <c r="C87" s="361" t="s">
        <v>397</v>
      </c>
      <c r="D87" s="361" t="s">
        <v>80</v>
      </c>
      <c r="E87" s="360" t="s">
        <v>88</v>
      </c>
      <c r="F87" s="360" t="s">
        <v>172</v>
      </c>
      <c r="G87" s="362"/>
      <c r="H87" s="363"/>
      <c r="I87" s="360" t="s">
        <v>148</v>
      </c>
      <c r="J87" s="364" t="str">
        <f>IFERROR(VLOOKUP(I87,Map!$F$18:$G$56,2,0),"Add in Map")</f>
        <v>3P</v>
      </c>
      <c r="K87" s="364" t="str">
        <f>VLOOKUP(L87,Map!$C$18:$D$29,2,0)</f>
        <v>DMT</v>
      </c>
      <c r="L87" s="360" t="s">
        <v>54</v>
      </c>
      <c r="M87" s="365">
        <v>0</v>
      </c>
      <c r="N87" s="366">
        <f t="shared" si="28"/>
        <v>0</v>
      </c>
      <c r="O87" s="366">
        <f t="shared" si="29"/>
        <v>0</v>
      </c>
      <c r="P87" s="386">
        <f t="shared" si="30"/>
        <v>0</v>
      </c>
      <c r="Q87" s="367">
        <f t="shared" si="31"/>
        <v>0</v>
      </c>
      <c r="R87" s="368">
        <f t="shared" si="25"/>
        <v>0</v>
      </c>
      <c r="S87" s="384">
        <f>INDEX(FX!$D$3:$O$19,MATCH(B87,FX!$B$3:$B$32,0),MATCH(D87,FX!$D$2:$O$2,0))</f>
        <v>924</v>
      </c>
      <c r="T87" s="360" t="s">
        <v>141</v>
      </c>
      <c r="U87" s="360" t="s">
        <v>32</v>
      </c>
      <c r="V87" s="360" t="s">
        <v>83</v>
      </c>
      <c r="W87" s="364" t="str">
        <f>VLOOKUP(I87,Map!$F$18:$H$51,3,0)</f>
        <v>Variable</v>
      </c>
      <c r="X87" s="370" t="s">
        <v>172</v>
      </c>
      <c r="Y87" s="364" t="str">
        <f>VLOOKUP(L87,Map!$C$18:$D$29,2,0)</f>
        <v>DMT</v>
      </c>
      <c r="Z87" s="365"/>
      <c r="AA87" s="366">
        <f t="shared" si="22"/>
        <v>0</v>
      </c>
      <c r="AB87" s="366">
        <f t="shared" si="26"/>
        <v>0</v>
      </c>
      <c r="AC87" s="386">
        <f t="shared" si="23"/>
        <v>0</v>
      </c>
      <c r="AD87" s="367">
        <f t="shared" si="24"/>
        <v>0</v>
      </c>
      <c r="AE87" s="368">
        <f t="shared" si="27"/>
        <v>0</v>
      </c>
      <c r="AF87" s="385"/>
    </row>
    <row r="88" spans="2:32" s="37" customFormat="1" hidden="1" x14ac:dyDescent="0.35">
      <c r="B88" s="387">
        <v>2026</v>
      </c>
      <c r="C88" s="389" t="s">
        <v>397</v>
      </c>
      <c r="D88" s="389" t="s">
        <v>80</v>
      </c>
      <c r="E88" s="388" t="s">
        <v>88</v>
      </c>
      <c r="F88" s="388" t="s">
        <v>172</v>
      </c>
      <c r="G88" s="390"/>
      <c r="H88" s="391"/>
      <c r="I88" s="388" t="s">
        <v>148</v>
      </c>
      <c r="J88" s="392" t="str">
        <f>IFERROR(VLOOKUP(I88,Map!$F$18:$G$56,2,0),"Add in Map")</f>
        <v>3P</v>
      </c>
      <c r="K88" s="392" t="str">
        <f>VLOOKUP(L88,Map!$C$18:$D$29,2,0)</f>
        <v>TOTAL</v>
      </c>
      <c r="L88" s="388" t="s">
        <v>56</v>
      </c>
      <c r="M88" s="393">
        <f>SUM(M77:M87)</f>
        <v>11403637.000000002</v>
      </c>
      <c r="N88" s="393">
        <f t="shared" si="28"/>
        <v>2166691.0300000003</v>
      </c>
      <c r="O88" s="393">
        <f t="shared" si="29"/>
        <v>13570328.030000001</v>
      </c>
      <c r="P88" s="394">
        <f t="shared" si="30"/>
        <v>12341.598484848488</v>
      </c>
      <c r="Q88" s="394">
        <f t="shared" si="31"/>
        <v>2344.9037121212127</v>
      </c>
      <c r="R88" s="395">
        <f t="shared" si="25"/>
        <v>14686.502196969699</v>
      </c>
      <c r="S88" s="396">
        <f>INDEX(FX!$D$3:$O$19,MATCH(B88,FX!$B$3:$B$32,0),MATCH(D88,FX!$D$2:$O$2,0))</f>
        <v>924</v>
      </c>
      <c r="T88" s="388" t="s">
        <v>141</v>
      </c>
      <c r="U88" s="388" t="s">
        <v>32</v>
      </c>
      <c r="V88" s="388" t="s">
        <v>83</v>
      </c>
      <c r="W88" s="392" t="str">
        <f>VLOOKUP(I88,Map!$F$18:$H$51,3,0)</f>
        <v>Variable</v>
      </c>
      <c r="X88" s="397" t="s">
        <v>172</v>
      </c>
      <c r="Y88" s="392" t="str">
        <f>VLOOKUP(L88,Map!$C$18:$D$29,2,0)</f>
        <v>TOTAL</v>
      </c>
      <c r="Z88" s="413"/>
      <c r="AA88" s="393">
        <f t="shared" si="22"/>
        <v>0</v>
      </c>
      <c r="AB88" s="393">
        <f t="shared" si="26"/>
        <v>0</v>
      </c>
      <c r="AC88" s="394">
        <f t="shared" si="23"/>
        <v>0</v>
      </c>
      <c r="AD88" s="394">
        <f t="shared" si="24"/>
        <v>0</v>
      </c>
      <c r="AE88" s="395">
        <f t="shared" si="27"/>
        <v>0</v>
      </c>
      <c r="AF88" s="398"/>
    </row>
    <row r="89" spans="2:32" s="1" customFormat="1" ht="13" hidden="1" x14ac:dyDescent="0.3">
      <c r="B89" s="383">
        <v>2026</v>
      </c>
      <c r="C89" s="361" t="s">
        <v>416</v>
      </c>
      <c r="D89" s="361" t="s">
        <v>162</v>
      </c>
      <c r="E89" s="360" t="s">
        <v>88</v>
      </c>
      <c r="F89" s="360" t="s">
        <v>80</v>
      </c>
      <c r="G89" s="362">
        <v>46209</v>
      </c>
      <c r="H89" s="363">
        <v>3825</v>
      </c>
      <c r="I89" s="360" t="s">
        <v>148</v>
      </c>
      <c r="J89" s="364" t="str">
        <f>IFERROR(VLOOKUP(I89,Map!$F$18:$G$56,2,0),"Add in Map")</f>
        <v>3P</v>
      </c>
      <c r="K89" s="364" t="str">
        <f>VLOOKUP(L89,Map!$C$18:$D$29,2,0)</f>
        <v>CNT</v>
      </c>
      <c r="L89" s="360" t="s">
        <v>31</v>
      </c>
      <c r="M89" s="365">
        <v>4386097.151701197</v>
      </c>
      <c r="N89" s="366">
        <f t="shared" si="28"/>
        <v>0</v>
      </c>
      <c r="O89" s="366">
        <f t="shared" si="29"/>
        <v>5219455.6105244244</v>
      </c>
      <c r="P89" s="367">
        <f t="shared" si="30"/>
        <v>4752.0012477802784</v>
      </c>
      <c r="Q89" s="367">
        <f t="shared" si="31"/>
        <v>0</v>
      </c>
      <c r="R89" s="368">
        <f t="shared" si="25"/>
        <v>5654.8814848585307</v>
      </c>
      <c r="S89" s="384">
        <f>INDEX(FX!$D$3:$O$19,MATCH(B89,FX!$B$3:$B$32,0),MATCH(D89,FX!$D$2:$O$2,0))</f>
        <v>923</v>
      </c>
      <c r="T89" s="360" t="s">
        <v>141</v>
      </c>
      <c r="U89" s="360" t="s">
        <v>32</v>
      </c>
      <c r="V89" s="360" t="s">
        <v>83</v>
      </c>
      <c r="W89" s="364" t="str">
        <f>VLOOKUP(I89,Map!$F$18:$H$51,3,0)</f>
        <v>Variable</v>
      </c>
      <c r="X89" s="370" t="s">
        <v>149</v>
      </c>
      <c r="Y89" s="364" t="str">
        <f>VLOOKUP(L89,Map!$C$18:$D$29,2,0)</f>
        <v>CNT</v>
      </c>
      <c r="Z89" s="365"/>
      <c r="AA89" s="366">
        <f t="shared" si="22"/>
        <v>0</v>
      </c>
      <c r="AB89" s="366">
        <f t="shared" si="26"/>
        <v>0</v>
      </c>
      <c r="AC89" s="367">
        <f t="shared" si="23"/>
        <v>0</v>
      </c>
      <c r="AD89" s="367">
        <f t="shared" si="24"/>
        <v>0</v>
      </c>
      <c r="AE89" s="368">
        <f t="shared" si="27"/>
        <v>0</v>
      </c>
      <c r="AF89" s="385"/>
    </row>
    <row r="90" spans="2:32" s="1" customFormat="1" ht="13" hidden="1" x14ac:dyDescent="0.3">
      <c r="B90" s="383">
        <v>2026</v>
      </c>
      <c r="C90" s="361" t="s">
        <v>416</v>
      </c>
      <c r="D90" s="361" t="s">
        <v>162</v>
      </c>
      <c r="E90" s="360" t="s">
        <v>88</v>
      </c>
      <c r="F90" s="360" t="s">
        <v>80</v>
      </c>
      <c r="G90" s="362">
        <v>46209</v>
      </c>
      <c r="H90" s="363">
        <v>3825</v>
      </c>
      <c r="I90" s="360" t="s">
        <v>148</v>
      </c>
      <c r="J90" s="364" t="str">
        <f>IFERROR(VLOOKUP(I90,Map!$F$18:$G$56,2,0),"Add in Map")</f>
        <v>3P</v>
      </c>
      <c r="K90" s="364" t="str">
        <f>VLOOKUP(L90,Map!$C$18:$D$29,2,0)</f>
        <v>CVT</v>
      </c>
      <c r="L90" s="360" t="s">
        <v>36</v>
      </c>
      <c r="M90" s="365">
        <v>106612.12639544965</v>
      </c>
      <c r="N90" s="366">
        <f t="shared" si="28"/>
        <v>0</v>
      </c>
      <c r="O90" s="366">
        <f t="shared" si="29"/>
        <v>126868.43041058508</v>
      </c>
      <c r="P90" s="367">
        <f t="shared" si="30"/>
        <v>115.50609576971793</v>
      </c>
      <c r="Q90" s="367">
        <f t="shared" si="31"/>
        <v>0</v>
      </c>
      <c r="R90" s="368">
        <f t="shared" si="25"/>
        <v>137.45225396596433</v>
      </c>
      <c r="S90" s="384">
        <f>INDEX(FX!$D$3:$O$19,MATCH(B90,FX!$B$3:$B$32,0),MATCH(D90,FX!$D$2:$O$2,0))</f>
        <v>923</v>
      </c>
      <c r="T90" s="360" t="s">
        <v>141</v>
      </c>
      <c r="U90" s="360" t="s">
        <v>32</v>
      </c>
      <c r="V90" s="360" t="s">
        <v>83</v>
      </c>
      <c r="W90" s="364" t="str">
        <f>VLOOKUP(I90,Map!$F$18:$H$51,3,0)</f>
        <v>Variable</v>
      </c>
      <c r="X90" s="370" t="s">
        <v>149</v>
      </c>
      <c r="Y90" s="364" t="str">
        <f>VLOOKUP(L90,Map!$C$18:$D$29,2,0)</f>
        <v>CVT</v>
      </c>
      <c r="Z90" s="365"/>
      <c r="AA90" s="366">
        <f t="shared" si="22"/>
        <v>0</v>
      </c>
      <c r="AB90" s="366">
        <f t="shared" si="26"/>
        <v>0</v>
      </c>
      <c r="AC90" s="367">
        <f t="shared" si="23"/>
        <v>0</v>
      </c>
      <c r="AD90" s="367">
        <f t="shared" si="24"/>
        <v>0</v>
      </c>
      <c r="AE90" s="368">
        <f t="shared" si="27"/>
        <v>0</v>
      </c>
      <c r="AF90" s="385"/>
    </row>
    <row r="91" spans="2:32" s="1" customFormat="1" ht="13" hidden="1" x14ac:dyDescent="0.3">
      <c r="B91" s="383">
        <v>2026</v>
      </c>
      <c r="C91" s="361" t="s">
        <v>416</v>
      </c>
      <c r="D91" s="361" t="s">
        <v>162</v>
      </c>
      <c r="E91" s="360" t="s">
        <v>88</v>
      </c>
      <c r="F91" s="360" t="s">
        <v>80</v>
      </c>
      <c r="G91" s="362">
        <v>46209</v>
      </c>
      <c r="H91" s="363">
        <v>3825</v>
      </c>
      <c r="I91" s="360" t="s">
        <v>148</v>
      </c>
      <c r="J91" s="364" t="str">
        <f>IFERROR(VLOOKUP(I91,Map!$F$18:$G$56,2,0),"Add in Map")</f>
        <v>3P</v>
      </c>
      <c r="K91" s="364" t="str">
        <f>VLOOKUP(L91,Map!$C$18:$D$29,2,0)</f>
        <v>CDT</v>
      </c>
      <c r="L91" s="360" t="s">
        <v>38</v>
      </c>
      <c r="M91" s="365">
        <v>109759.65830688897</v>
      </c>
      <c r="N91" s="366">
        <f t="shared" si="28"/>
        <v>0</v>
      </c>
      <c r="O91" s="366">
        <f t="shared" si="29"/>
        <v>130613.99338519787</v>
      </c>
      <c r="P91" s="367">
        <f t="shared" si="30"/>
        <v>118.9162061829783</v>
      </c>
      <c r="Q91" s="367">
        <f t="shared" si="31"/>
        <v>0</v>
      </c>
      <c r="R91" s="368">
        <f t="shared" si="25"/>
        <v>141.51028535774418</v>
      </c>
      <c r="S91" s="384">
        <f>INDEX(FX!$D$3:$O$19,MATCH(B91,FX!$B$3:$B$32,0),MATCH(D91,FX!$D$2:$O$2,0))</f>
        <v>923</v>
      </c>
      <c r="T91" s="360" t="s">
        <v>141</v>
      </c>
      <c r="U91" s="360" t="s">
        <v>32</v>
      </c>
      <c r="V91" s="360" t="s">
        <v>83</v>
      </c>
      <c r="W91" s="364" t="str">
        <f>VLOOKUP(I91,Map!$F$18:$H$51,3,0)</f>
        <v>Variable</v>
      </c>
      <c r="X91" s="370" t="s">
        <v>149</v>
      </c>
      <c r="Y91" s="364" t="str">
        <f>VLOOKUP(L91,Map!$C$18:$D$29,2,0)</f>
        <v>CDT</v>
      </c>
      <c r="Z91" s="365"/>
      <c r="AA91" s="366">
        <f t="shared" si="22"/>
        <v>0</v>
      </c>
      <c r="AB91" s="366">
        <f t="shared" si="26"/>
        <v>0</v>
      </c>
      <c r="AC91" s="367">
        <f t="shared" si="23"/>
        <v>0</v>
      </c>
      <c r="AD91" s="367">
        <f t="shared" si="24"/>
        <v>0</v>
      </c>
      <c r="AE91" s="368">
        <f t="shared" si="27"/>
        <v>0</v>
      </c>
      <c r="AF91" s="385"/>
    </row>
    <row r="92" spans="2:32" s="1" customFormat="1" ht="13" hidden="1" x14ac:dyDescent="0.3">
      <c r="B92" s="383">
        <v>2026</v>
      </c>
      <c r="C92" s="361" t="s">
        <v>416</v>
      </c>
      <c r="D92" s="361" t="s">
        <v>162</v>
      </c>
      <c r="E92" s="360" t="s">
        <v>88</v>
      </c>
      <c r="F92" s="360" t="s">
        <v>80</v>
      </c>
      <c r="G92" s="362">
        <v>46209</v>
      </c>
      <c r="H92" s="363">
        <v>3825</v>
      </c>
      <c r="I92" s="360" t="s">
        <v>148</v>
      </c>
      <c r="J92" s="364" t="str">
        <f>IFERROR(VLOOKUP(I92,Map!$F$18:$G$56,2,0),"Add in Map")</f>
        <v>3P</v>
      </c>
      <c r="K92" s="364" t="str">
        <f>VLOOKUP(L92,Map!$C$18:$D$29,2,0)</f>
        <v>DFT</v>
      </c>
      <c r="L92" s="360" t="s">
        <v>40</v>
      </c>
      <c r="M92" s="365">
        <v>9147577.4149127286</v>
      </c>
      <c r="N92" s="366">
        <f t="shared" si="28"/>
        <v>0</v>
      </c>
      <c r="O92" s="366">
        <f t="shared" si="29"/>
        <v>10885617.123746147</v>
      </c>
      <c r="P92" s="367">
        <f t="shared" si="30"/>
        <v>9910.7014246075069</v>
      </c>
      <c r="Q92" s="367">
        <f t="shared" si="31"/>
        <v>0</v>
      </c>
      <c r="R92" s="368">
        <f t="shared" si="25"/>
        <v>11793.734695282932</v>
      </c>
      <c r="S92" s="384">
        <f>INDEX(FX!$D$3:$O$19,MATCH(B92,FX!$B$3:$B$32,0),MATCH(D92,FX!$D$2:$O$2,0))</f>
        <v>923</v>
      </c>
      <c r="T92" s="360" t="s">
        <v>141</v>
      </c>
      <c r="U92" s="360" t="s">
        <v>32</v>
      </c>
      <c r="V92" s="360" t="s">
        <v>83</v>
      </c>
      <c r="W92" s="364" t="str">
        <f>VLOOKUP(I92,Map!$F$18:$H$51,3,0)</f>
        <v>Variable</v>
      </c>
      <c r="X92" s="370" t="s">
        <v>149</v>
      </c>
      <c r="Y92" s="364" t="str">
        <f>VLOOKUP(L92,Map!$C$18:$D$29,2,0)</f>
        <v>DFT</v>
      </c>
      <c r="Z92" s="365"/>
      <c r="AA92" s="366">
        <f t="shared" si="22"/>
        <v>0</v>
      </c>
      <c r="AB92" s="366">
        <f t="shared" si="26"/>
        <v>0</v>
      </c>
      <c r="AC92" s="367">
        <f t="shared" si="23"/>
        <v>0</v>
      </c>
      <c r="AD92" s="367">
        <f t="shared" si="24"/>
        <v>0</v>
      </c>
      <c r="AE92" s="368">
        <f t="shared" si="27"/>
        <v>0</v>
      </c>
      <c r="AF92" s="385"/>
    </row>
    <row r="93" spans="2:32" s="1" customFormat="1" ht="13" hidden="1" x14ac:dyDescent="0.3">
      <c r="B93" s="383">
        <v>2026</v>
      </c>
      <c r="C93" s="361" t="s">
        <v>416</v>
      </c>
      <c r="D93" s="361" t="s">
        <v>162</v>
      </c>
      <c r="E93" s="360" t="s">
        <v>88</v>
      </c>
      <c r="F93" s="360" t="s">
        <v>80</v>
      </c>
      <c r="G93" s="362">
        <v>46209</v>
      </c>
      <c r="H93" s="363">
        <v>3825</v>
      </c>
      <c r="I93" s="360" t="s">
        <v>148</v>
      </c>
      <c r="J93" s="364" t="str">
        <f>IFERROR(VLOOKUP(I93,Map!$F$18:$G$56,2,0),"Add in Map")</f>
        <v>3P</v>
      </c>
      <c r="K93" s="364" t="str">
        <f>VLOOKUP(L93,Map!$C$18:$D$29,2,0)</f>
        <v>DVT</v>
      </c>
      <c r="L93" s="360" t="s">
        <v>42</v>
      </c>
      <c r="M93" s="365">
        <v>0</v>
      </c>
      <c r="N93" s="366">
        <f t="shared" si="28"/>
        <v>0</v>
      </c>
      <c r="O93" s="366">
        <f t="shared" si="29"/>
        <v>0</v>
      </c>
      <c r="P93" s="367">
        <f t="shared" si="30"/>
        <v>0</v>
      </c>
      <c r="Q93" s="367">
        <f t="shared" si="31"/>
        <v>0</v>
      </c>
      <c r="R93" s="368">
        <f t="shared" si="25"/>
        <v>0</v>
      </c>
      <c r="S93" s="384">
        <f>INDEX(FX!$D$3:$O$19,MATCH(B93,FX!$B$3:$B$32,0),MATCH(D93,FX!$D$2:$O$2,0))</f>
        <v>923</v>
      </c>
      <c r="T93" s="360" t="s">
        <v>141</v>
      </c>
      <c r="U93" s="360" t="s">
        <v>32</v>
      </c>
      <c r="V93" s="360" t="s">
        <v>83</v>
      </c>
      <c r="W93" s="364" t="str">
        <f>VLOOKUP(I93,Map!$F$18:$H$51,3,0)</f>
        <v>Variable</v>
      </c>
      <c r="X93" s="370" t="s">
        <v>149</v>
      </c>
      <c r="Y93" s="364" t="str">
        <f>VLOOKUP(L93,Map!$C$18:$D$29,2,0)</f>
        <v>DVT</v>
      </c>
      <c r="Z93" s="365"/>
      <c r="AA93" s="366">
        <f t="shared" si="22"/>
        <v>0</v>
      </c>
      <c r="AB93" s="366">
        <f t="shared" si="26"/>
        <v>0</v>
      </c>
      <c r="AC93" s="367">
        <f t="shared" si="23"/>
        <v>0</v>
      </c>
      <c r="AD93" s="367">
        <f t="shared" si="24"/>
        <v>0</v>
      </c>
      <c r="AE93" s="368">
        <f t="shared" si="27"/>
        <v>0</v>
      </c>
      <c r="AF93" s="385"/>
    </row>
    <row r="94" spans="2:32" s="1" customFormat="1" ht="13" hidden="1" x14ac:dyDescent="0.3">
      <c r="B94" s="383">
        <v>2026</v>
      </c>
      <c r="C94" s="361" t="s">
        <v>416</v>
      </c>
      <c r="D94" s="361" t="s">
        <v>162</v>
      </c>
      <c r="E94" s="360" t="s">
        <v>88</v>
      </c>
      <c r="F94" s="360" t="s">
        <v>80</v>
      </c>
      <c r="G94" s="362">
        <v>46209</v>
      </c>
      <c r="H94" s="363">
        <v>3825</v>
      </c>
      <c r="I94" s="360" t="s">
        <v>148</v>
      </c>
      <c r="J94" s="364" t="str">
        <f>IFERROR(VLOOKUP(I94,Map!$F$18:$G$56,2,0),"Add in Map")</f>
        <v>3P</v>
      </c>
      <c r="K94" s="364" t="str">
        <f>VLOOKUP(L94,Map!$C$18:$D$29,2,0)</f>
        <v>GLT</v>
      </c>
      <c r="L94" s="360" t="s">
        <v>44</v>
      </c>
      <c r="M94" s="365">
        <v>5944270.2785713021</v>
      </c>
      <c r="N94" s="366">
        <f t="shared" si="28"/>
        <v>0</v>
      </c>
      <c r="O94" s="366">
        <f t="shared" si="29"/>
        <v>7073681.6314998493</v>
      </c>
      <c r="P94" s="367">
        <f t="shared" si="30"/>
        <v>6440.162815353523</v>
      </c>
      <c r="Q94" s="367">
        <f t="shared" si="31"/>
        <v>0</v>
      </c>
      <c r="R94" s="368">
        <f t="shared" si="25"/>
        <v>7663.7937502706918</v>
      </c>
      <c r="S94" s="384">
        <f>INDEX(FX!$D$3:$O$19,MATCH(B94,FX!$B$3:$B$32,0),MATCH(D94,FX!$D$2:$O$2,0))</f>
        <v>923</v>
      </c>
      <c r="T94" s="360" t="s">
        <v>141</v>
      </c>
      <c r="U94" s="360" t="s">
        <v>32</v>
      </c>
      <c r="V94" s="360" t="s">
        <v>83</v>
      </c>
      <c r="W94" s="364" t="str">
        <f>VLOOKUP(I94,Map!$F$18:$H$51,3,0)</f>
        <v>Variable</v>
      </c>
      <c r="X94" s="370" t="s">
        <v>149</v>
      </c>
      <c r="Y94" s="364" t="str">
        <f>VLOOKUP(L94,Map!$C$18:$D$29,2,0)</f>
        <v>GLT</v>
      </c>
      <c r="Z94" s="365"/>
      <c r="AA94" s="366">
        <f t="shared" si="22"/>
        <v>0</v>
      </c>
      <c r="AB94" s="366">
        <f t="shared" si="26"/>
        <v>0</v>
      </c>
      <c r="AC94" s="367">
        <f t="shared" si="23"/>
        <v>0</v>
      </c>
      <c r="AD94" s="367">
        <f t="shared" si="24"/>
        <v>0</v>
      </c>
      <c r="AE94" s="368">
        <f t="shared" si="27"/>
        <v>0</v>
      </c>
      <c r="AF94" s="385"/>
    </row>
    <row r="95" spans="2:32" s="1" customFormat="1" ht="13" hidden="1" x14ac:dyDescent="0.3">
      <c r="B95" s="383">
        <v>2026</v>
      </c>
      <c r="C95" s="361" t="s">
        <v>416</v>
      </c>
      <c r="D95" s="361" t="s">
        <v>162</v>
      </c>
      <c r="E95" s="360" t="s">
        <v>88</v>
      </c>
      <c r="F95" s="360" t="s">
        <v>80</v>
      </c>
      <c r="G95" s="362">
        <v>46209</v>
      </c>
      <c r="H95" s="363">
        <v>3825</v>
      </c>
      <c r="I95" s="360" t="s">
        <v>148</v>
      </c>
      <c r="J95" s="364" t="str">
        <f>IFERROR(VLOOKUP(I95,Map!$F$18:$G$56,2,0),"Add in Map")</f>
        <v>3P</v>
      </c>
      <c r="K95" s="364" t="str">
        <f>VLOOKUP(L95,Map!$C$18:$D$29,2,0)</f>
        <v>PNT</v>
      </c>
      <c r="L95" s="360" t="s">
        <v>46</v>
      </c>
      <c r="M95" s="365">
        <v>644985.28714678006</v>
      </c>
      <c r="N95" s="366">
        <f t="shared" si="28"/>
        <v>0</v>
      </c>
      <c r="O95" s="366">
        <f t="shared" si="29"/>
        <v>767532.49170466827</v>
      </c>
      <c r="P95" s="367">
        <f t="shared" si="30"/>
        <v>698.79229376682565</v>
      </c>
      <c r="Q95" s="367">
        <f t="shared" si="31"/>
        <v>0</v>
      </c>
      <c r="R95" s="368">
        <f t="shared" si="25"/>
        <v>831.56282958252245</v>
      </c>
      <c r="S95" s="384">
        <f>INDEX(FX!$D$3:$O$19,MATCH(B95,FX!$B$3:$B$32,0),MATCH(D95,FX!$D$2:$O$2,0))</f>
        <v>923</v>
      </c>
      <c r="T95" s="360" t="s">
        <v>141</v>
      </c>
      <c r="U95" s="360" t="s">
        <v>32</v>
      </c>
      <c r="V95" s="360" t="s">
        <v>83</v>
      </c>
      <c r="W95" s="364" t="str">
        <f>VLOOKUP(I95,Map!$F$18:$H$51,3,0)</f>
        <v>Variable</v>
      </c>
      <c r="X95" s="370" t="s">
        <v>149</v>
      </c>
      <c r="Y95" s="364" t="str">
        <f>VLOOKUP(L95,Map!$C$18:$D$29,2,0)</f>
        <v>PNT</v>
      </c>
      <c r="Z95" s="365"/>
      <c r="AA95" s="366">
        <f t="shared" si="22"/>
        <v>0</v>
      </c>
      <c r="AB95" s="366">
        <f t="shared" si="26"/>
        <v>0</v>
      </c>
      <c r="AC95" s="367">
        <f t="shared" si="23"/>
        <v>0</v>
      </c>
      <c r="AD95" s="367">
        <f t="shared" si="24"/>
        <v>0</v>
      </c>
      <c r="AE95" s="368">
        <f t="shared" si="27"/>
        <v>0</v>
      </c>
      <c r="AF95" s="385"/>
    </row>
    <row r="96" spans="2:32" s="1" customFormat="1" ht="13" hidden="1" x14ac:dyDescent="0.3">
      <c r="B96" s="383">
        <v>2026</v>
      </c>
      <c r="C96" s="361" t="s">
        <v>416</v>
      </c>
      <c r="D96" s="361" t="s">
        <v>162</v>
      </c>
      <c r="E96" s="360" t="s">
        <v>88</v>
      </c>
      <c r="F96" s="360" t="s">
        <v>80</v>
      </c>
      <c r="G96" s="362">
        <v>46209</v>
      </c>
      <c r="H96" s="363">
        <v>3825</v>
      </c>
      <c r="I96" s="360" t="s">
        <v>148</v>
      </c>
      <c r="J96" s="364" t="str">
        <f>IFERROR(VLOOKUP(I96,Map!$F$18:$G$56,2,0),"Add in Map")</f>
        <v>3P</v>
      </c>
      <c r="K96" s="364" t="str">
        <f>VLOOKUP(L96,Map!$C$18:$D$29,2,0)</f>
        <v>GTT</v>
      </c>
      <c r="L96" s="360" t="s">
        <v>48</v>
      </c>
      <c r="M96" s="365">
        <v>395194.55455529626</v>
      </c>
      <c r="N96" s="366">
        <f t="shared" si="28"/>
        <v>0</v>
      </c>
      <c r="O96" s="366">
        <f t="shared" si="29"/>
        <v>470281.5199208025</v>
      </c>
      <c r="P96" s="367">
        <f t="shared" si="30"/>
        <v>428.16311436110107</v>
      </c>
      <c r="Q96" s="367">
        <f t="shared" si="31"/>
        <v>0</v>
      </c>
      <c r="R96" s="368">
        <f t="shared" si="25"/>
        <v>509.51410608971025</v>
      </c>
      <c r="S96" s="384">
        <f>INDEX(FX!$D$3:$O$19,MATCH(B96,FX!$B$3:$B$32,0),MATCH(D96,FX!$D$2:$O$2,0))</f>
        <v>923</v>
      </c>
      <c r="T96" s="360" t="s">
        <v>141</v>
      </c>
      <c r="U96" s="360" t="s">
        <v>32</v>
      </c>
      <c r="V96" s="360" t="s">
        <v>83</v>
      </c>
      <c r="W96" s="364" t="str">
        <f>VLOOKUP(I96,Map!$F$18:$H$51,3,0)</f>
        <v>Variable</v>
      </c>
      <c r="X96" s="370" t="s">
        <v>149</v>
      </c>
      <c r="Y96" s="364" t="str">
        <f>VLOOKUP(L96,Map!$C$18:$D$29,2,0)</f>
        <v>GTT</v>
      </c>
      <c r="Z96" s="365"/>
      <c r="AA96" s="366">
        <f t="shared" si="22"/>
        <v>0</v>
      </c>
      <c r="AB96" s="366">
        <f t="shared" si="26"/>
        <v>0</v>
      </c>
      <c r="AC96" s="367">
        <f t="shared" si="23"/>
        <v>0</v>
      </c>
      <c r="AD96" s="367">
        <f t="shared" si="24"/>
        <v>0</v>
      </c>
      <c r="AE96" s="368">
        <f t="shared" si="27"/>
        <v>0</v>
      </c>
      <c r="AF96" s="385"/>
    </row>
    <row r="97" spans="2:32" s="1" customFormat="1" ht="13" hidden="1" x14ac:dyDescent="0.3">
      <c r="B97" s="383">
        <v>2026</v>
      </c>
      <c r="C97" s="361" t="s">
        <v>416</v>
      </c>
      <c r="D97" s="361" t="s">
        <v>162</v>
      </c>
      <c r="E97" s="360" t="s">
        <v>88</v>
      </c>
      <c r="F97" s="360" t="s">
        <v>80</v>
      </c>
      <c r="G97" s="362">
        <v>46209</v>
      </c>
      <c r="H97" s="363">
        <v>3825</v>
      </c>
      <c r="I97" s="360" t="s">
        <v>148</v>
      </c>
      <c r="J97" s="364" t="str">
        <f>IFERROR(VLOOKUP(I97,Map!$F$18:$G$56,2,0),"Add in Map")</f>
        <v>3P</v>
      </c>
      <c r="K97" s="364" t="str">
        <f>VLOOKUP(L97,Map!$C$18:$D$29,2,0)</f>
        <v>DGT</v>
      </c>
      <c r="L97" s="360" t="s">
        <v>50</v>
      </c>
      <c r="M97" s="365">
        <v>352083.61984921497</v>
      </c>
      <c r="N97" s="366">
        <f t="shared" si="28"/>
        <v>0</v>
      </c>
      <c r="O97" s="366">
        <f t="shared" si="29"/>
        <v>418979.50762056577</v>
      </c>
      <c r="P97" s="367">
        <f t="shared" si="30"/>
        <v>381.45570947910613</v>
      </c>
      <c r="Q97" s="367">
        <f t="shared" si="31"/>
        <v>0</v>
      </c>
      <c r="R97" s="368">
        <f t="shared" si="25"/>
        <v>453.93229428013626</v>
      </c>
      <c r="S97" s="384">
        <f>INDEX(FX!$D$3:$O$19,MATCH(B97,FX!$B$3:$B$32,0),MATCH(D97,FX!$D$2:$O$2,0))</f>
        <v>923</v>
      </c>
      <c r="T97" s="360" t="s">
        <v>141</v>
      </c>
      <c r="U97" s="360" t="s">
        <v>32</v>
      </c>
      <c r="V97" s="360" t="s">
        <v>83</v>
      </c>
      <c r="W97" s="364" t="str">
        <f>VLOOKUP(I97,Map!$F$18:$H$51,3,0)</f>
        <v>Variable</v>
      </c>
      <c r="X97" s="370" t="s">
        <v>149</v>
      </c>
      <c r="Y97" s="364" t="str">
        <f>VLOOKUP(L97,Map!$C$18:$D$29,2,0)</f>
        <v>DGT</v>
      </c>
      <c r="Z97" s="365"/>
      <c r="AA97" s="366">
        <f t="shared" si="22"/>
        <v>0</v>
      </c>
      <c r="AB97" s="366">
        <f t="shared" si="26"/>
        <v>0</v>
      </c>
      <c r="AC97" s="367">
        <f t="shared" si="23"/>
        <v>0</v>
      </c>
      <c r="AD97" s="367">
        <f t="shared" si="24"/>
        <v>0</v>
      </c>
      <c r="AE97" s="368">
        <f t="shared" si="27"/>
        <v>0</v>
      </c>
      <c r="AF97" s="385"/>
    </row>
    <row r="98" spans="2:32" s="1" customFormat="1" ht="13" hidden="1" x14ac:dyDescent="0.3">
      <c r="B98" s="383">
        <v>2026</v>
      </c>
      <c r="C98" s="361" t="s">
        <v>416</v>
      </c>
      <c r="D98" s="361" t="s">
        <v>162</v>
      </c>
      <c r="E98" s="360" t="s">
        <v>88</v>
      </c>
      <c r="F98" s="360" t="s">
        <v>80</v>
      </c>
      <c r="G98" s="362">
        <v>46209</v>
      </c>
      <c r="H98" s="363">
        <v>3825</v>
      </c>
      <c r="I98" s="360" t="s">
        <v>148</v>
      </c>
      <c r="J98" s="364" t="str">
        <f>IFERROR(VLOOKUP(I98,Map!$F$18:$G$56,2,0),"Add in Map")</f>
        <v>3P</v>
      </c>
      <c r="K98" s="364" t="str">
        <f>VLOOKUP(L98,Map!$C$18:$D$29,2,0)</f>
        <v>DLT</v>
      </c>
      <c r="L98" s="360" t="s">
        <v>52</v>
      </c>
      <c r="M98" s="365">
        <v>79535.908561135089</v>
      </c>
      <c r="N98" s="366">
        <f t="shared" si="28"/>
        <v>0</v>
      </c>
      <c r="O98" s="366">
        <f t="shared" si="29"/>
        <v>94647.731187750745</v>
      </c>
      <c r="P98" s="367">
        <f t="shared" si="30"/>
        <v>86.171081864718403</v>
      </c>
      <c r="Q98" s="367">
        <f t="shared" si="31"/>
        <v>0</v>
      </c>
      <c r="R98" s="368">
        <f t="shared" si="25"/>
        <v>102.5435874190149</v>
      </c>
      <c r="S98" s="384">
        <f>INDEX(FX!$D$3:$O$19,MATCH(B98,FX!$B$3:$B$32,0),MATCH(D98,FX!$D$2:$O$2,0))</f>
        <v>923</v>
      </c>
      <c r="T98" s="360" t="s">
        <v>141</v>
      </c>
      <c r="U98" s="360" t="s">
        <v>32</v>
      </c>
      <c r="V98" s="360" t="s">
        <v>83</v>
      </c>
      <c r="W98" s="364" t="str">
        <f>VLOOKUP(I98,Map!$F$18:$H$51,3,0)</f>
        <v>Variable</v>
      </c>
      <c r="X98" s="370" t="s">
        <v>149</v>
      </c>
      <c r="Y98" s="364" t="str">
        <f>VLOOKUP(L98,Map!$C$18:$D$29,2,0)</f>
        <v>DLT</v>
      </c>
      <c r="Z98" s="365"/>
      <c r="AA98" s="366">
        <f t="shared" si="22"/>
        <v>0</v>
      </c>
      <c r="AB98" s="366">
        <f t="shared" si="26"/>
        <v>0</v>
      </c>
      <c r="AC98" s="367">
        <f t="shared" si="23"/>
        <v>0</v>
      </c>
      <c r="AD98" s="367">
        <f t="shared" si="24"/>
        <v>0</v>
      </c>
      <c r="AE98" s="368">
        <f t="shared" si="27"/>
        <v>0</v>
      </c>
      <c r="AF98" s="385"/>
    </row>
    <row r="99" spans="2:32" s="1" customFormat="1" ht="13" hidden="1" x14ac:dyDescent="0.3">
      <c r="B99" s="383">
        <v>2026</v>
      </c>
      <c r="C99" s="361" t="s">
        <v>416</v>
      </c>
      <c r="D99" s="361" t="s">
        <v>162</v>
      </c>
      <c r="E99" s="360" t="s">
        <v>88</v>
      </c>
      <c r="F99" s="360" t="s">
        <v>80</v>
      </c>
      <c r="G99" s="362">
        <v>46209</v>
      </c>
      <c r="H99" s="363">
        <v>3825</v>
      </c>
      <c r="I99" s="360" t="s">
        <v>148</v>
      </c>
      <c r="J99" s="364" t="str">
        <f>IFERROR(VLOOKUP(I99,Map!$F$18:$G$56,2,0),"Add in Map")</f>
        <v>3P</v>
      </c>
      <c r="K99" s="364" t="str">
        <f>VLOOKUP(L99,Map!$C$18:$D$29,2,0)</f>
        <v>DMT</v>
      </c>
      <c r="L99" s="360" t="s">
        <v>54</v>
      </c>
      <c r="M99" s="365">
        <v>0</v>
      </c>
      <c r="N99" s="366">
        <f t="shared" si="28"/>
        <v>0</v>
      </c>
      <c r="O99" s="366">
        <f t="shared" si="29"/>
        <v>0</v>
      </c>
      <c r="P99" s="386">
        <f t="shared" si="30"/>
        <v>0</v>
      </c>
      <c r="Q99" s="367">
        <f t="shared" si="31"/>
        <v>0</v>
      </c>
      <c r="R99" s="368">
        <f t="shared" si="25"/>
        <v>0</v>
      </c>
      <c r="S99" s="384">
        <f>INDEX(FX!$D$3:$O$19,MATCH(B99,FX!$B$3:$B$32,0),MATCH(D99,FX!$D$2:$O$2,0))</f>
        <v>923</v>
      </c>
      <c r="T99" s="360" t="s">
        <v>141</v>
      </c>
      <c r="U99" s="360" t="s">
        <v>32</v>
      </c>
      <c r="V99" s="360" t="s">
        <v>83</v>
      </c>
      <c r="W99" s="364" t="str">
        <f>VLOOKUP(I99,Map!$F$18:$H$51,3,0)</f>
        <v>Variable</v>
      </c>
      <c r="X99" s="370" t="s">
        <v>149</v>
      </c>
      <c r="Y99" s="364" t="str">
        <f>VLOOKUP(L99,Map!$C$18:$D$29,2,0)</f>
        <v>DMT</v>
      </c>
      <c r="Z99" s="365"/>
      <c r="AA99" s="366">
        <f t="shared" si="22"/>
        <v>0</v>
      </c>
      <c r="AB99" s="366">
        <f t="shared" si="26"/>
        <v>0</v>
      </c>
      <c r="AC99" s="386">
        <f t="shared" si="23"/>
        <v>0</v>
      </c>
      <c r="AD99" s="367">
        <f t="shared" si="24"/>
        <v>0</v>
      </c>
      <c r="AE99" s="368">
        <f t="shared" si="27"/>
        <v>0</v>
      </c>
      <c r="AF99" s="385"/>
    </row>
    <row r="100" spans="2:32" s="37" customFormat="1" hidden="1" x14ac:dyDescent="0.35">
      <c r="B100" s="387">
        <v>2026</v>
      </c>
      <c r="C100" s="389" t="s">
        <v>416</v>
      </c>
      <c r="D100" s="389" t="s">
        <v>162</v>
      </c>
      <c r="E100" s="388" t="s">
        <v>88</v>
      </c>
      <c r="F100" s="388" t="s">
        <v>80</v>
      </c>
      <c r="G100" s="390">
        <v>46209</v>
      </c>
      <c r="H100" s="391">
        <v>3825</v>
      </c>
      <c r="I100" s="388" t="s">
        <v>148</v>
      </c>
      <c r="J100" s="392" t="str">
        <f>IFERROR(VLOOKUP(I100,Map!$F$18:$G$56,2,0),"Add in Map")</f>
        <v>3P</v>
      </c>
      <c r="K100" s="392" t="str">
        <f>VLOOKUP(L100,Map!$C$18:$D$29,2,0)</f>
        <v>TOTAL</v>
      </c>
      <c r="L100" s="388" t="s">
        <v>56</v>
      </c>
      <c r="M100" s="393">
        <f>SUM(M89:M99)</f>
        <v>21166115.999999996</v>
      </c>
      <c r="N100" s="393">
        <f t="shared" si="28"/>
        <v>4021562.0399999996</v>
      </c>
      <c r="O100" s="393">
        <f t="shared" si="29"/>
        <v>25187678.039999995</v>
      </c>
      <c r="P100" s="394">
        <f t="shared" si="30"/>
        <v>22931.86998916576</v>
      </c>
      <c r="Q100" s="394">
        <f t="shared" si="31"/>
        <v>4357.0552979414942</v>
      </c>
      <c r="R100" s="395">
        <f t="shared" si="25"/>
        <v>27288.925287107253</v>
      </c>
      <c r="S100" s="396">
        <f>INDEX(FX!$D$3:$O$19,MATCH(B100,FX!$B$3:$B$32,0),MATCH(D100,FX!$D$2:$O$2,0))</f>
        <v>923</v>
      </c>
      <c r="T100" s="388" t="s">
        <v>141</v>
      </c>
      <c r="U100" s="388" t="s">
        <v>32</v>
      </c>
      <c r="V100" s="388" t="s">
        <v>83</v>
      </c>
      <c r="W100" s="392" t="str">
        <f>VLOOKUP(I100,Map!$F$18:$H$51,3,0)</f>
        <v>Variable</v>
      </c>
      <c r="X100" s="397" t="s">
        <v>149</v>
      </c>
      <c r="Y100" s="392" t="str">
        <f>VLOOKUP(L100,Map!$C$18:$D$29,2,0)</f>
        <v>TOTAL</v>
      </c>
      <c r="Z100" s="413"/>
      <c r="AA100" s="393">
        <f t="shared" si="22"/>
        <v>0</v>
      </c>
      <c r="AB100" s="393">
        <f t="shared" si="26"/>
        <v>0</v>
      </c>
      <c r="AC100" s="394">
        <f t="shared" si="23"/>
        <v>0</v>
      </c>
      <c r="AD100" s="394">
        <f t="shared" si="24"/>
        <v>0</v>
      </c>
      <c r="AE100" s="395">
        <f t="shared" si="27"/>
        <v>0</v>
      </c>
      <c r="AF100" s="398"/>
    </row>
    <row r="101" spans="2:32" s="1" customFormat="1" ht="13" hidden="1" x14ac:dyDescent="0.3">
      <c r="B101" s="383">
        <v>2026</v>
      </c>
      <c r="C101" s="361" t="s">
        <v>416</v>
      </c>
      <c r="D101" s="361" t="s">
        <v>162</v>
      </c>
      <c r="E101" s="360" t="s">
        <v>88</v>
      </c>
      <c r="F101" s="360" t="s">
        <v>80</v>
      </c>
      <c r="G101" s="362">
        <v>46209</v>
      </c>
      <c r="H101" s="363">
        <v>3826</v>
      </c>
      <c r="I101" s="360" t="s">
        <v>148</v>
      </c>
      <c r="J101" s="364" t="str">
        <f>IFERROR(VLOOKUP(I101,Map!$F$18:$G$56,2,0),"Add in Map")</f>
        <v>3P</v>
      </c>
      <c r="K101" s="364" t="str">
        <f>VLOOKUP(L101,Map!$C$18:$D$29,2,0)</f>
        <v>CNT</v>
      </c>
      <c r="L101" s="360" t="s">
        <v>31</v>
      </c>
      <c r="M101" s="365">
        <v>2930386.9214732647</v>
      </c>
      <c r="N101" s="366">
        <f t="shared" si="28"/>
        <v>0</v>
      </c>
      <c r="O101" s="366">
        <f t="shared" si="29"/>
        <v>3487160.4365531849</v>
      </c>
      <c r="P101" s="367">
        <f t="shared" si="30"/>
        <v>3174.8504024629087</v>
      </c>
      <c r="Q101" s="367">
        <f t="shared" si="31"/>
        <v>0</v>
      </c>
      <c r="R101" s="368">
        <f t="shared" si="25"/>
        <v>3778.0719789308614</v>
      </c>
      <c r="S101" s="384">
        <f>INDEX(FX!$D$3:$O$19,MATCH(B101,FX!$B$3:$B$32,0),MATCH(D101,FX!$D$2:$O$2,0))</f>
        <v>923</v>
      </c>
      <c r="T101" s="360" t="s">
        <v>141</v>
      </c>
      <c r="U101" s="360" t="s">
        <v>32</v>
      </c>
      <c r="V101" s="360" t="s">
        <v>83</v>
      </c>
      <c r="W101" s="364" t="str">
        <f>VLOOKUP(I101,Map!$F$18:$H$51,3,0)</f>
        <v>Variable</v>
      </c>
      <c r="X101" s="370" t="s">
        <v>149</v>
      </c>
      <c r="Y101" s="364" t="str">
        <f>VLOOKUP(L101,Map!$C$18:$D$29,2,0)</f>
        <v>CNT</v>
      </c>
      <c r="Z101" s="365"/>
      <c r="AA101" s="366">
        <f t="shared" si="22"/>
        <v>0</v>
      </c>
      <c r="AB101" s="366">
        <f t="shared" si="26"/>
        <v>0</v>
      </c>
      <c r="AC101" s="367">
        <f t="shared" si="23"/>
        <v>0</v>
      </c>
      <c r="AD101" s="367">
        <f t="shared" si="24"/>
        <v>0</v>
      </c>
      <c r="AE101" s="368">
        <f t="shared" si="27"/>
        <v>0</v>
      </c>
      <c r="AF101" s="385"/>
    </row>
    <row r="102" spans="2:32" s="1" customFormat="1" ht="13" hidden="1" x14ac:dyDescent="0.3">
      <c r="B102" s="383">
        <v>2026</v>
      </c>
      <c r="C102" s="361" t="s">
        <v>416</v>
      </c>
      <c r="D102" s="361" t="s">
        <v>162</v>
      </c>
      <c r="E102" s="360" t="s">
        <v>88</v>
      </c>
      <c r="F102" s="360" t="s">
        <v>80</v>
      </c>
      <c r="G102" s="362">
        <v>46209</v>
      </c>
      <c r="H102" s="363">
        <v>3826</v>
      </c>
      <c r="I102" s="360" t="s">
        <v>148</v>
      </c>
      <c r="J102" s="364" t="str">
        <f>IFERROR(VLOOKUP(I102,Map!$F$18:$G$56,2,0),"Add in Map")</f>
        <v>3P</v>
      </c>
      <c r="K102" s="364" t="str">
        <f>VLOOKUP(L102,Map!$C$18:$D$29,2,0)</f>
        <v>CVT</v>
      </c>
      <c r="L102" s="360" t="s">
        <v>36</v>
      </c>
      <c r="M102" s="365">
        <v>71228.422457196764</v>
      </c>
      <c r="N102" s="366">
        <f t="shared" si="28"/>
        <v>0</v>
      </c>
      <c r="O102" s="366">
        <f t="shared" si="29"/>
        <v>84761.822724064143</v>
      </c>
      <c r="P102" s="367">
        <f t="shared" si="30"/>
        <v>77.17055520823051</v>
      </c>
      <c r="Q102" s="367">
        <f t="shared" si="31"/>
        <v>0</v>
      </c>
      <c r="R102" s="368">
        <f t="shared" si="25"/>
        <v>91.832960697794306</v>
      </c>
      <c r="S102" s="384">
        <f>INDEX(FX!$D$3:$O$19,MATCH(B102,FX!$B$3:$B$32,0),MATCH(D102,FX!$D$2:$O$2,0))</f>
        <v>923</v>
      </c>
      <c r="T102" s="360" t="s">
        <v>141</v>
      </c>
      <c r="U102" s="360" t="s">
        <v>32</v>
      </c>
      <c r="V102" s="360" t="s">
        <v>83</v>
      </c>
      <c r="W102" s="364" t="str">
        <f>VLOOKUP(I102,Map!$F$18:$H$51,3,0)</f>
        <v>Variable</v>
      </c>
      <c r="X102" s="370" t="s">
        <v>149</v>
      </c>
      <c r="Y102" s="364" t="str">
        <f>VLOOKUP(L102,Map!$C$18:$D$29,2,0)</f>
        <v>CVT</v>
      </c>
      <c r="Z102" s="365"/>
      <c r="AA102" s="366">
        <f t="shared" si="22"/>
        <v>0</v>
      </c>
      <c r="AB102" s="366">
        <f t="shared" si="26"/>
        <v>0</v>
      </c>
      <c r="AC102" s="367">
        <f t="shared" si="23"/>
        <v>0</v>
      </c>
      <c r="AD102" s="367">
        <f t="shared" si="24"/>
        <v>0</v>
      </c>
      <c r="AE102" s="368">
        <f t="shared" si="27"/>
        <v>0</v>
      </c>
      <c r="AF102" s="385"/>
    </row>
    <row r="103" spans="2:32" s="1" customFormat="1" ht="13" hidden="1" x14ac:dyDescent="0.3">
      <c r="B103" s="383">
        <v>2026</v>
      </c>
      <c r="C103" s="361" t="s">
        <v>416</v>
      </c>
      <c r="D103" s="361" t="s">
        <v>162</v>
      </c>
      <c r="E103" s="360" t="s">
        <v>88</v>
      </c>
      <c r="F103" s="360" t="s">
        <v>80</v>
      </c>
      <c r="G103" s="362">
        <v>46209</v>
      </c>
      <c r="H103" s="363">
        <v>3826</v>
      </c>
      <c r="I103" s="360" t="s">
        <v>148</v>
      </c>
      <c r="J103" s="364" t="str">
        <f>IFERROR(VLOOKUP(I103,Map!$F$18:$G$56,2,0),"Add in Map")</f>
        <v>3P</v>
      </c>
      <c r="K103" s="364" t="str">
        <f>VLOOKUP(L103,Map!$C$18:$D$29,2,0)</f>
        <v>CDT</v>
      </c>
      <c r="L103" s="360" t="s">
        <v>38</v>
      </c>
      <c r="M103" s="365">
        <v>73331.313941172237</v>
      </c>
      <c r="N103" s="366">
        <f t="shared" si="28"/>
        <v>0</v>
      </c>
      <c r="O103" s="366">
        <f t="shared" si="29"/>
        <v>87264.263589994953</v>
      </c>
      <c r="P103" s="367">
        <f t="shared" si="30"/>
        <v>79.4488775093957</v>
      </c>
      <c r="Q103" s="367">
        <f t="shared" si="31"/>
        <v>0</v>
      </c>
      <c r="R103" s="368">
        <f t="shared" si="25"/>
        <v>94.544164236180876</v>
      </c>
      <c r="S103" s="384">
        <f>INDEX(FX!$D$3:$O$19,MATCH(B103,FX!$B$3:$B$32,0),MATCH(D103,FX!$D$2:$O$2,0))</f>
        <v>923</v>
      </c>
      <c r="T103" s="360" t="s">
        <v>141</v>
      </c>
      <c r="U103" s="360" t="s">
        <v>32</v>
      </c>
      <c r="V103" s="360" t="s">
        <v>83</v>
      </c>
      <c r="W103" s="364" t="str">
        <f>VLOOKUP(I103,Map!$F$18:$H$51,3,0)</f>
        <v>Variable</v>
      </c>
      <c r="X103" s="370" t="s">
        <v>149</v>
      </c>
      <c r="Y103" s="364" t="str">
        <f>VLOOKUP(L103,Map!$C$18:$D$29,2,0)</f>
        <v>CDT</v>
      </c>
      <c r="Z103" s="365"/>
      <c r="AA103" s="366">
        <f t="shared" si="22"/>
        <v>0</v>
      </c>
      <c r="AB103" s="366">
        <f t="shared" si="26"/>
        <v>0</v>
      </c>
      <c r="AC103" s="367">
        <f t="shared" si="23"/>
        <v>0</v>
      </c>
      <c r="AD103" s="367">
        <f t="shared" si="24"/>
        <v>0</v>
      </c>
      <c r="AE103" s="368">
        <f t="shared" si="27"/>
        <v>0</v>
      </c>
      <c r="AF103" s="385"/>
    </row>
    <row r="104" spans="2:32" s="1" customFormat="1" ht="13" hidden="1" x14ac:dyDescent="0.3">
      <c r="B104" s="383">
        <v>2026</v>
      </c>
      <c r="C104" s="361" t="s">
        <v>416</v>
      </c>
      <c r="D104" s="361" t="s">
        <v>162</v>
      </c>
      <c r="E104" s="360" t="s">
        <v>88</v>
      </c>
      <c r="F104" s="360" t="s">
        <v>80</v>
      </c>
      <c r="G104" s="362">
        <v>46209</v>
      </c>
      <c r="H104" s="363">
        <v>3826</v>
      </c>
      <c r="I104" s="360" t="s">
        <v>148</v>
      </c>
      <c r="J104" s="364" t="str">
        <f>IFERROR(VLOOKUP(I104,Map!$F$18:$G$56,2,0),"Add in Map")</f>
        <v>3P</v>
      </c>
      <c r="K104" s="364" t="str">
        <f>VLOOKUP(L104,Map!$C$18:$D$29,2,0)</f>
        <v>DFT</v>
      </c>
      <c r="L104" s="360" t="s">
        <v>40</v>
      </c>
      <c r="M104" s="365">
        <v>6111570.3306816835</v>
      </c>
      <c r="N104" s="366">
        <f t="shared" si="28"/>
        <v>0</v>
      </c>
      <c r="O104" s="366">
        <f t="shared" si="29"/>
        <v>7272768.6935112029</v>
      </c>
      <c r="P104" s="367">
        <f t="shared" si="30"/>
        <v>6621.4196432087574</v>
      </c>
      <c r="Q104" s="367">
        <f t="shared" si="31"/>
        <v>0</v>
      </c>
      <c r="R104" s="368">
        <f t="shared" si="25"/>
        <v>7879.4893754184213</v>
      </c>
      <c r="S104" s="384">
        <f>INDEX(FX!$D$3:$O$19,MATCH(B104,FX!$B$3:$B$32,0),MATCH(D104,FX!$D$2:$O$2,0))</f>
        <v>923</v>
      </c>
      <c r="T104" s="360" t="s">
        <v>141</v>
      </c>
      <c r="U104" s="360" t="s">
        <v>32</v>
      </c>
      <c r="V104" s="360" t="s">
        <v>83</v>
      </c>
      <c r="W104" s="364" t="str">
        <f>VLOOKUP(I104,Map!$F$18:$H$51,3,0)</f>
        <v>Variable</v>
      </c>
      <c r="X104" s="370" t="s">
        <v>149</v>
      </c>
      <c r="Y104" s="364" t="str">
        <f>VLOOKUP(L104,Map!$C$18:$D$29,2,0)</f>
        <v>DFT</v>
      </c>
      <c r="Z104" s="365"/>
      <c r="AA104" s="366">
        <f t="shared" si="22"/>
        <v>0</v>
      </c>
      <c r="AB104" s="366">
        <f t="shared" si="26"/>
        <v>0</v>
      </c>
      <c r="AC104" s="367">
        <f t="shared" si="23"/>
        <v>0</v>
      </c>
      <c r="AD104" s="367">
        <f t="shared" si="24"/>
        <v>0</v>
      </c>
      <c r="AE104" s="368">
        <f t="shared" si="27"/>
        <v>0</v>
      </c>
      <c r="AF104" s="385"/>
    </row>
    <row r="105" spans="2:32" s="1" customFormat="1" ht="13" hidden="1" x14ac:dyDescent="0.3">
      <c r="B105" s="383">
        <v>2026</v>
      </c>
      <c r="C105" s="361" t="s">
        <v>416</v>
      </c>
      <c r="D105" s="361" t="s">
        <v>162</v>
      </c>
      <c r="E105" s="360" t="s">
        <v>88</v>
      </c>
      <c r="F105" s="360" t="s">
        <v>80</v>
      </c>
      <c r="G105" s="362">
        <v>46209</v>
      </c>
      <c r="H105" s="363">
        <v>3826</v>
      </c>
      <c r="I105" s="360" t="s">
        <v>148</v>
      </c>
      <c r="J105" s="364" t="str">
        <f>IFERROR(VLOOKUP(I105,Map!$F$18:$G$56,2,0),"Add in Map")</f>
        <v>3P</v>
      </c>
      <c r="K105" s="364" t="str">
        <f>VLOOKUP(L105,Map!$C$18:$D$29,2,0)</f>
        <v>DVT</v>
      </c>
      <c r="L105" s="360" t="s">
        <v>42</v>
      </c>
      <c r="M105" s="365">
        <v>0</v>
      </c>
      <c r="N105" s="366">
        <f t="shared" si="28"/>
        <v>0</v>
      </c>
      <c r="O105" s="366">
        <f t="shared" si="29"/>
        <v>0</v>
      </c>
      <c r="P105" s="367">
        <f t="shared" si="30"/>
        <v>0</v>
      </c>
      <c r="Q105" s="367">
        <f t="shared" si="31"/>
        <v>0</v>
      </c>
      <c r="R105" s="368">
        <f t="shared" si="25"/>
        <v>0</v>
      </c>
      <c r="S105" s="384">
        <f>INDEX(FX!$D$3:$O$19,MATCH(B105,FX!$B$3:$B$32,0),MATCH(D105,FX!$D$2:$O$2,0))</f>
        <v>923</v>
      </c>
      <c r="T105" s="360" t="s">
        <v>141</v>
      </c>
      <c r="U105" s="360" t="s">
        <v>32</v>
      </c>
      <c r="V105" s="360" t="s">
        <v>83</v>
      </c>
      <c r="W105" s="364" t="str">
        <f>VLOOKUP(I105,Map!$F$18:$H$51,3,0)</f>
        <v>Variable</v>
      </c>
      <c r="X105" s="370" t="s">
        <v>149</v>
      </c>
      <c r="Y105" s="364" t="str">
        <f>VLOOKUP(L105,Map!$C$18:$D$29,2,0)</f>
        <v>DVT</v>
      </c>
      <c r="Z105" s="365"/>
      <c r="AA105" s="366">
        <f t="shared" si="22"/>
        <v>0</v>
      </c>
      <c r="AB105" s="366">
        <f t="shared" si="26"/>
        <v>0</v>
      </c>
      <c r="AC105" s="367">
        <f t="shared" si="23"/>
        <v>0</v>
      </c>
      <c r="AD105" s="367">
        <f t="shared" si="24"/>
        <v>0</v>
      </c>
      <c r="AE105" s="368">
        <f t="shared" si="27"/>
        <v>0</v>
      </c>
      <c r="AF105" s="385"/>
    </row>
    <row r="106" spans="2:32" s="1" customFormat="1" ht="13" hidden="1" x14ac:dyDescent="0.3">
      <c r="B106" s="383">
        <v>2026</v>
      </c>
      <c r="C106" s="361" t="s">
        <v>416</v>
      </c>
      <c r="D106" s="361" t="s">
        <v>162</v>
      </c>
      <c r="E106" s="360" t="s">
        <v>88</v>
      </c>
      <c r="F106" s="360" t="s">
        <v>80</v>
      </c>
      <c r="G106" s="362">
        <v>46209</v>
      </c>
      <c r="H106" s="363">
        <v>3826</v>
      </c>
      <c r="I106" s="360" t="s">
        <v>148</v>
      </c>
      <c r="J106" s="364" t="str">
        <f>IFERROR(VLOOKUP(I106,Map!$F$18:$G$56,2,0),"Add in Map")</f>
        <v>3P</v>
      </c>
      <c r="K106" s="364" t="str">
        <f>VLOOKUP(L106,Map!$C$18:$D$29,2,0)</f>
        <v>GLT</v>
      </c>
      <c r="L106" s="360" t="s">
        <v>44</v>
      </c>
      <c r="M106" s="365">
        <v>3971414.9686062983</v>
      </c>
      <c r="N106" s="366">
        <f t="shared" si="28"/>
        <v>0</v>
      </c>
      <c r="O106" s="366">
        <f t="shared" si="29"/>
        <v>4725983.8126414949</v>
      </c>
      <c r="P106" s="367">
        <f t="shared" si="30"/>
        <v>4302.7247763881887</v>
      </c>
      <c r="Q106" s="367">
        <f t="shared" si="31"/>
        <v>0</v>
      </c>
      <c r="R106" s="368">
        <f t="shared" si="25"/>
        <v>5120.2424839019441</v>
      </c>
      <c r="S106" s="384">
        <f>INDEX(FX!$D$3:$O$19,MATCH(B106,FX!$B$3:$B$32,0),MATCH(D106,FX!$D$2:$O$2,0))</f>
        <v>923</v>
      </c>
      <c r="T106" s="360" t="s">
        <v>141</v>
      </c>
      <c r="U106" s="360" t="s">
        <v>32</v>
      </c>
      <c r="V106" s="360" t="s">
        <v>83</v>
      </c>
      <c r="W106" s="364" t="str">
        <f>VLOOKUP(I106,Map!$F$18:$H$51,3,0)</f>
        <v>Variable</v>
      </c>
      <c r="X106" s="370" t="s">
        <v>149</v>
      </c>
      <c r="Y106" s="364" t="str">
        <f>VLOOKUP(L106,Map!$C$18:$D$29,2,0)</f>
        <v>GLT</v>
      </c>
      <c r="Z106" s="365"/>
      <c r="AA106" s="366">
        <f t="shared" si="22"/>
        <v>0</v>
      </c>
      <c r="AB106" s="366">
        <f t="shared" si="26"/>
        <v>0</v>
      </c>
      <c r="AC106" s="367">
        <f t="shared" si="23"/>
        <v>0</v>
      </c>
      <c r="AD106" s="367">
        <f t="shared" si="24"/>
        <v>0</v>
      </c>
      <c r="AE106" s="368">
        <f t="shared" si="27"/>
        <v>0</v>
      </c>
      <c r="AF106" s="385"/>
    </row>
    <row r="107" spans="2:32" s="1" customFormat="1" ht="13" hidden="1" x14ac:dyDescent="0.3">
      <c r="B107" s="383">
        <v>2026</v>
      </c>
      <c r="C107" s="361" t="s">
        <v>416</v>
      </c>
      <c r="D107" s="361" t="s">
        <v>162</v>
      </c>
      <c r="E107" s="360" t="s">
        <v>88</v>
      </c>
      <c r="F107" s="360" t="s">
        <v>80</v>
      </c>
      <c r="G107" s="362">
        <v>46209</v>
      </c>
      <c r="H107" s="363">
        <v>3826</v>
      </c>
      <c r="I107" s="360" t="s">
        <v>148</v>
      </c>
      <c r="J107" s="364" t="str">
        <f>IFERROR(VLOOKUP(I107,Map!$F$18:$G$56,2,0),"Add in Map")</f>
        <v>3P</v>
      </c>
      <c r="K107" s="364" t="str">
        <f>VLOOKUP(L107,Map!$C$18:$D$29,2,0)</f>
        <v>PNT</v>
      </c>
      <c r="L107" s="360" t="s">
        <v>46</v>
      </c>
      <c r="M107" s="365">
        <v>430919.8781118021</v>
      </c>
      <c r="N107" s="366">
        <f t="shared" si="28"/>
        <v>0</v>
      </c>
      <c r="O107" s="366">
        <f t="shared" si="29"/>
        <v>512794.65495304449</v>
      </c>
      <c r="P107" s="367">
        <f t="shared" si="30"/>
        <v>466.86877368559271</v>
      </c>
      <c r="Q107" s="367">
        <f t="shared" si="31"/>
        <v>0</v>
      </c>
      <c r="R107" s="368">
        <f t="shared" si="25"/>
        <v>555.57384068585532</v>
      </c>
      <c r="S107" s="384">
        <f>INDEX(FX!$D$3:$O$19,MATCH(B107,FX!$B$3:$B$32,0),MATCH(D107,FX!$D$2:$O$2,0))</f>
        <v>923</v>
      </c>
      <c r="T107" s="360" t="s">
        <v>141</v>
      </c>
      <c r="U107" s="360" t="s">
        <v>32</v>
      </c>
      <c r="V107" s="360" t="s">
        <v>83</v>
      </c>
      <c r="W107" s="364" t="str">
        <f>VLOOKUP(I107,Map!$F$18:$H$51,3,0)</f>
        <v>Variable</v>
      </c>
      <c r="X107" s="370" t="s">
        <v>149</v>
      </c>
      <c r="Y107" s="364" t="str">
        <f>VLOOKUP(L107,Map!$C$18:$D$29,2,0)</f>
        <v>PNT</v>
      </c>
      <c r="Z107" s="365"/>
      <c r="AA107" s="366">
        <f t="shared" si="22"/>
        <v>0</v>
      </c>
      <c r="AB107" s="366">
        <f t="shared" si="26"/>
        <v>0</v>
      </c>
      <c r="AC107" s="367">
        <f t="shared" si="23"/>
        <v>0</v>
      </c>
      <c r="AD107" s="367">
        <f t="shared" si="24"/>
        <v>0</v>
      </c>
      <c r="AE107" s="368">
        <f t="shared" si="27"/>
        <v>0</v>
      </c>
      <c r="AF107" s="385"/>
    </row>
    <row r="108" spans="2:32" s="1" customFormat="1" ht="13" hidden="1" x14ac:dyDescent="0.3">
      <c r="B108" s="383">
        <v>2026</v>
      </c>
      <c r="C108" s="361" t="s">
        <v>416</v>
      </c>
      <c r="D108" s="361" t="s">
        <v>162</v>
      </c>
      <c r="E108" s="360" t="s">
        <v>88</v>
      </c>
      <c r="F108" s="360" t="s">
        <v>80</v>
      </c>
      <c r="G108" s="362">
        <v>46209</v>
      </c>
      <c r="H108" s="363">
        <v>3826</v>
      </c>
      <c r="I108" s="360" t="s">
        <v>148</v>
      </c>
      <c r="J108" s="364" t="str">
        <f>IFERROR(VLOOKUP(I108,Map!$F$18:$G$56,2,0),"Add in Map")</f>
        <v>3P</v>
      </c>
      <c r="K108" s="364" t="str">
        <f>VLOOKUP(L108,Map!$C$18:$D$29,2,0)</f>
        <v>GTT</v>
      </c>
      <c r="L108" s="360" t="s">
        <v>48</v>
      </c>
      <c r="M108" s="365">
        <v>264032.67279593227</v>
      </c>
      <c r="N108" s="366">
        <f t="shared" si="28"/>
        <v>0</v>
      </c>
      <c r="O108" s="366">
        <f t="shared" si="29"/>
        <v>314198.88062715938</v>
      </c>
      <c r="P108" s="367">
        <f t="shared" si="30"/>
        <v>286.05923379840982</v>
      </c>
      <c r="Q108" s="367">
        <f t="shared" si="31"/>
        <v>0</v>
      </c>
      <c r="R108" s="368">
        <f t="shared" si="25"/>
        <v>340.41048822010765</v>
      </c>
      <c r="S108" s="384">
        <f>INDEX(FX!$D$3:$O$19,MATCH(B108,FX!$B$3:$B$32,0),MATCH(D108,FX!$D$2:$O$2,0))</f>
        <v>923</v>
      </c>
      <c r="T108" s="360" t="s">
        <v>141</v>
      </c>
      <c r="U108" s="360" t="s">
        <v>32</v>
      </c>
      <c r="V108" s="360" t="s">
        <v>83</v>
      </c>
      <c r="W108" s="364" t="str">
        <f>VLOOKUP(I108,Map!$F$18:$H$51,3,0)</f>
        <v>Variable</v>
      </c>
      <c r="X108" s="370" t="s">
        <v>149</v>
      </c>
      <c r="Y108" s="364" t="str">
        <f>VLOOKUP(L108,Map!$C$18:$D$29,2,0)</f>
        <v>GTT</v>
      </c>
      <c r="Z108" s="365"/>
      <c r="AA108" s="366">
        <f t="shared" si="22"/>
        <v>0</v>
      </c>
      <c r="AB108" s="366">
        <f t="shared" si="26"/>
        <v>0</v>
      </c>
      <c r="AC108" s="367">
        <f t="shared" si="23"/>
        <v>0</v>
      </c>
      <c r="AD108" s="367">
        <f t="shared" si="24"/>
        <v>0</v>
      </c>
      <c r="AE108" s="368">
        <f t="shared" si="27"/>
        <v>0</v>
      </c>
      <c r="AF108" s="385"/>
    </row>
    <row r="109" spans="2:32" s="1" customFormat="1" ht="13" hidden="1" x14ac:dyDescent="0.3">
      <c r="B109" s="383">
        <v>2026</v>
      </c>
      <c r="C109" s="361" t="s">
        <v>416</v>
      </c>
      <c r="D109" s="361" t="s">
        <v>162</v>
      </c>
      <c r="E109" s="360" t="s">
        <v>88</v>
      </c>
      <c r="F109" s="360" t="s">
        <v>80</v>
      </c>
      <c r="G109" s="362">
        <v>46209</v>
      </c>
      <c r="H109" s="363">
        <v>3826</v>
      </c>
      <c r="I109" s="360" t="s">
        <v>148</v>
      </c>
      <c r="J109" s="364" t="str">
        <f>IFERROR(VLOOKUP(I109,Map!$F$18:$G$56,2,0),"Add in Map")</f>
        <v>3P</v>
      </c>
      <c r="K109" s="364" t="str">
        <f>VLOOKUP(L109,Map!$C$18:$D$29,2,0)</f>
        <v>DGT</v>
      </c>
      <c r="L109" s="360" t="s">
        <v>50</v>
      </c>
      <c r="M109" s="365">
        <v>235229.90923056315</v>
      </c>
      <c r="N109" s="366">
        <f t="shared" si="28"/>
        <v>0</v>
      </c>
      <c r="O109" s="366">
        <f t="shared" si="29"/>
        <v>279923.59198437014</v>
      </c>
      <c r="P109" s="367">
        <f t="shared" si="30"/>
        <v>254.85363946973254</v>
      </c>
      <c r="Q109" s="367">
        <f t="shared" si="31"/>
        <v>0</v>
      </c>
      <c r="R109" s="368">
        <f t="shared" si="25"/>
        <v>303.27583096898172</v>
      </c>
      <c r="S109" s="384">
        <f>INDEX(FX!$D$3:$O$19,MATCH(B109,FX!$B$3:$B$32,0),MATCH(D109,FX!$D$2:$O$2,0))</f>
        <v>923</v>
      </c>
      <c r="T109" s="360" t="s">
        <v>141</v>
      </c>
      <c r="U109" s="360" t="s">
        <v>32</v>
      </c>
      <c r="V109" s="360" t="s">
        <v>83</v>
      </c>
      <c r="W109" s="364" t="str">
        <f>VLOOKUP(I109,Map!$F$18:$H$51,3,0)</f>
        <v>Variable</v>
      </c>
      <c r="X109" s="370" t="s">
        <v>149</v>
      </c>
      <c r="Y109" s="364" t="str">
        <f>VLOOKUP(L109,Map!$C$18:$D$29,2,0)</f>
        <v>DGT</v>
      </c>
      <c r="Z109" s="365"/>
      <c r="AA109" s="366">
        <f t="shared" si="22"/>
        <v>0</v>
      </c>
      <c r="AB109" s="366">
        <f t="shared" si="26"/>
        <v>0</v>
      </c>
      <c r="AC109" s="367">
        <f t="shared" si="23"/>
        <v>0</v>
      </c>
      <c r="AD109" s="367">
        <f t="shared" si="24"/>
        <v>0</v>
      </c>
      <c r="AE109" s="368">
        <f t="shared" si="27"/>
        <v>0</v>
      </c>
      <c r="AF109" s="385"/>
    </row>
    <row r="110" spans="2:32" s="1" customFormat="1" ht="13" hidden="1" x14ac:dyDescent="0.3">
      <c r="B110" s="383">
        <v>2026</v>
      </c>
      <c r="C110" s="361" t="s">
        <v>416</v>
      </c>
      <c r="D110" s="361" t="s">
        <v>162</v>
      </c>
      <c r="E110" s="360" t="s">
        <v>88</v>
      </c>
      <c r="F110" s="360" t="s">
        <v>80</v>
      </c>
      <c r="G110" s="362">
        <v>46209</v>
      </c>
      <c r="H110" s="363">
        <v>3826</v>
      </c>
      <c r="I110" s="360" t="s">
        <v>148</v>
      </c>
      <c r="J110" s="364" t="str">
        <f>IFERROR(VLOOKUP(I110,Map!$F$18:$G$56,2,0),"Add in Map")</f>
        <v>3P</v>
      </c>
      <c r="K110" s="364" t="str">
        <f>VLOOKUP(L110,Map!$C$18:$D$29,2,0)</f>
        <v>DLT</v>
      </c>
      <c r="L110" s="360" t="s">
        <v>52</v>
      </c>
      <c r="M110" s="365">
        <v>53138.582702082764</v>
      </c>
      <c r="N110" s="366">
        <f t="shared" si="28"/>
        <v>0</v>
      </c>
      <c r="O110" s="366">
        <f t="shared" si="29"/>
        <v>63234.913415478484</v>
      </c>
      <c r="P110" s="367">
        <f t="shared" si="30"/>
        <v>57.571595560219677</v>
      </c>
      <c r="Q110" s="367">
        <f t="shared" si="31"/>
        <v>0</v>
      </c>
      <c r="R110" s="368">
        <f t="shared" si="25"/>
        <v>68.510198716661407</v>
      </c>
      <c r="S110" s="384">
        <f>INDEX(FX!$D$3:$O$19,MATCH(B110,FX!$B$3:$B$32,0),MATCH(D110,FX!$D$2:$O$2,0))</f>
        <v>923</v>
      </c>
      <c r="T110" s="360" t="s">
        <v>141</v>
      </c>
      <c r="U110" s="360" t="s">
        <v>32</v>
      </c>
      <c r="V110" s="360" t="s">
        <v>83</v>
      </c>
      <c r="W110" s="364" t="str">
        <f>VLOOKUP(I110,Map!$F$18:$H$51,3,0)</f>
        <v>Variable</v>
      </c>
      <c r="X110" s="370" t="s">
        <v>149</v>
      </c>
      <c r="Y110" s="364" t="str">
        <f>VLOOKUP(L110,Map!$C$18:$D$29,2,0)</f>
        <v>DLT</v>
      </c>
      <c r="Z110" s="365"/>
      <c r="AA110" s="366">
        <f t="shared" si="22"/>
        <v>0</v>
      </c>
      <c r="AB110" s="366">
        <f t="shared" si="26"/>
        <v>0</v>
      </c>
      <c r="AC110" s="367">
        <f t="shared" si="23"/>
        <v>0</v>
      </c>
      <c r="AD110" s="367">
        <f t="shared" si="24"/>
        <v>0</v>
      </c>
      <c r="AE110" s="368">
        <f t="shared" si="27"/>
        <v>0</v>
      </c>
      <c r="AF110" s="385"/>
    </row>
    <row r="111" spans="2:32" s="1" customFormat="1" ht="13" hidden="1" x14ac:dyDescent="0.3">
      <c r="B111" s="383">
        <v>2026</v>
      </c>
      <c r="C111" s="361" t="s">
        <v>416</v>
      </c>
      <c r="D111" s="361" t="s">
        <v>162</v>
      </c>
      <c r="E111" s="360" t="s">
        <v>88</v>
      </c>
      <c r="F111" s="360" t="s">
        <v>80</v>
      </c>
      <c r="G111" s="362">
        <v>46209</v>
      </c>
      <c r="H111" s="363">
        <v>3826</v>
      </c>
      <c r="I111" s="360" t="s">
        <v>148</v>
      </c>
      <c r="J111" s="364" t="str">
        <f>IFERROR(VLOOKUP(I111,Map!$F$18:$G$56,2,0),"Add in Map")</f>
        <v>3P</v>
      </c>
      <c r="K111" s="364" t="str">
        <f>VLOOKUP(L111,Map!$C$18:$D$29,2,0)</f>
        <v>DMT</v>
      </c>
      <c r="L111" s="360" t="s">
        <v>54</v>
      </c>
      <c r="M111" s="365">
        <v>0</v>
      </c>
      <c r="N111" s="366">
        <f t="shared" si="28"/>
        <v>0</v>
      </c>
      <c r="O111" s="366">
        <f t="shared" si="29"/>
        <v>0</v>
      </c>
      <c r="P111" s="386">
        <f t="shared" si="30"/>
        <v>0</v>
      </c>
      <c r="Q111" s="367">
        <f t="shared" si="31"/>
        <v>0</v>
      </c>
      <c r="R111" s="368">
        <f t="shared" si="25"/>
        <v>0</v>
      </c>
      <c r="S111" s="384">
        <f>INDEX(FX!$D$3:$O$19,MATCH(B111,FX!$B$3:$B$32,0),MATCH(D111,FX!$D$2:$O$2,0))</f>
        <v>923</v>
      </c>
      <c r="T111" s="360" t="s">
        <v>141</v>
      </c>
      <c r="U111" s="360" t="s">
        <v>32</v>
      </c>
      <c r="V111" s="360" t="s">
        <v>83</v>
      </c>
      <c r="W111" s="364" t="str">
        <f>VLOOKUP(I111,Map!$F$18:$H$51,3,0)</f>
        <v>Variable</v>
      </c>
      <c r="X111" s="370" t="s">
        <v>149</v>
      </c>
      <c r="Y111" s="364" t="str">
        <f>VLOOKUP(L111,Map!$C$18:$D$29,2,0)</f>
        <v>DMT</v>
      </c>
      <c r="Z111" s="365"/>
      <c r="AA111" s="366">
        <f t="shared" si="22"/>
        <v>0</v>
      </c>
      <c r="AB111" s="366">
        <f t="shared" si="26"/>
        <v>0</v>
      </c>
      <c r="AC111" s="386">
        <f t="shared" si="23"/>
        <v>0</v>
      </c>
      <c r="AD111" s="367">
        <f t="shared" si="24"/>
        <v>0</v>
      </c>
      <c r="AE111" s="368">
        <f t="shared" si="27"/>
        <v>0</v>
      </c>
      <c r="AF111" s="385"/>
    </row>
    <row r="112" spans="2:32" s="37" customFormat="1" hidden="1" x14ac:dyDescent="0.35">
      <c r="B112" s="387">
        <v>2026</v>
      </c>
      <c r="C112" s="389" t="s">
        <v>416</v>
      </c>
      <c r="D112" s="389" t="s">
        <v>162</v>
      </c>
      <c r="E112" s="388" t="s">
        <v>88</v>
      </c>
      <c r="F112" s="388" t="s">
        <v>80</v>
      </c>
      <c r="G112" s="390">
        <v>46209</v>
      </c>
      <c r="H112" s="391">
        <v>3826</v>
      </c>
      <c r="I112" s="388" t="s">
        <v>148</v>
      </c>
      <c r="J112" s="392" t="str">
        <f>IFERROR(VLOOKUP(I112,Map!$F$18:$G$56,2,0),"Add in Map")</f>
        <v>3P</v>
      </c>
      <c r="K112" s="392" t="str">
        <f>VLOOKUP(L112,Map!$C$18:$D$29,2,0)</f>
        <v>TOTAL</v>
      </c>
      <c r="L112" s="388" t="s">
        <v>56</v>
      </c>
      <c r="M112" s="393">
        <f>SUM(M101:M111)</f>
        <v>14141252.999999998</v>
      </c>
      <c r="N112" s="393">
        <f t="shared" si="28"/>
        <v>2686838.07</v>
      </c>
      <c r="O112" s="393">
        <f t="shared" si="29"/>
        <v>16828091.069999997</v>
      </c>
      <c r="P112" s="394">
        <f t="shared" si="30"/>
        <v>15320.967497291438</v>
      </c>
      <c r="Q112" s="394">
        <f t="shared" si="31"/>
        <v>2910.9838244853731</v>
      </c>
      <c r="R112" s="395">
        <f t="shared" si="25"/>
        <v>18231.951321776811</v>
      </c>
      <c r="S112" s="396">
        <f>INDEX(FX!$D$3:$O$19,MATCH(B112,FX!$B$3:$B$32,0),MATCH(D112,FX!$D$2:$O$2,0))</f>
        <v>923</v>
      </c>
      <c r="T112" s="388" t="s">
        <v>141</v>
      </c>
      <c r="U112" s="388" t="s">
        <v>32</v>
      </c>
      <c r="V112" s="388" t="s">
        <v>83</v>
      </c>
      <c r="W112" s="392" t="str">
        <f>VLOOKUP(I112,Map!$F$18:$H$51,3,0)</f>
        <v>Variable</v>
      </c>
      <c r="X112" s="397" t="s">
        <v>149</v>
      </c>
      <c r="Y112" s="392" t="str">
        <f>VLOOKUP(L112,Map!$C$18:$D$29,2,0)</f>
        <v>TOTAL</v>
      </c>
      <c r="Z112" s="413"/>
      <c r="AA112" s="393">
        <f t="shared" si="22"/>
        <v>0</v>
      </c>
      <c r="AB112" s="393">
        <f t="shared" si="26"/>
        <v>0</v>
      </c>
      <c r="AC112" s="394">
        <f t="shared" si="23"/>
        <v>0</v>
      </c>
      <c r="AD112" s="394">
        <f t="shared" si="24"/>
        <v>0</v>
      </c>
      <c r="AE112" s="395">
        <f t="shared" si="27"/>
        <v>0</v>
      </c>
      <c r="AF112" s="398"/>
    </row>
    <row r="113" spans="2:32" s="1" customFormat="1" ht="13" hidden="1" x14ac:dyDescent="0.3">
      <c r="B113" s="383">
        <v>2026</v>
      </c>
      <c r="C113" s="361" t="s">
        <v>413</v>
      </c>
      <c r="D113" s="361" t="s">
        <v>162</v>
      </c>
      <c r="E113" s="360" t="s">
        <v>88</v>
      </c>
      <c r="F113" s="360" t="s">
        <v>80</v>
      </c>
      <c r="G113" s="362">
        <v>46218</v>
      </c>
      <c r="H113" s="363">
        <v>3864</v>
      </c>
      <c r="I113" s="360" t="s">
        <v>148</v>
      </c>
      <c r="J113" s="364" t="str">
        <f>IFERROR(VLOOKUP(I113,Map!$F$18:$G$56,2,0),"Add in Map")</f>
        <v>3P</v>
      </c>
      <c r="K113" s="364" t="str">
        <f>VLOOKUP(L113,Map!$C$18:$D$29,2,0)</f>
        <v>CNT</v>
      </c>
      <c r="L113" s="360" t="s">
        <v>31</v>
      </c>
      <c r="M113" s="365">
        <v>8616450.3716824111</v>
      </c>
      <c r="N113" s="366">
        <f t="shared" si="28"/>
        <v>0</v>
      </c>
      <c r="O113" s="366">
        <f t="shared" si="29"/>
        <v>10253575.942302069</v>
      </c>
      <c r="P113" s="367">
        <f t="shared" si="30"/>
        <v>9335.2658414760681</v>
      </c>
      <c r="Q113" s="367">
        <f t="shared" si="31"/>
        <v>0</v>
      </c>
      <c r="R113" s="368">
        <f t="shared" si="25"/>
        <v>11108.966351356521</v>
      </c>
      <c r="S113" s="384">
        <f>INDEX(FX!$D$3:$O$19,MATCH(B113,FX!$B$3:$B$32,0),MATCH(D113,FX!$D$2:$O$2,0))</f>
        <v>923</v>
      </c>
      <c r="T113" s="360" t="s">
        <v>144</v>
      </c>
      <c r="U113" s="360" t="s">
        <v>32</v>
      </c>
      <c r="V113" s="360" t="s">
        <v>83</v>
      </c>
      <c r="W113" s="364" t="str">
        <f>VLOOKUP(I113,Map!$F$18:$H$51,3,0)</f>
        <v>Variable</v>
      </c>
      <c r="X113" s="370" t="s">
        <v>149</v>
      </c>
      <c r="Y113" s="364" t="str">
        <f>VLOOKUP(L113,Map!$C$18:$D$29,2,0)</f>
        <v>CNT</v>
      </c>
      <c r="Z113" s="365">
        <v>6586061.9820968052</v>
      </c>
      <c r="AA113" s="366">
        <f t="shared" si="22"/>
        <v>0</v>
      </c>
      <c r="AB113" s="366">
        <f t="shared" si="26"/>
        <v>7837413.7586951982</v>
      </c>
      <c r="AC113" s="367">
        <f t="shared" si="23"/>
        <v>7135.495105196972</v>
      </c>
      <c r="AD113" s="367">
        <f t="shared" si="24"/>
        <v>0</v>
      </c>
      <c r="AE113" s="368">
        <f t="shared" si="27"/>
        <v>8491.239175184397</v>
      </c>
      <c r="AF113" s="385"/>
    </row>
    <row r="114" spans="2:32" s="1" customFormat="1" ht="13" hidden="1" x14ac:dyDescent="0.3">
      <c r="B114" s="383">
        <v>2026</v>
      </c>
      <c r="C114" s="361" t="s">
        <v>413</v>
      </c>
      <c r="D114" s="361" t="s">
        <v>162</v>
      </c>
      <c r="E114" s="360" t="s">
        <v>88</v>
      </c>
      <c r="F114" s="360" t="s">
        <v>80</v>
      </c>
      <c r="G114" s="362">
        <v>46218</v>
      </c>
      <c r="H114" s="363">
        <v>3864</v>
      </c>
      <c r="I114" s="360" t="s">
        <v>148</v>
      </c>
      <c r="J114" s="364" t="str">
        <f>IFERROR(VLOOKUP(I114,Map!$F$18:$G$56,2,0),"Add in Map")</f>
        <v>3P</v>
      </c>
      <c r="K114" s="364" t="str">
        <f>VLOOKUP(L114,Map!$C$18:$D$29,2,0)</f>
        <v>CVT</v>
      </c>
      <c r="L114" s="360" t="s">
        <v>36</v>
      </c>
      <c r="M114" s="365">
        <v>209438.61121489928</v>
      </c>
      <c r="N114" s="366">
        <f t="shared" si="28"/>
        <v>0</v>
      </c>
      <c r="O114" s="366">
        <f t="shared" si="29"/>
        <v>249231.94734573015</v>
      </c>
      <c r="P114" s="367">
        <f t="shared" si="30"/>
        <v>226.91073804431124</v>
      </c>
      <c r="Q114" s="367">
        <f t="shared" si="31"/>
        <v>0</v>
      </c>
      <c r="R114" s="368">
        <f t="shared" si="25"/>
        <v>270.0237782727304</v>
      </c>
      <c r="S114" s="384">
        <f>INDEX(FX!$D$3:$O$19,MATCH(B114,FX!$B$3:$B$32,0),MATCH(D114,FX!$D$2:$O$2,0))</f>
        <v>923</v>
      </c>
      <c r="T114" s="360" t="s">
        <v>144</v>
      </c>
      <c r="U114" s="360" t="s">
        <v>32</v>
      </c>
      <c r="V114" s="360" t="s">
        <v>83</v>
      </c>
      <c r="W114" s="364" t="str">
        <f>VLOOKUP(I114,Map!$F$18:$H$51,3,0)</f>
        <v>Variable</v>
      </c>
      <c r="X114" s="370" t="s">
        <v>149</v>
      </c>
      <c r="Y114" s="364" t="str">
        <f>VLOOKUP(L114,Map!$C$18:$D$29,2,0)</f>
        <v>CVT</v>
      </c>
      <c r="Z114" s="365">
        <v>160086.30183014341</v>
      </c>
      <c r="AA114" s="366">
        <f t="shared" si="22"/>
        <v>0</v>
      </c>
      <c r="AB114" s="366">
        <f t="shared" si="26"/>
        <v>190502.69917787064</v>
      </c>
      <c r="AC114" s="367">
        <f t="shared" si="23"/>
        <v>173.44128042269057</v>
      </c>
      <c r="AD114" s="367">
        <f t="shared" si="24"/>
        <v>0</v>
      </c>
      <c r="AE114" s="368">
        <f t="shared" si="27"/>
        <v>206.39512370300176</v>
      </c>
      <c r="AF114" s="385"/>
    </row>
    <row r="115" spans="2:32" s="1" customFormat="1" ht="13" hidden="1" x14ac:dyDescent="0.3">
      <c r="B115" s="383">
        <v>2026</v>
      </c>
      <c r="C115" s="361" t="s">
        <v>413</v>
      </c>
      <c r="D115" s="361" t="s">
        <v>162</v>
      </c>
      <c r="E115" s="360" t="s">
        <v>88</v>
      </c>
      <c r="F115" s="360" t="s">
        <v>80</v>
      </c>
      <c r="G115" s="362">
        <v>46218</v>
      </c>
      <c r="H115" s="363">
        <v>3864</v>
      </c>
      <c r="I115" s="360" t="s">
        <v>148</v>
      </c>
      <c r="J115" s="364" t="str">
        <f>IFERROR(VLOOKUP(I115,Map!$F$18:$G$56,2,0),"Add in Map")</f>
        <v>3P</v>
      </c>
      <c r="K115" s="364" t="str">
        <f>VLOOKUP(L115,Map!$C$18:$D$29,2,0)</f>
        <v>CDT</v>
      </c>
      <c r="L115" s="360" t="s">
        <v>38</v>
      </c>
      <c r="M115" s="365">
        <v>215621.91075665358</v>
      </c>
      <c r="N115" s="366">
        <f t="shared" si="28"/>
        <v>0</v>
      </c>
      <c r="O115" s="366">
        <f t="shared" si="29"/>
        <v>256590.07380041774</v>
      </c>
      <c r="P115" s="367">
        <f t="shared" si="30"/>
        <v>233.60987080894213</v>
      </c>
      <c r="Q115" s="367">
        <f t="shared" si="31"/>
        <v>0</v>
      </c>
      <c r="R115" s="368">
        <f t="shared" si="25"/>
        <v>277.99574626264115</v>
      </c>
      <c r="S115" s="384">
        <f>INDEX(FX!$D$3:$O$19,MATCH(B115,FX!$B$3:$B$32,0),MATCH(D115,FX!$D$2:$O$2,0))</f>
        <v>923</v>
      </c>
      <c r="T115" s="360" t="s">
        <v>144</v>
      </c>
      <c r="U115" s="360" t="s">
        <v>32</v>
      </c>
      <c r="V115" s="360" t="s">
        <v>83</v>
      </c>
      <c r="W115" s="364" t="str">
        <f>VLOOKUP(I115,Map!$F$18:$H$51,3,0)</f>
        <v>Variable</v>
      </c>
      <c r="X115" s="370" t="s">
        <v>149</v>
      </c>
      <c r="Y115" s="364" t="str">
        <f>VLOOKUP(L115,Map!$C$18:$D$29,2,0)</f>
        <v>CDT</v>
      </c>
      <c r="Z115" s="365">
        <v>164812.56290972914</v>
      </c>
      <c r="AA115" s="366">
        <f t="shared" si="22"/>
        <v>0</v>
      </c>
      <c r="AB115" s="366">
        <f t="shared" si="26"/>
        <v>196126.94986257766</v>
      </c>
      <c r="AC115" s="367">
        <f t="shared" si="23"/>
        <v>178.56182330414859</v>
      </c>
      <c r="AD115" s="367">
        <f t="shared" si="24"/>
        <v>0</v>
      </c>
      <c r="AE115" s="368">
        <f t="shared" si="27"/>
        <v>212.48856973193682</v>
      </c>
      <c r="AF115" s="385"/>
    </row>
    <row r="116" spans="2:32" s="1" customFormat="1" ht="13" hidden="1" x14ac:dyDescent="0.3">
      <c r="B116" s="383">
        <v>2026</v>
      </c>
      <c r="C116" s="361" t="s">
        <v>413</v>
      </c>
      <c r="D116" s="361" t="s">
        <v>162</v>
      </c>
      <c r="E116" s="360" t="s">
        <v>88</v>
      </c>
      <c r="F116" s="360" t="s">
        <v>80</v>
      </c>
      <c r="G116" s="362">
        <v>46218</v>
      </c>
      <c r="H116" s="363">
        <v>3864</v>
      </c>
      <c r="I116" s="360" t="s">
        <v>148</v>
      </c>
      <c r="J116" s="364" t="str">
        <f>IFERROR(VLOOKUP(I116,Map!$F$18:$G$56,2,0),"Add in Map")</f>
        <v>3P</v>
      </c>
      <c r="K116" s="364" t="str">
        <f>VLOOKUP(L116,Map!$C$18:$D$29,2,0)</f>
        <v>DFT</v>
      </c>
      <c r="L116" s="360" t="s">
        <v>40</v>
      </c>
      <c r="M116" s="365">
        <v>17970337.657967135</v>
      </c>
      <c r="N116" s="366">
        <f t="shared" si="28"/>
        <v>0</v>
      </c>
      <c r="O116" s="366">
        <f t="shared" si="29"/>
        <v>21384701.81298089</v>
      </c>
      <c r="P116" s="367">
        <f t="shared" si="30"/>
        <v>19469.488253485521</v>
      </c>
      <c r="Q116" s="367">
        <f t="shared" si="31"/>
        <v>0</v>
      </c>
      <c r="R116" s="368">
        <f t="shared" si="25"/>
        <v>23168.69102164777</v>
      </c>
      <c r="S116" s="384">
        <f>INDEX(FX!$D$3:$O$19,MATCH(B116,FX!$B$3:$B$32,0),MATCH(D116,FX!$D$2:$O$2,0))</f>
        <v>923</v>
      </c>
      <c r="T116" s="360" t="s">
        <v>144</v>
      </c>
      <c r="U116" s="360" t="s">
        <v>32</v>
      </c>
      <c r="V116" s="360" t="s">
        <v>83</v>
      </c>
      <c r="W116" s="364" t="str">
        <f>VLOOKUP(I116,Map!$F$18:$H$51,3,0)</f>
        <v>Variable</v>
      </c>
      <c r="X116" s="370" t="s">
        <v>149</v>
      </c>
      <c r="Y116" s="364" t="str">
        <f>VLOOKUP(L116,Map!$C$18:$D$29,2,0)</f>
        <v>DFT</v>
      </c>
      <c r="Z116" s="365">
        <v>13735790.557506647</v>
      </c>
      <c r="AA116" s="366">
        <f t="shared" si="22"/>
        <v>0</v>
      </c>
      <c r="AB116" s="366">
        <f t="shared" si="26"/>
        <v>16345590.763432909</v>
      </c>
      <c r="AC116" s="367">
        <f t="shared" si="23"/>
        <v>14881.679910624753</v>
      </c>
      <c r="AD116" s="367">
        <f t="shared" si="24"/>
        <v>0</v>
      </c>
      <c r="AE116" s="368">
        <f t="shared" si="27"/>
        <v>17709.199093643456</v>
      </c>
      <c r="AF116" s="385"/>
    </row>
    <row r="117" spans="2:32" s="1" customFormat="1" ht="13" hidden="1" x14ac:dyDescent="0.3">
      <c r="B117" s="383">
        <v>2026</v>
      </c>
      <c r="C117" s="361" t="s">
        <v>413</v>
      </c>
      <c r="D117" s="361" t="s">
        <v>162</v>
      </c>
      <c r="E117" s="360" t="s">
        <v>88</v>
      </c>
      <c r="F117" s="360" t="s">
        <v>80</v>
      </c>
      <c r="G117" s="362">
        <v>46218</v>
      </c>
      <c r="H117" s="363">
        <v>3864</v>
      </c>
      <c r="I117" s="360" t="s">
        <v>148</v>
      </c>
      <c r="J117" s="364" t="str">
        <f>IFERROR(VLOOKUP(I117,Map!$F$18:$G$56,2,0),"Add in Map")</f>
        <v>3P</v>
      </c>
      <c r="K117" s="364" t="str">
        <f>VLOOKUP(L117,Map!$C$18:$D$29,2,0)</f>
        <v>DVT</v>
      </c>
      <c r="L117" s="360" t="s">
        <v>42</v>
      </c>
      <c r="M117" s="365">
        <v>0</v>
      </c>
      <c r="N117" s="366">
        <f t="shared" ref="N117:N148" si="32">IF(L117="TOTAL",(M117*0.19),0)</f>
        <v>0</v>
      </c>
      <c r="O117" s="366">
        <f t="shared" ref="O117:O148" si="33">M117*1.19</f>
        <v>0</v>
      </c>
      <c r="P117" s="367">
        <f t="shared" ref="P117:P148" si="34">M117/S117</f>
        <v>0</v>
      </c>
      <c r="Q117" s="367">
        <f t="shared" ref="Q117:Q148" si="35">IF(L117="TOTAL",(P117*0.19),0)</f>
        <v>0</v>
      </c>
      <c r="R117" s="368">
        <f t="shared" si="25"/>
        <v>0</v>
      </c>
      <c r="S117" s="384">
        <f>INDEX(FX!$D$3:$O$19,MATCH(B117,FX!$B$3:$B$32,0),MATCH(D117,FX!$D$2:$O$2,0))</f>
        <v>923</v>
      </c>
      <c r="T117" s="360" t="s">
        <v>144</v>
      </c>
      <c r="U117" s="360" t="s">
        <v>32</v>
      </c>
      <c r="V117" s="360" t="s">
        <v>83</v>
      </c>
      <c r="W117" s="364" t="str">
        <f>VLOOKUP(I117,Map!$F$18:$H$51,3,0)</f>
        <v>Variable</v>
      </c>
      <c r="X117" s="370" t="s">
        <v>149</v>
      </c>
      <c r="Y117" s="364" t="str">
        <f>VLOOKUP(L117,Map!$C$18:$D$29,2,0)</f>
        <v>DVT</v>
      </c>
      <c r="Z117" s="365">
        <v>0</v>
      </c>
      <c r="AA117" s="366">
        <f t="shared" si="22"/>
        <v>0</v>
      </c>
      <c r="AB117" s="366">
        <f t="shared" si="26"/>
        <v>0</v>
      </c>
      <c r="AC117" s="367">
        <f t="shared" si="23"/>
        <v>0</v>
      </c>
      <c r="AD117" s="367">
        <f t="shared" si="24"/>
        <v>0</v>
      </c>
      <c r="AE117" s="368">
        <f t="shared" si="27"/>
        <v>0</v>
      </c>
      <c r="AF117" s="385"/>
    </row>
    <row r="118" spans="2:32" s="1" customFormat="1" ht="13" hidden="1" x14ac:dyDescent="0.3">
      <c r="B118" s="383">
        <v>2026</v>
      </c>
      <c r="C118" s="361" t="s">
        <v>413</v>
      </c>
      <c r="D118" s="361" t="s">
        <v>162</v>
      </c>
      <c r="E118" s="360" t="s">
        <v>88</v>
      </c>
      <c r="F118" s="360" t="s">
        <v>80</v>
      </c>
      <c r="G118" s="362">
        <v>46218</v>
      </c>
      <c r="H118" s="363">
        <v>3864</v>
      </c>
      <c r="I118" s="360" t="s">
        <v>148</v>
      </c>
      <c r="J118" s="364" t="str">
        <f>IFERROR(VLOOKUP(I118,Map!$F$18:$G$56,2,0),"Add in Map")</f>
        <v>3P</v>
      </c>
      <c r="K118" s="364" t="str">
        <f>VLOOKUP(L118,Map!$C$18:$D$29,2,0)</f>
        <v>GLT</v>
      </c>
      <c r="L118" s="360" t="s">
        <v>44</v>
      </c>
      <c r="M118" s="365">
        <v>11677468.163538219</v>
      </c>
      <c r="N118" s="366">
        <f t="shared" si="32"/>
        <v>0</v>
      </c>
      <c r="O118" s="366">
        <f t="shared" si="33"/>
        <v>13896187.11461048</v>
      </c>
      <c r="P118" s="367">
        <f t="shared" si="34"/>
        <v>12651.644814234258</v>
      </c>
      <c r="Q118" s="367">
        <f t="shared" si="35"/>
        <v>0</v>
      </c>
      <c r="R118" s="368">
        <f t="shared" si="25"/>
        <v>15055.457328938766</v>
      </c>
      <c r="S118" s="384">
        <f>INDEX(FX!$D$3:$O$19,MATCH(B118,FX!$B$3:$B$32,0),MATCH(D118,FX!$D$2:$O$2,0))</f>
        <v>923</v>
      </c>
      <c r="T118" s="360" t="s">
        <v>144</v>
      </c>
      <c r="U118" s="360" t="s">
        <v>32</v>
      </c>
      <c r="V118" s="360" t="s">
        <v>83</v>
      </c>
      <c r="W118" s="364" t="str">
        <f>VLOOKUP(I118,Map!$F$18:$H$51,3,0)</f>
        <v>Variable</v>
      </c>
      <c r="X118" s="370" t="s">
        <v>149</v>
      </c>
      <c r="Y118" s="364" t="str">
        <f>VLOOKUP(L118,Map!$C$18:$D$29,2,0)</f>
        <v>GLT</v>
      </c>
      <c r="Z118" s="365">
        <v>8925778.6909307111</v>
      </c>
      <c r="AA118" s="366">
        <f t="shared" si="22"/>
        <v>0</v>
      </c>
      <c r="AB118" s="366">
        <f t="shared" si="26"/>
        <v>10621676.642207546</v>
      </c>
      <c r="AC118" s="367">
        <f t="shared" si="23"/>
        <v>9670.399448462309</v>
      </c>
      <c r="AD118" s="367">
        <f t="shared" si="24"/>
        <v>0</v>
      </c>
      <c r="AE118" s="368">
        <f t="shared" si="27"/>
        <v>11507.775343670148</v>
      </c>
      <c r="AF118" s="385"/>
    </row>
    <row r="119" spans="2:32" s="1" customFormat="1" ht="13" hidden="1" x14ac:dyDescent="0.3">
      <c r="B119" s="383">
        <v>2026</v>
      </c>
      <c r="C119" s="361" t="s">
        <v>413</v>
      </c>
      <c r="D119" s="361" t="s">
        <v>162</v>
      </c>
      <c r="E119" s="360" t="s">
        <v>88</v>
      </c>
      <c r="F119" s="360" t="s">
        <v>80</v>
      </c>
      <c r="G119" s="362">
        <v>46218</v>
      </c>
      <c r="H119" s="363">
        <v>3864</v>
      </c>
      <c r="I119" s="360" t="s">
        <v>148</v>
      </c>
      <c r="J119" s="364" t="str">
        <f>IFERROR(VLOOKUP(I119,Map!$F$18:$G$56,2,0),"Add in Map")</f>
        <v>3P</v>
      </c>
      <c r="K119" s="364" t="str">
        <f>VLOOKUP(L119,Map!$C$18:$D$29,2,0)</f>
        <v>PNT</v>
      </c>
      <c r="L119" s="360" t="s">
        <v>46</v>
      </c>
      <c r="M119" s="365">
        <v>1267068.0846661197</v>
      </c>
      <c r="N119" s="366">
        <f t="shared" si="32"/>
        <v>0</v>
      </c>
      <c r="O119" s="366">
        <f t="shared" si="33"/>
        <v>1507811.0207526824</v>
      </c>
      <c r="P119" s="367">
        <f t="shared" si="34"/>
        <v>1372.7714893457419</v>
      </c>
      <c r="Q119" s="367">
        <f t="shared" si="35"/>
        <v>0</v>
      </c>
      <c r="R119" s="368">
        <f t="shared" si="25"/>
        <v>1633.5980723214327</v>
      </c>
      <c r="S119" s="384">
        <f>INDEX(FX!$D$3:$O$19,MATCH(B119,FX!$B$3:$B$32,0),MATCH(D119,FX!$D$2:$O$2,0))</f>
        <v>923</v>
      </c>
      <c r="T119" s="360" t="s">
        <v>144</v>
      </c>
      <c r="U119" s="360" t="s">
        <v>32</v>
      </c>
      <c r="V119" s="360" t="s">
        <v>83</v>
      </c>
      <c r="W119" s="364" t="str">
        <f>VLOOKUP(I119,Map!$F$18:$H$51,3,0)</f>
        <v>Variable</v>
      </c>
      <c r="X119" s="370" t="s">
        <v>149</v>
      </c>
      <c r="Y119" s="364" t="str">
        <f>VLOOKUP(L119,Map!$C$18:$D$29,2,0)</f>
        <v>PNT</v>
      </c>
      <c r="Z119" s="365">
        <v>968494.98124810064</v>
      </c>
      <c r="AA119" s="366">
        <f t="shared" si="22"/>
        <v>0</v>
      </c>
      <c r="AB119" s="366">
        <f t="shared" si="26"/>
        <v>1152509.0276852397</v>
      </c>
      <c r="AC119" s="367">
        <f t="shared" si="23"/>
        <v>1049.2903372135436</v>
      </c>
      <c r="AD119" s="367">
        <f t="shared" si="24"/>
        <v>0</v>
      </c>
      <c r="AE119" s="368">
        <f t="shared" si="27"/>
        <v>1248.6555012841168</v>
      </c>
      <c r="AF119" s="385"/>
    </row>
    <row r="120" spans="2:32" s="1" customFormat="1" ht="13" hidden="1" x14ac:dyDescent="0.3">
      <c r="B120" s="383">
        <v>2026</v>
      </c>
      <c r="C120" s="361" t="s">
        <v>413</v>
      </c>
      <c r="D120" s="361" t="s">
        <v>162</v>
      </c>
      <c r="E120" s="360" t="s">
        <v>88</v>
      </c>
      <c r="F120" s="360" t="s">
        <v>80</v>
      </c>
      <c r="G120" s="362">
        <v>46218</v>
      </c>
      <c r="H120" s="363">
        <v>3864</v>
      </c>
      <c r="I120" s="360" t="s">
        <v>148</v>
      </c>
      <c r="J120" s="364" t="str">
        <f>IFERROR(VLOOKUP(I120,Map!$F$18:$G$56,2,0),"Add in Map")</f>
        <v>3P</v>
      </c>
      <c r="K120" s="364" t="str">
        <f>VLOOKUP(L120,Map!$C$18:$D$29,2,0)</f>
        <v>GTT</v>
      </c>
      <c r="L120" s="360" t="s">
        <v>48</v>
      </c>
      <c r="M120" s="365">
        <v>776356.32515894261</v>
      </c>
      <c r="N120" s="366">
        <f t="shared" si="32"/>
        <v>0</v>
      </c>
      <c r="O120" s="366">
        <f t="shared" si="33"/>
        <v>923864.02693914168</v>
      </c>
      <c r="P120" s="367">
        <f t="shared" si="34"/>
        <v>841.12277915378399</v>
      </c>
      <c r="Q120" s="367">
        <f t="shared" si="35"/>
        <v>0</v>
      </c>
      <c r="R120" s="368">
        <f t="shared" si="25"/>
        <v>1000.936107193003</v>
      </c>
      <c r="S120" s="384">
        <f>INDEX(FX!$D$3:$O$19,MATCH(B120,FX!$B$3:$B$32,0),MATCH(D120,FX!$D$2:$O$2,0))</f>
        <v>923</v>
      </c>
      <c r="T120" s="360" t="s">
        <v>144</v>
      </c>
      <c r="U120" s="360" t="s">
        <v>32</v>
      </c>
      <c r="V120" s="360" t="s">
        <v>83</v>
      </c>
      <c r="W120" s="364" t="str">
        <f>VLOOKUP(I120,Map!$F$18:$H$51,3,0)</f>
        <v>Variable</v>
      </c>
      <c r="X120" s="370" t="s">
        <v>149</v>
      </c>
      <c r="Y120" s="364" t="str">
        <f>VLOOKUP(L120,Map!$C$18:$D$29,2,0)</f>
        <v>GTT</v>
      </c>
      <c r="Z120" s="365">
        <v>593414.99772270257</v>
      </c>
      <c r="AA120" s="366">
        <f t="shared" si="22"/>
        <v>0</v>
      </c>
      <c r="AB120" s="366">
        <f t="shared" si="26"/>
        <v>706163.84729001601</v>
      </c>
      <c r="AC120" s="367">
        <f t="shared" si="23"/>
        <v>642.9198241849432</v>
      </c>
      <c r="AD120" s="367">
        <f t="shared" si="24"/>
        <v>0</v>
      </c>
      <c r="AE120" s="368">
        <f t="shared" si="27"/>
        <v>765.07459078008242</v>
      </c>
      <c r="AF120" s="385"/>
    </row>
    <row r="121" spans="2:32" s="1" customFormat="1" ht="13" hidden="1" x14ac:dyDescent="0.3">
      <c r="B121" s="383">
        <v>2026</v>
      </c>
      <c r="C121" s="361" t="s">
        <v>413</v>
      </c>
      <c r="D121" s="361" t="s">
        <v>162</v>
      </c>
      <c r="E121" s="360" t="s">
        <v>88</v>
      </c>
      <c r="F121" s="360" t="s">
        <v>80</v>
      </c>
      <c r="G121" s="362">
        <v>46218</v>
      </c>
      <c r="H121" s="363">
        <v>3864</v>
      </c>
      <c r="I121" s="360" t="s">
        <v>148</v>
      </c>
      <c r="J121" s="364" t="str">
        <f>IFERROR(VLOOKUP(I121,Map!$F$18:$G$56,2,0),"Add in Map")</f>
        <v>3P</v>
      </c>
      <c r="K121" s="364" t="str">
        <f>VLOOKUP(L121,Map!$C$18:$D$29,2,0)</f>
        <v>DGT</v>
      </c>
      <c r="L121" s="360" t="s">
        <v>50</v>
      </c>
      <c r="M121" s="365">
        <v>691665.26234750578</v>
      </c>
      <c r="N121" s="366">
        <f t="shared" si="32"/>
        <v>0</v>
      </c>
      <c r="O121" s="366">
        <f t="shared" si="33"/>
        <v>823081.66219353187</v>
      </c>
      <c r="P121" s="367">
        <f t="shared" si="34"/>
        <v>749.36648141658259</v>
      </c>
      <c r="Q121" s="367">
        <f t="shared" si="35"/>
        <v>0</v>
      </c>
      <c r="R121" s="368">
        <f t="shared" si="25"/>
        <v>891.74611288573328</v>
      </c>
      <c r="S121" s="384">
        <f>INDEX(FX!$D$3:$O$19,MATCH(B121,FX!$B$3:$B$32,0),MATCH(D121,FX!$D$2:$O$2,0))</f>
        <v>923</v>
      </c>
      <c r="T121" s="360" t="s">
        <v>144</v>
      </c>
      <c r="U121" s="360" t="s">
        <v>32</v>
      </c>
      <c r="V121" s="360" t="s">
        <v>83</v>
      </c>
      <c r="W121" s="364" t="str">
        <f>VLOOKUP(I121,Map!$F$18:$H$51,3,0)</f>
        <v>Variable</v>
      </c>
      <c r="X121" s="370" t="s">
        <v>149</v>
      </c>
      <c r="Y121" s="364" t="str">
        <f>VLOOKUP(L121,Map!$C$18:$D$29,2,0)</f>
        <v>DGT</v>
      </c>
      <c r="Z121" s="365">
        <v>528680.61582004593</v>
      </c>
      <c r="AA121" s="366">
        <f t="shared" si="22"/>
        <v>0</v>
      </c>
      <c r="AB121" s="366">
        <f t="shared" si="26"/>
        <v>629129.93282585463</v>
      </c>
      <c r="AC121" s="367">
        <f t="shared" si="23"/>
        <v>572.78506589387428</v>
      </c>
      <c r="AD121" s="367">
        <f t="shared" si="24"/>
        <v>0</v>
      </c>
      <c r="AE121" s="368">
        <f t="shared" si="27"/>
        <v>681.61422841371041</v>
      </c>
      <c r="AF121" s="385"/>
    </row>
    <row r="122" spans="2:32" s="1" customFormat="1" ht="13" hidden="1" x14ac:dyDescent="0.3">
      <c r="B122" s="383">
        <v>2026</v>
      </c>
      <c r="C122" s="361" t="s">
        <v>413</v>
      </c>
      <c r="D122" s="361" t="s">
        <v>162</v>
      </c>
      <c r="E122" s="360" t="s">
        <v>88</v>
      </c>
      <c r="F122" s="360" t="s">
        <v>80</v>
      </c>
      <c r="G122" s="362">
        <v>46218</v>
      </c>
      <c r="H122" s="363">
        <v>3864</v>
      </c>
      <c r="I122" s="360" t="s">
        <v>148</v>
      </c>
      <c r="J122" s="364" t="str">
        <f>IFERROR(VLOOKUP(I122,Map!$F$18:$G$56,2,0),"Add in Map")</f>
        <v>3P</v>
      </c>
      <c r="K122" s="364" t="str">
        <f>VLOOKUP(L122,Map!$C$18:$D$29,2,0)</f>
        <v>DLT</v>
      </c>
      <c r="L122" s="360" t="s">
        <v>52</v>
      </c>
      <c r="M122" s="365">
        <v>156247.61266810575</v>
      </c>
      <c r="N122" s="366">
        <f t="shared" si="32"/>
        <v>0</v>
      </c>
      <c r="O122" s="366">
        <f t="shared" si="33"/>
        <v>185934.65907504584</v>
      </c>
      <c r="P122" s="367">
        <f t="shared" si="34"/>
        <v>169.28235391994122</v>
      </c>
      <c r="Q122" s="367">
        <f t="shared" si="35"/>
        <v>0</v>
      </c>
      <c r="R122" s="368">
        <f t="shared" si="25"/>
        <v>201.44600116473003</v>
      </c>
      <c r="S122" s="384">
        <f>INDEX(FX!$D$3:$O$19,MATCH(B122,FX!$B$3:$B$32,0),MATCH(D122,FX!$D$2:$O$2,0))</f>
        <v>923</v>
      </c>
      <c r="T122" s="360" t="s">
        <v>144</v>
      </c>
      <c r="U122" s="360" t="s">
        <v>32</v>
      </c>
      <c r="V122" s="360" t="s">
        <v>83</v>
      </c>
      <c r="W122" s="364" t="str">
        <f>VLOOKUP(I122,Map!$F$18:$H$51,3,0)</f>
        <v>Variable</v>
      </c>
      <c r="X122" s="370" t="s">
        <v>149</v>
      </c>
      <c r="Y122" s="364" t="str">
        <f>VLOOKUP(L122,Map!$C$18:$D$29,2,0)</f>
        <v>DLT</v>
      </c>
      <c r="Z122" s="365">
        <v>119429.27971461981</v>
      </c>
      <c r="AA122" s="366">
        <f t="shared" si="22"/>
        <v>0</v>
      </c>
      <c r="AB122" s="366">
        <f t="shared" si="26"/>
        <v>142120.84286039756</v>
      </c>
      <c r="AC122" s="367">
        <f t="shared" si="23"/>
        <v>129.39250239937141</v>
      </c>
      <c r="AD122" s="367">
        <f t="shared" si="24"/>
        <v>0</v>
      </c>
      <c r="AE122" s="368">
        <f t="shared" si="27"/>
        <v>153.97707785525196</v>
      </c>
      <c r="AF122" s="385"/>
    </row>
    <row r="123" spans="2:32" s="1" customFormat="1" ht="13" hidden="1" x14ac:dyDescent="0.3">
      <c r="B123" s="383">
        <v>2026</v>
      </c>
      <c r="C123" s="361" t="s">
        <v>413</v>
      </c>
      <c r="D123" s="361" t="s">
        <v>162</v>
      </c>
      <c r="E123" s="360" t="s">
        <v>88</v>
      </c>
      <c r="F123" s="360" t="s">
        <v>80</v>
      </c>
      <c r="G123" s="362">
        <v>46218</v>
      </c>
      <c r="H123" s="363">
        <v>3864</v>
      </c>
      <c r="I123" s="360" t="s">
        <v>148</v>
      </c>
      <c r="J123" s="364" t="str">
        <f>IFERROR(VLOOKUP(I123,Map!$F$18:$G$56,2,0),"Add in Map")</f>
        <v>3P</v>
      </c>
      <c r="K123" s="364" t="str">
        <f>VLOOKUP(L123,Map!$C$18:$D$29,2,0)</f>
        <v>DMT</v>
      </c>
      <c r="L123" s="360" t="s">
        <v>54</v>
      </c>
      <c r="M123" s="365">
        <v>0</v>
      </c>
      <c r="N123" s="366">
        <f t="shared" si="32"/>
        <v>0</v>
      </c>
      <c r="O123" s="366">
        <f t="shared" si="33"/>
        <v>0</v>
      </c>
      <c r="P123" s="386">
        <f t="shared" si="34"/>
        <v>0</v>
      </c>
      <c r="Q123" s="367">
        <f t="shared" si="35"/>
        <v>0</v>
      </c>
      <c r="R123" s="368">
        <f t="shared" si="25"/>
        <v>0</v>
      </c>
      <c r="S123" s="384">
        <f>INDEX(FX!$D$3:$O$19,MATCH(B123,FX!$B$3:$B$32,0),MATCH(D123,FX!$D$2:$O$2,0))</f>
        <v>923</v>
      </c>
      <c r="T123" s="360" t="s">
        <v>144</v>
      </c>
      <c r="U123" s="360" t="s">
        <v>32</v>
      </c>
      <c r="V123" s="360" t="s">
        <v>83</v>
      </c>
      <c r="W123" s="364" t="str">
        <f>VLOOKUP(I123,Map!$F$18:$H$51,3,0)</f>
        <v>Variable</v>
      </c>
      <c r="X123" s="370" t="s">
        <v>149</v>
      </c>
      <c r="Y123" s="364" t="str">
        <f>VLOOKUP(L123,Map!$C$18:$D$29,2,0)</f>
        <v>DMT</v>
      </c>
      <c r="Z123" s="365">
        <v>0</v>
      </c>
      <c r="AA123" s="366">
        <f t="shared" si="22"/>
        <v>0</v>
      </c>
      <c r="AB123" s="366">
        <f t="shared" si="26"/>
        <v>0</v>
      </c>
      <c r="AC123" s="386">
        <f t="shared" si="23"/>
        <v>0</v>
      </c>
      <c r="AD123" s="367">
        <f t="shared" si="24"/>
        <v>0</v>
      </c>
      <c r="AE123" s="368">
        <f t="shared" si="27"/>
        <v>0</v>
      </c>
      <c r="AF123" s="385"/>
    </row>
    <row r="124" spans="2:32" s="37" customFormat="1" hidden="1" x14ac:dyDescent="0.35">
      <c r="B124" s="387">
        <v>2026</v>
      </c>
      <c r="C124" s="389" t="s">
        <v>413</v>
      </c>
      <c r="D124" s="389" t="s">
        <v>162</v>
      </c>
      <c r="E124" s="388" t="s">
        <v>88</v>
      </c>
      <c r="F124" s="388" t="s">
        <v>80</v>
      </c>
      <c r="G124" s="390">
        <v>46218</v>
      </c>
      <c r="H124" s="391">
        <v>3864</v>
      </c>
      <c r="I124" s="388" t="s">
        <v>148</v>
      </c>
      <c r="J124" s="392" t="str">
        <f>IFERROR(VLOOKUP(I124,Map!$F$18:$G$56,2,0),"Add in Map")</f>
        <v>3P</v>
      </c>
      <c r="K124" s="392" t="str">
        <f>VLOOKUP(L124,Map!$C$18:$D$29,2,0)</f>
        <v>TOTAL</v>
      </c>
      <c r="L124" s="388" t="s">
        <v>56</v>
      </c>
      <c r="M124" s="393">
        <f>SUM(M113:M123)</f>
        <v>41580653.999999993</v>
      </c>
      <c r="N124" s="393">
        <f t="shared" si="32"/>
        <v>7900324.2599999988</v>
      </c>
      <c r="O124" s="393">
        <f t="shared" si="33"/>
        <v>49480978.25999999</v>
      </c>
      <c r="P124" s="394">
        <f t="shared" si="34"/>
        <v>45049.462621885148</v>
      </c>
      <c r="Q124" s="394">
        <f t="shared" si="35"/>
        <v>8559.3978981581786</v>
      </c>
      <c r="R124" s="395">
        <f t="shared" si="25"/>
        <v>53608.860520043323</v>
      </c>
      <c r="S124" s="396">
        <f>INDEX(FX!$D$3:$O$19,MATCH(B124,FX!$B$3:$B$32,0),MATCH(D124,FX!$D$2:$O$2,0))</f>
        <v>923</v>
      </c>
      <c r="T124" s="388" t="s">
        <v>144</v>
      </c>
      <c r="U124" s="388" t="s">
        <v>32</v>
      </c>
      <c r="V124" s="388" t="s">
        <v>83</v>
      </c>
      <c r="W124" s="392" t="str">
        <f>VLOOKUP(I124,Map!$F$18:$H$51,3,0)</f>
        <v>Variable</v>
      </c>
      <c r="X124" s="397" t="s">
        <v>149</v>
      </c>
      <c r="Y124" s="392" t="str">
        <f>VLOOKUP(L124,Map!$C$18:$D$29,2,0)</f>
        <v>TOTAL</v>
      </c>
      <c r="Z124" s="393">
        <f>SUM(Z113:Z123)</f>
        <v>31782549.96977951</v>
      </c>
      <c r="AA124" s="393">
        <f t="shared" si="22"/>
        <v>6038684.4942581067</v>
      </c>
      <c r="AB124" s="393">
        <f t="shared" si="26"/>
        <v>37821234.464037612</v>
      </c>
      <c r="AC124" s="394">
        <f t="shared" si="23"/>
        <v>34433.965297702613</v>
      </c>
      <c r="AD124" s="394">
        <f t="shared" si="24"/>
        <v>6542.4534065634962</v>
      </c>
      <c r="AE124" s="395">
        <f t="shared" si="27"/>
        <v>40976.418704266107</v>
      </c>
      <c r="AF124" s="398"/>
    </row>
    <row r="125" spans="2:32" s="1" customFormat="1" ht="13" hidden="1" x14ac:dyDescent="0.3">
      <c r="B125" s="383">
        <v>2026</v>
      </c>
      <c r="C125" s="361" t="s">
        <v>408</v>
      </c>
      <c r="D125" s="361" t="s">
        <v>162</v>
      </c>
      <c r="E125" s="360" t="s">
        <v>88</v>
      </c>
      <c r="F125" s="360" t="s">
        <v>80</v>
      </c>
      <c r="G125" s="362">
        <v>46218</v>
      </c>
      <c r="H125" s="363">
        <v>3867</v>
      </c>
      <c r="I125" s="360" t="s">
        <v>148</v>
      </c>
      <c r="J125" s="364" t="str">
        <f>IFERROR(VLOOKUP(I125,Map!$F$18:$G$56,2,0),"Add in Map")</f>
        <v>3P</v>
      </c>
      <c r="K125" s="364" t="str">
        <f>VLOOKUP(L125,Map!$C$18:$D$29,2,0)</f>
        <v>CNT</v>
      </c>
      <c r="L125" s="360" t="s">
        <v>31</v>
      </c>
      <c r="M125" s="365">
        <v>2811915.0640626037</v>
      </c>
      <c r="N125" s="366">
        <f t="shared" si="32"/>
        <v>0</v>
      </c>
      <c r="O125" s="366">
        <f t="shared" si="33"/>
        <v>3346178.9262344982</v>
      </c>
      <c r="P125" s="367">
        <f t="shared" si="34"/>
        <v>3046.495194000654</v>
      </c>
      <c r="Q125" s="367">
        <f t="shared" si="35"/>
        <v>0</v>
      </c>
      <c r="R125" s="368">
        <f t="shared" si="25"/>
        <v>3625.329280860778</v>
      </c>
      <c r="S125" s="384">
        <f>INDEX(FX!$D$3:$O$19,MATCH(B125,FX!$B$3:$B$32,0),MATCH(D125,FX!$D$2:$O$2,0))</f>
        <v>923</v>
      </c>
      <c r="T125" s="360" t="s">
        <v>143</v>
      </c>
      <c r="U125" s="360" t="s">
        <v>155</v>
      </c>
      <c r="V125" s="360" t="s">
        <v>83</v>
      </c>
      <c r="W125" s="364" t="str">
        <f>VLOOKUP(I125,Map!$F$18:$H$51,3,0)</f>
        <v>Variable</v>
      </c>
      <c r="X125" s="370" t="s">
        <v>149</v>
      </c>
      <c r="Y125" s="364" t="str">
        <f>VLOOKUP(L125,Map!$C$18:$D$29,2,0)</f>
        <v>CNT</v>
      </c>
      <c r="Z125" s="365"/>
      <c r="AA125" s="366">
        <f t="shared" si="22"/>
        <v>0</v>
      </c>
      <c r="AB125" s="366">
        <f t="shared" si="26"/>
        <v>0</v>
      </c>
      <c r="AC125" s="367">
        <f t="shared" si="23"/>
        <v>0</v>
      </c>
      <c r="AD125" s="367">
        <f t="shared" si="24"/>
        <v>0</v>
      </c>
      <c r="AE125" s="368">
        <f t="shared" si="27"/>
        <v>0</v>
      </c>
      <c r="AF125" s="385"/>
    </row>
    <row r="126" spans="2:32" s="1" customFormat="1" ht="13" hidden="1" x14ac:dyDescent="0.3">
      <c r="B126" s="383">
        <v>2026</v>
      </c>
      <c r="C126" s="361" t="s">
        <v>408</v>
      </c>
      <c r="D126" s="361" t="s">
        <v>162</v>
      </c>
      <c r="E126" s="360" t="s">
        <v>88</v>
      </c>
      <c r="F126" s="360" t="s">
        <v>80</v>
      </c>
      <c r="G126" s="362">
        <v>46218</v>
      </c>
      <c r="H126" s="363">
        <v>3867</v>
      </c>
      <c r="I126" s="360" t="s">
        <v>148</v>
      </c>
      <c r="J126" s="364" t="str">
        <f>IFERROR(VLOOKUP(I126,Map!$F$18:$G$56,2,0),"Add in Map")</f>
        <v>3P</v>
      </c>
      <c r="K126" s="364" t="str">
        <f>VLOOKUP(L126,Map!$C$18:$D$29,2,0)</f>
        <v>CVT</v>
      </c>
      <c r="L126" s="360" t="s">
        <v>36</v>
      </c>
      <c r="M126" s="365">
        <v>68348.746927969099</v>
      </c>
      <c r="N126" s="366">
        <f t="shared" si="32"/>
        <v>0</v>
      </c>
      <c r="O126" s="366">
        <f t="shared" si="33"/>
        <v>81335.00884428322</v>
      </c>
      <c r="P126" s="367">
        <f t="shared" si="34"/>
        <v>74.050646725860346</v>
      </c>
      <c r="Q126" s="367">
        <f t="shared" si="35"/>
        <v>0</v>
      </c>
      <c r="R126" s="368">
        <f t="shared" si="25"/>
        <v>88.120269603773806</v>
      </c>
      <c r="S126" s="384">
        <f>INDEX(FX!$D$3:$O$19,MATCH(B126,FX!$B$3:$B$32,0),MATCH(D126,FX!$D$2:$O$2,0))</f>
        <v>923</v>
      </c>
      <c r="T126" s="360" t="s">
        <v>143</v>
      </c>
      <c r="U126" s="360" t="s">
        <v>155</v>
      </c>
      <c r="V126" s="360" t="s">
        <v>83</v>
      </c>
      <c r="W126" s="364" t="str">
        <f>VLOOKUP(I126,Map!$F$18:$H$51,3,0)</f>
        <v>Variable</v>
      </c>
      <c r="X126" s="370" t="s">
        <v>149</v>
      </c>
      <c r="Y126" s="364" t="str">
        <f>VLOOKUP(L126,Map!$C$18:$D$29,2,0)</f>
        <v>CVT</v>
      </c>
      <c r="Z126" s="365"/>
      <c r="AA126" s="366">
        <f t="shared" si="22"/>
        <v>0</v>
      </c>
      <c r="AB126" s="366">
        <f t="shared" si="26"/>
        <v>0</v>
      </c>
      <c r="AC126" s="367">
        <f t="shared" si="23"/>
        <v>0</v>
      </c>
      <c r="AD126" s="367">
        <f t="shared" si="24"/>
        <v>0</v>
      </c>
      <c r="AE126" s="368">
        <f t="shared" si="27"/>
        <v>0</v>
      </c>
      <c r="AF126" s="385"/>
    </row>
    <row r="127" spans="2:32" s="1" customFormat="1" ht="13" hidden="1" x14ac:dyDescent="0.3">
      <c r="B127" s="383">
        <v>2026</v>
      </c>
      <c r="C127" s="361" t="s">
        <v>408</v>
      </c>
      <c r="D127" s="361" t="s">
        <v>162</v>
      </c>
      <c r="E127" s="360" t="s">
        <v>88</v>
      </c>
      <c r="F127" s="360" t="s">
        <v>80</v>
      </c>
      <c r="G127" s="362">
        <v>46218</v>
      </c>
      <c r="H127" s="363">
        <v>3867</v>
      </c>
      <c r="I127" s="360" t="s">
        <v>148</v>
      </c>
      <c r="J127" s="364" t="str">
        <f>IFERROR(VLOOKUP(I127,Map!$F$18:$G$56,2,0),"Add in Map")</f>
        <v>3P</v>
      </c>
      <c r="K127" s="364" t="str">
        <f>VLOOKUP(L127,Map!$C$18:$D$29,2,0)</f>
        <v>CDT</v>
      </c>
      <c r="L127" s="360" t="s">
        <v>38</v>
      </c>
      <c r="M127" s="365">
        <v>70366.62115425276</v>
      </c>
      <c r="N127" s="366">
        <f t="shared" si="32"/>
        <v>0</v>
      </c>
      <c r="O127" s="366">
        <f t="shared" si="33"/>
        <v>83736.279173560775</v>
      </c>
      <c r="P127" s="367">
        <f t="shared" si="34"/>
        <v>76.236859322050663</v>
      </c>
      <c r="Q127" s="367">
        <f t="shared" si="35"/>
        <v>0</v>
      </c>
      <c r="R127" s="368">
        <f t="shared" si="25"/>
        <v>90.721862593240289</v>
      </c>
      <c r="S127" s="384">
        <f>INDEX(FX!$D$3:$O$19,MATCH(B127,FX!$B$3:$B$32,0),MATCH(D127,FX!$D$2:$O$2,0))</f>
        <v>923</v>
      </c>
      <c r="T127" s="360" t="s">
        <v>143</v>
      </c>
      <c r="U127" s="360" t="s">
        <v>155</v>
      </c>
      <c r="V127" s="360" t="s">
        <v>83</v>
      </c>
      <c r="W127" s="364" t="str">
        <f>VLOOKUP(I127,Map!$F$18:$H$51,3,0)</f>
        <v>Variable</v>
      </c>
      <c r="X127" s="370" t="s">
        <v>149</v>
      </c>
      <c r="Y127" s="364" t="str">
        <f>VLOOKUP(L127,Map!$C$18:$D$29,2,0)</f>
        <v>CDT</v>
      </c>
      <c r="Z127" s="365"/>
      <c r="AA127" s="366">
        <f t="shared" si="22"/>
        <v>0</v>
      </c>
      <c r="AB127" s="366">
        <f t="shared" si="26"/>
        <v>0</v>
      </c>
      <c r="AC127" s="367">
        <f t="shared" si="23"/>
        <v>0</v>
      </c>
      <c r="AD127" s="367">
        <f t="shared" si="24"/>
        <v>0</v>
      </c>
      <c r="AE127" s="368">
        <f t="shared" si="27"/>
        <v>0</v>
      </c>
      <c r="AF127" s="385"/>
    </row>
    <row r="128" spans="2:32" s="1" customFormat="1" ht="13" hidden="1" x14ac:dyDescent="0.3">
      <c r="B128" s="383">
        <v>2026</v>
      </c>
      <c r="C128" s="361" t="s">
        <v>408</v>
      </c>
      <c r="D128" s="361" t="s">
        <v>162</v>
      </c>
      <c r="E128" s="360" t="s">
        <v>88</v>
      </c>
      <c r="F128" s="360" t="s">
        <v>80</v>
      </c>
      <c r="G128" s="362">
        <v>46218</v>
      </c>
      <c r="H128" s="363">
        <v>3867</v>
      </c>
      <c r="I128" s="360" t="s">
        <v>148</v>
      </c>
      <c r="J128" s="364" t="str">
        <f>IFERROR(VLOOKUP(I128,Map!$F$18:$G$56,2,0),"Add in Map")</f>
        <v>3P</v>
      </c>
      <c r="K128" s="364" t="str">
        <f>VLOOKUP(L128,Map!$C$18:$D$29,2,0)</f>
        <v>DFT</v>
      </c>
      <c r="L128" s="360" t="s">
        <v>40</v>
      </c>
      <c r="M128" s="365">
        <v>5864487.2293116683</v>
      </c>
      <c r="N128" s="366">
        <f t="shared" si="32"/>
        <v>0</v>
      </c>
      <c r="O128" s="366">
        <f t="shared" si="33"/>
        <v>6978739.8028808851</v>
      </c>
      <c r="P128" s="367">
        <f t="shared" si="34"/>
        <v>6353.7239754189259</v>
      </c>
      <c r="Q128" s="367">
        <f t="shared" si="35"/>
        <v>0</v>
      </c>
      <c r="R128" s="368">
        <f t="shared" si="25"/>
        <v>7560.9315307485213</v>
      </c>
      <c r="S128" s="384">
        <f>INDEX(FX!$D$3:$O$19,MATCH(B128,FX!$B$3:$B$32,0),MATCH(D128,FX!$D$2:$O$2,0))</f>
        <v>923</v>
      </c>
      <c r="T128" s="360" t="s">
        <v>143</v>
      </c>
      <c r="U128" s="360" t="s">
        <v>155</v>
      </c>
      <c r="V128" s="360" t="s">
        <v>83</v>
      </c>
      <c r="W128" s="364" t="str">
        <f>VLOOKUP(I128,Map!$F$18:$H$51,3,0)</f>
        <v>Variable</v>
      </c>
      <c r="X128" s="370" t="s">
        <v>149</v>
      </c>
      <c r="Y128" s="364" t="str">
        <f>VLOOKUP(L128,Map!$C$18:$D$29,2,0)</f>
        <v>DFT</v>
      </c>
      <c r="Z128" s="365"/>
      <c r="AA128" s="366">
        <f t="shared" si="22"/>
        <v>0</v>
      </c>
      <c r="AB128" s="366">
        <f t="shared" si="26"/>
        <v>0</v>
      </c>
      <c r="AC128" s="367">
        <f t="shared" si="23"/>
        <v>0</v>
      </c>
      <c r="AD128" s="367">
        <f t="shared" si="24"/>
        <v>0</v>
      </c>
      <c r="AE128" s="368">
        <f t="shared" si="27"/>
        <v>0</v>
      </c>
      <c r="AF128" s="385"/>
    </row>
    <row r="129" spans="2:32" s="1" customFormat="1" ht="13" hidden="1" x14ac:dyDescent="0.3">
      <c r="B129" s="383">
        <v>2026</v>
      </c>
      <c r="C129" s="361" t="s">
        <v>408</v>
      </c>
      <c r="D129" s="361" t="s">
        <v>162</v>
      </c>
      <c r="E129" s="360" t="s">
        <v>88</v>
      </c>
      <c r="F129" s="360" t="s">
        <v>80</v>
      </c>
      <c r="G129" s="362">
        <v>46218</v>
      </c>
      <c r="H129" s="363">
        <v>3867</v>
      </c>
      <c r="I129" s="360" t="s">
        <v>148</v>
      </c>
      <c r="J129" s="364" t="str">
        <f>IFERROR(VLOOKUP(I129,Map!$F$18:$G$56,2,0),"Add in Map")</f>
        <v>3P</v>
      </c>
      <c r="K129" s="364" t="str">
        <f>VLOOKUP(L129,Map!$C$18:$D$29,2,0)</f>
        <v>DVT</v>
      </c>
      <c r="L129" s="360" t="s">
        <v>42</v>
      </c>
      <c r="M129" s="365">
        <v>0</v>
      </c>
      <c r="N129" s="366">
        <f t="shared" si="32"/>
        <v>0</v>
      </c>
      <c r="O129" s="366">
        <f t="shared" si="33"/>
        <v>0</v>
      </c>
      <c r="P129" s="367">
        <f t="shared" si="34"/>
        <v>0</v>
      </c>
      <c r="Q129" s="367">
        <f t="shared" si="35"/>
        <v>0</v>
      </c>
      <c r="R129" s="368">
        <f t="shared" si="25"/>
        <v>0</v>
      </c>
      <c r="S129" s="384">
        <f>INDEX(FX!$D$3:$O$19,MATCH(B129,FX!$B$3:$B$32,0),MATCH(D129,FX!$D$2:$O$2,0))</f>
        <v>923</v>
      </c>
      <c r="T129" s="360" t="s">
        <v>143</v>
      </c>
      <c r="U129" s="360" t="s">
        <v>155</v>
      </c>
      <c r="V129" s="360" t="s">
        <v>83</v>
      </c>
      <c r="W129" s="364" t="str">
        <f>VLOOKUP(I129,Map!$F$18:$H$51,3,0)</f>
        <v>Variable</v>
      </c>
      <c r="X129" s="370" t="s">
        <v>149</v>
      </c>
      <c r="Y129" s="364" t="str">
        <f>VLOOKUP(L129,Map!$C$18:$D$29,2,0)</f>
        <v>DVT</v>
      </c>
      <c r="Z129" s="365"/>
      <c r="AA129" s="366">
        <f t="shared" si="22"/>
        <v>0</v>
      </c>
      <c r="AB129" s="366">
        <f t="shared" si="26"/>
        <v>0</v>
      </c>
      <c r="AC129" s="367">
        <f t="shared" si="23"/>
        <v>0</v>
      </c>
      <c r="AD129" s="367">
        <f t="shared" si="24"/>
        <v>0</v>
      </c>
      <c r="AE129" s="368">
        <f t="shared" si="27"/>
        <v>0</v>
      </c>
      <c r="AF129" s="385"/>
    </row>
    <row r="130" spans="2:32" s="1" customFormat="1" ht="13" hidden="1" x14ac:dyDescent="0.3">
      <c r="B130" s="383">
        <v>2026</v>
      </c>
      <c r="C130" s="361" t="s">
        <v>408</v>
      </c>
      <c r="D130" s="361" t="s">
        <v>162</v>
      </c>
      <c r="E130" s="360" t="s">
        <v>88</v>
      </c>
      <c r="F130" s="360" t="s">
        <v>80</v>
      </c>
      <c r="G130" s="362">
        <v>46218</v>
      </c>
      <c r="H130" s="363">
        <v>3867</v>
      </c>
      <c r="I130" s="360" t="s">
        <v>148</v>
      </c>
      <c r="J130" s="364" t="str">
        <f>IFERROR(VLOOKUP(I130,Map!$F$18:$G$56,2,0),"Add in Map")</f>
        <v>3P</v>
      </c>
      <c r="K130" s="364" t="str">
        <f>VLOOKUP(L130,Map!$C$18:$D$29,2,0)</f>
        <v>GLT</v>
      </c>
      <c r="L130" s="360" t="s">
        <v>44</v>
      </c>
      <c r="M130" s="365">
        <v>3810855.6566493828</v>
      </c>
      <c r="N130" s="366">
        <f t="shared" si="32"/>
        <v>0</v>
      </c>
      <c r="O130" s="366">
        <f t="shared" si="33"/>
        <v>4534918.2314127656</v>
      </c>
      <c r="P130" s="367">
        <f t="shared" si="34"/>
        <v>4128.7710256222999</v>
      </c>
      <c r="Q130" s="367">
        <f t="shared" si="35"/>
        <v>0</v>
      </c>
      <c r="R130" s="368">
        <f t="shared" si="25"/>
        <v>4913.2375204905366</v>
      </c>
      <c r="S130" s="384">
        <f>INDEX(FX!$D$3:$O$19,MATCH(B130,FX!$B$3:$B$32,0),MATCH(D130,FX!$D$2:$O$2,0))</f>
        <v>923</v>
      </c>
      <c r="T130" s="360" t="s">
        <v>143</v>
      </c>
      <c r="U130" s="360" t="s">
        <v>155</v>
      </c>
      <c r="V130" s="360" t="s">
        <v>83</v>
      </c>
      <c r="W130" s="364" t="str">
        <f>VLOOKUP(I130,Map!$F$18:$H$51,3,0)</f>
        <v>Variable</v>
      </c>
      <c r="X130" s="370" t="s">
        <v>149</v>
      </c>
      <c r="Y130" s="364" t="str">
        <f>VLOOKUP(L130,Map!$C$18:$D$29,2,0)</f>
        <v>GLT</v>
      </c>
      <c r="Z130" s="365"/>
      <c r="AA130" s="366">
        <f t="shared" si="22"/>
        <v>0</v>
      </c>
      <c r="AB130" s="366">
        <f t="shared" si="26"/>
        <v>0</v>
      </c>
      <c r="AC130" s="367">
        <f t="shared" si="23"/>
        <v>0</v>
      </c>
      <c r="AD130" s="367">
        <f t="shared" si="24"/>
        <v>0</v>
      </c>
      <c r="AE130" s="368">
        <f t="shared" si="27"/>
        <v>0</v>
      </c>
      <c r="AF130" s="385"/>
    </row>
    <row r="131" spans="2:32" s="1" customFormat="1" ht="13" hidden="1" x14ac:dyDescent="0.3">
      <c r="B131" s="383">
        <v>2026</v>
      </c>
      <c r="C131" s="361" t="s">
        <v>408</v>
      </c>
      <c r="D131" s="361" t="s">
        <v>162</v>
      </c>
      <c r="E131" s="360" t="s">
        <v>88</v>
      </c>
      <c r="F131" s="360" t="s">
        <v>80</v>
      </c>
      <c r="G131" s="362">
        <v>46218</v>
      </c>
      <c r="H131" s="363">
        <v>3867</v>
      </c>
      <c r="I131" s="360" t="s">
        <v>148</v>
      </c>
      <c r="J131" s="364" t="str">
        <f>IFERROR(VLOOKUP(I131,Map!$F$18:$G$56,2,0),"Add in Map")</f>
        <v>3P</v>
      </c>
      <c r="K131" s="364" t="str">
        <f>VLOOKUP(L131,Map!$C$18:$D$29,2,0)</f>
        <v>PNT</v>
      </c>
      <c r="L131" s="360" t="s">
        <v>46</v>
      </c>
      <c r="M131" s="365">
        <v>413498.32944838726</v>
      </c>
      <c r="N131" s="366">
        <f t="shared" si="32"/>
        <v>0</v>
      </c>
      <c r="O131" s="366">
        <f t="shared" si="33"/>
        <v>492063.01204358082</v>
      </c>
      <c r="P131" s="367">
        <f t="shared" si="34"/>
        <v>447.99385639045209</v>
      </c>
      <c r="Q131" s="367">
        <f t="shared" si="35"/>
        <v>0</v>
      </c>
      <c r="R131" s="368">
        <f t="shared" si="25"/>
        <v>533.11268910463798</v>
      </c>
      <c r="S131" s="384">
        <f>INDEX(FX!$D$3:$O$19,MATCH(B131,FX!$B$3:$B$32,0),MATCH(D131,FX!$D$2:$O$2,0))</f>
        <v>923</v>
      </c>
      <c r="T131" s="360" t="s">
        <v>143</v>
      </c>
      <c r="U131" s="360" t="s">
        <v>155</v>
      </c>
      <c r="V131" s="360" t="s">
        <v>83</v>
      </c>
      <c r="W131" s="364" t="str">
        <f>VLOOKUP(I131,Map!$F$18:$H$51,3,0)</f>
        <v>Variable</v>
      </c>
      <c r="X131" s="370" t="s">
        <v>149</v>
      </c>
      <c r="Y131" s="364" t="str">
        <f>VLOOKUP(L131,Map!$C$18:$D$29,2,0)</f>
        <v>PNT</v>
      </c>
      <c r="Z131" s="365"/>
      <c r="AA131" s="366">
        <f t="shared" si="22"/>
        <v>0</v>
      </c>
      <c r="AB131" s="366">
        <f t="shared" si="26"/>
        <v>0</v>
      </c>
      <c r="AC131" s="367">
        <f t="shared" si="23"/>
        <v>0</v>
      </c>
      <c r="AD131" s="367">
        <f t="shared" si="24"/>
        <v>0</v>
      </c>
      <c r="AE131" s="368">
        <f t="shared" si="27"/>
        <v>0</v>
      </c>
      <c r="AF131" s="385"/>
    </row>
    <row r="132" spans="2:32" s="1" customFormat="1" ht="13" hidden="1" x14ac:dyDescent="0.3">
      <c r="B132" s="383">
        <v>2026</v>
      </c>
      <c r="C132" s="361" t="s">
        <v>408</v>
      </c>
      <c r="D132" s="361" t="s">
        <v>162</v>
      </c>
      <c r="E132" s="360" t="s">
        <v>88</v>
      </c>
      <c r="F132" s="360" t="s">
        <v>80</v>
      </c>
      <c r="G132" s="362">
        <v>46218</v>
      </c>
      <c r="H132" s="363">
        <v>3867</v>
      </c>
      <c r="I132" s="360" t="s">
        <v>148</v>
      </c>
      <c r="J132" s="364" t="str">
        <f>IFERROR(VLOOKUP(I132,Map!$F$18:$G$56,2,0),"Add in Map")</f>
        <v>3P</v>
      </c>
      <c r="K132" s="364" t="str">
        <f>VLOOKUP(L132,Map!$C$18:$D$29,2,0)</f>
        <v>GTT</v>
      </c>
      <c r="L132" s="360" t="s">
        <v>48</v>
      </c>
      <c r="M132" s="365">
        <v>253358.16393363191</v>
      </c>
      <c r="N132" s="366">
        <f t="shared" si="32"/>
        <v>0</v>
      </c>
      <c r="O132" s="366">
        <f t="shared" si="33"/>
        <v>301496.21508102195</v>
      </c>
      <c r="P132" s="367">
        <f t="shared" si="34"/>
        <v>274.4942187796662</v>
      </c>
      <c r="Q132" s="367">
        <f t="shared" si="35"/>
        <v>0</v>
      </c>
      <c r="R132" s="368">
        <f t="shared" si="25"/>
        <v>326.64812034780277</v>
      </c>
      <c r="S132" s="384">
        <f>INDEX(FX!$D$3:$O$19,MATCH(B132,FX!$B$3:$B$32,0),MATCH(D132,FX!$D$2:$O$2,0))</f>
        <v>923</v>
      </c>
      <c r="T132" s="360" t="s">
        <v>143</v>
      </c>
      <c r="U132" s="360" t="s">
        <v>155</v>
      </c>
      <c r="V132" s="360" t="s">
        <v>83</v>
      </c>
      <c r="W132" s="364" t="str">
        <f>VLOOKUP(I132,Map!$F$18:$H$51,3,0)</f>
        <v>Variable</v>
      </c>
      <c r="X132" s="370" t="s">
        <v>149</v>
      </c>
      <c r="Y132" s="364" t="str">
        <f>VLOOKUP(L132,Map!$C$18:$D$29,2,0)</f>
        <v>GTT</v>
      </c>
      <c r="Z132" s="365"/>
      <c r="AA132" s="366">
        <f t="shared" si="22"/>
        <v>0</v>
      </c>
      <c r="AB132" s="366">
        <f t="shared" si="26"/>
        <v>0</v>
      </c>
      <c r="AC132" s="367">
        <f t="shared" si="23"/>
        <v>0</v>
      </c>
      <c r="AD132" s="367">
        <f t="shared" si="24"/>
        <v>0</v>
      </c>
      <c r="AE132" s="368">
        <f t="shared" si="27"/>
        <v>0</v>
      </c>
      <c r="AF132" s="385"/>
    </row>
    <row r="133" spans="2:32" s="1" customFormat="1" ht="13" hidden="1" x14ac:dyDescent="0.3">
      <c r="B133" s="383">
        <v>2026</v>
      </c>
      <c r="C133" s="361" t="s">
        <v>408</v>
      </c>
      <c r="D133" s="361" t="s">
        <v>162</v>
      </c>
      <c r="E133" s="360" t="s">
        <v>88</v>
      </c>
      <c r="F133" s="360" t="s">
        <v>80</v>
      </c>
      <c r="G133" s="362">
        <v>46218</v>
      </c>
      <c r="H133" s="363">
        <v>3867</v>
      </c>
      <c r="I133" s="360" t="s">
        <v>148</v>
      </c>
      <c r="J133" s="364" t="str">
        <f>IFERROR(VLOOKUP(I133,Map!$F$18:$G$56,2,0),"Add in Map")</f>
        <v>3P</v>
      </c>
      <c r="K133" s="364" t="str">
        <f>VLOOKUP(L133,Map!$C$18:$D$29,2,0)</f>
        <v>DGT</v>
      </c>
      <c r="L133" s="360" t="s">
        <v>50</v>
      </c>
      <c r="M133" s="365">
        <v>225719.85987125357</v>
      </c>
      <c r="N133" s="366">
        <f t="shared" si="32"/>
        <v>0</v>
      </c>
      <c r="O133" s="366">
        <f t="shared" si="33"/>
        <v>268606.63324679172</v>
      </c>
      <c r="P133" s="367">
        <f t="shared" si="34"/>
        <v>244.550227379473</v>
      </c>
      <c r="Q133" s="367">
        <f t="shared" si="35"/>
        <v>0</v>
      </c>
      <c r="R133" s="368">
        <f t="shared" si="25"/>
        <v>291.01477058157286</v>
      </c>
      <c r="S133" s="384">
        <f>INDEX(FX!$D$3:$O$19,MATCH(B133,FX!$B$3:$B$32,0),MATCH(D133,FX!$D$2:$O$2,0))</f>
        <v>923</v>
      </c>
      <c r="T133" s="360" t="s">
        <v>143</v>
      </c>
      <c r="U133" s="360" t="s">
        <v>155</v>
      </c>
      <c r="V133" s="360" t="s">
        <v>83</v>
      </c>
      <c r="W133" s="364" t="str">
        <f>VLOOKUP(I133,Map!$F$18:$H$51,3,0)</f>
        <v>Variable</v>
      </c>
      <c r="X133" s="370" t="s">
        <v>149</v>
      </c>
      <c r="Y133" s="364" t="str">
        <f>VLOOKUP(L133,Map!$C$18:$D$29,2,0)</f>
        <v>DGT</v>
      </c>
      <c r="Z133" s="365"/>
      <c r="AA133" s="366">
        <f t="shared" ref="AA133:AA144" si="36">IF(Y133="TOTAL",(Z133*0.19),0)</f>
        <v>0</v>
      </c>
      <c r="AB133" s="366">
        <f t="shared" si="26"/>
        <v>0</v>
      </c>
      <c r="AC133" s="367">
        <f t="shared" ref="AC133:AC144" si="37">Z133/S133</f>
        <v>0</v>
      </c>
      <c r="AD133" s="367">
        <f t="shared" ref="AD133:AD144" si="38">IF(Y133="TOTAL",(AC133*0.19),0)</f>
        <v>0</v>
      </c>
      <c r="AE133" s="368">
        <f t="shared" si="27"/>
        <v>0</v>
      </c>
      <c r="AF133" s="385"/>
    </row>
    <row r="134" spans="2:32" s="1" customFormat="1" ht="13" hidden="1" x14ac:dyDescent="0.3">
      <c r="B134" s="383">
        <v>2026</v>
      </c>
      <c r="C134" s="361" t="s">
        <v>408</v>
      </c>
      <c r="D134" s="361" t="s">
        <v>162</v>
      </c>
      <c r="E134" s="360" t="s">
        <v>88</v>
      </c>
      <c r="F134" s="360" t="s">
        <v>80</v>
      </c>
      <c r="G134" s="362">
        <v>46218</v>
      </c>
      <c r="H134" s="363">
        <v>3867</v>
      </c>
      <c r="I134" s="360" t="s">
        <v>148</v>
      </c>
      <c r="J134" s="364" t="str">
        <f>IFERROR(VLOOKUP(I134,Map!$F$18:$G$56,2,0),"Add in Map")</f>
        <v>3P</v>
      </c>
      <c r="K134" s="364" t="str">
        <f>VLOOKUP(L134,Map!$C$18:$D$29,2,0)</f>
        <v>DLT</v>
      </c>
      <c r="L134" s="360" t="s">
        <v>52</v>
      </c>
      <c r="M134" s="365">
        <v>50990.256640853717</v>
      </c>
      <c r="N134" s="366">
        <f t="shared" si="32"/>
        <v>0</v>
      </c>
      <c r="O134" s="366">
        <f t="shared" si="33"/>
        <v>60678.405402615921</v>
      </c>
      <c r="P134" s="367">
        <f t="shared" si="34"/>
        <v>55.244048364955276</v>
      </c>
      <c r="Q134" s="367">
        <f t="shared" si="35"/>
        <v>0</v>
      </c>
      <c r="R134" s="368">
        <f t="shared" ref="R134:R145" si="39">P134*1.19</f>
        <v>65.740417554296769</v>
      </c>
      <c r="S134" s="384">
        <f>INDEX(FX!$D$3:$O$19,MATCH(B134,FX!$B$3:$B$32,0),MATCH(D134,FX!$D$2:$O$2,0))</f>
        <v>923</v>
      </c>
      <c r="T134" s="360" t="s">
        <v>143</v>
      </c>
      <c r="U134" s="360" t="s">
        <v>155</v>
      </c>
      <c r="V134" s="360" t="s">
        <v>83</v>
      </c>
      <c r="W134" s="364" t="str">
        <f>VLOOKUP(I134,Map!$F$18:$H$51,3,0)</f>
        <v>Variable</v>
      </c>
      <c r="X134" s="370" t="s">
        <v>149</v>
      </c>
      <c r="Y134" s="364" t="str">
        <f>VLOOKUP(L134,Map!$C$18:$D$29,2,0)</f>
        <v>DLT</v>
      </c>
      <c r="Z134" s="365"/>
      <c r="AA134" s="366">
        <f t="shared" si="36"/>
        <v>0</v>
      </c>
      <c r="AB134" s="366">
        <f t="shared" ref="AB134:AB145" si="40">Z134*1.19</f>
        <v>0</v>
      </c>
      <c r="AC134" s="367">
        <f t="shared" si="37"/>
        <v>0</v>
      </c>
      <c r="AD134" s="367">
        <f t="shared" si="38"/>
        <v>0</v>
      </c>
      <c r="AE134" s="368">
        <f t="shared" ref="AE134:AE145" si="41">AC134*1.19</f>
        <v>0</v>
      </c>
      <c r="AF134" s="385"/>
    </row>
    <row r="135" spans="2:32" s="1" customFormat="1" ht="13" hidden="1" x14ac:dyDescent="0.3">
      <c r="B135" s="383">
        <v>2026</v>
      </c>
      <c r="C135" s="361" t="s">
        <v>408</v>
      </c>
      <c r="D135" s="361" t="s">
        <v>162</v>
      </c>
      <c r="E135" s="360" t="s">
        <v>88</v>
      </c>
      <c r="F135" s="360" t="s">
        <v>80</v>
      </c>
      <c r="G135" s="362">
        <v>46218</v>
      </c>
      <c r="H135" s="363">
        <v>3867</v>
      </c>
      <c r="I135" s="360" t="s">
        <v>148</v>
      </c>
      <c r="J135" s="364" t="str">
        <f>IFERROR(VLOOKUP(I135,Map!$F$18:$G$56,2,0),"Add in Map")</f>
        <v>3P</v>
      </c>
      <c r="K135" s="364" t="str">
        <f>VLOOKUP(L135,Map!$C$18:$D$29,2,0)</f>
        <v>DMT</v>
      </c>
      <c r="L135" s="360" t="s">
        <v>54</v>
      </c>
      <c r="M135" s="365">
        <v>0</v>
      </c>
      <c r="N135" s="366">
        <f t="shared" si="32"/>
        <v>0</v>
      </c>
      <c r="O135" s="366">
        <f t="shared" si="33"/>
        <v>0</v>
      </c>
      <c r="P135" s="386">
        <f t="shared" si="34"/>
        <v>0</v>
      </c>
      <c r="Q135" s="367">
        <f t="shared" si="35"/>
        <v>0</v>
      </c>
      <c r="R135" s="368">
        <f t="shared" si="39"/>
        <v>0</v>
      </c>
      <c r="S135" s="384">
        <f>INDEX(FX!$D$3:$O$19,MATCH(B135,FX!$B$3:$B$32,0),MATCH(D135,FX!$D$2:$O$2,0))</f>
        <v>923</v>
      </c>
      <c r="T135" s="360" t="s">
        <v>143</v>
      </c>
      <c r="U135" s="360" t="s">
        <v>155</v>
      </c>
      <c r="V135" s="360" t="s">
        <v>83</v>
      </c>
      <c r="W135" s="364" t="str">
        <f>VLOOKUP(I135,Map!$F$18:$H$51,3,0)</f>
        <v>Variable</v>
      </c>
      <c r="X135" s="370" t="s">
        <v>149</v>
      </c>
      <c r="Y135" s="364" t="str">
        <f>VLOOKUP(L135,Map!$C$18:$D$29,2,0)</f>
        <v>DMT</v>
      </c>
      <c r="Z135" s="365"/>
      <c r="AA135" s="366">
        <f t="shared" si="36"/>
        <v>0</v>
      </c>
      <c r="AB135" s="366">
        <f t="shared" si="40"/>
        <v>0</v>
      </c>
      <c r="AC135" s="386">
        <f t="shared" si="37"/>
        <v>0</v>
      </c>
      <c r="AD135" s="367">
        <f t="shared" si="38"/>
        <v>0</v>
      </c>
      <c r="AE135" s="368">
        <f t="shared" si="41"/>
        <v>0</v>
      </c>
      <c r="AF135" s="385"/>
    </row>
    <row r="136" spans="2:32" s="37" customFormat="1" hidden="1" x14ac:dyDescent="0.35">
      <c r="B136" s="387">
        <v>2026</v>
      </c>
      <c r="C136" s="389" t="s">
        <v>408</v>
      </c>
      <c r="D136" s="389" t="s">
        <v>162</v>
      </c>
      <c r="E136" s="388" t="s">
        <v>88</v>
      </c>
      <c r="F136" s="388" t="s">
        <v>80</v>
      </c>
      <c r="G136" s="390">
        <v>46218</v>
      </c>
      <c r="H136" s="391">
        <v>3867</v>
      </c>
      <c r="I136" s="388" t="s">
        <v>148</v>
      </c>
      <c r="J136" s="392" t="str">
        <f>IFERROR(VLOOKUP(I136,Map!$F$18:$G$56,2,0),"Add in Map")</f>
        <v>3P</v>
      </c>
      <c r="K136" s="392" t="str">
        <f>VLOOKUP(L136,Map!$C$18:$D$29,2,0)</f>
        <v>TOTAL</v>
      </c>
      <c r="L136" s="388" t="s">
        <v>56</v>
      </c>
      <c r="M136" s="393">
        <f>SUM(M125:M135)</f>
        <v>13569539.928000001</v>
      </c>
      <c r="N136" s="393">
        <f t="shared" si="32"/>
        <v>2578212.5863200002</v>
      </c>
      <c r="O136" s="393">
        <f t="shared" si="33"/>
        <v>16147752.514320001</v>
      </c>
      <c r="P136" s="394">
        <f t="shared" si="34"/>
        <v>14701.560052004335</v>
      </c>
      <c r="Q136" s="394">
        <f t="shared" si="35"/>
        <v>2793.2964098808238</v>
      </c>
      <c r="R136" s="395">
        <f t="shared" si="39"/>
        <v>17494.85646188516</v>
      </c>
      <c r="S136" s="396">
        <f>INDEX(FX!$D$3:$O$19,MATCH(B136,FX!$B$3:$B$32,0),MATCH(D136,FX!$D$2:$O$2,0))</f>
        <v>923</v>
      </c>
      <c r="T136" s="388" t="s">
        <v>143</v>
      </c>
      <c r="U136" s="388" t="s">
        <v>155</v>
      </c>
      <c r="V136" s="388" t="s">
        <v>83</v>
      </c>
      <c r="W136" s="392" t="str">
        <f>VLOOKUP(I136,Map!$F$18:$H$51,3,0)</f>
        <v>Variable</v>
      </c>
      <c r="X136" s="397" t="s">
        <v>149</v>
      </c>
      <c r="Y136" s="392" t="str">
        <f>VLOOKUP(L136,Map!$C$18:$D$29,2,0)</f>
        <v>TOTAL</v>
      </c>
      <c r="Z136" s="413">
        <f>SUM(Z125:Z135)</f>
        <v>0</v>
      </c>
      <c r="AA136" s="393">
        <f t="shared" si="36"/>
        <v>0</v>
      </c>
      <c r="AB136" s="393">
        <f t="shared" si="40"/>
        <v>0</v>
      </c>
      <c r="AC136" s="394">
        <f t="shared" si="37"/>
        <v>0</v>
      </c>
      <c r="AD136" s="394">
        <f t="shared" si="38"/>
        <v>0</v>
      </c>
      <c r="AE136" s="395">
        <f t="shared" si="41"/>
        <v>0</v>
      </c>
      <c r="AF136" s="398"/>
    </row>
    <row r="137" spans="2:32" s="1" customFormat="1" ht="13" hidden="1" x14ac:dyDescent="0.3">
      <c r="B137" s="383">
        <v>2026</v>
      </c>
      <c r="C137" s="361" t="s">
        <v>408</v>
      </c>
      <c r="D137" s="361" t="s">
        <v>162</v>
      </c>
      <c r="E137" s="360" t="s">
        <v>88</v>
      </c>
      <c r="F137" s="360" t="s">
        <v>80</v>
      </c>
      <c r="G137" s="362">
        <v>46218</v>
      </c>
      <c r="H137" s="363">
        <v>3867</v>
      </c>
      <c r="I137" s="360" t="s">
        <v>148</v>
      </c>
      <c r="J137" s="364" t="str">
        <f>IFERROR(VLOOKUP(I137,Map!$F$18:$G$56,2,0),"Add in Map")</f>
        <v>3P</v>
      </c>
      <c r="K137" s="364" t="str">
        <f>VLOOKUP(L137,Map!$C$18:$D$29,2,0)</f>
        <v>CNT</v>
      </c>
      <c r="L137" s="360" t="s">
        <v>31</v>
      </c>
      <c r="M137" s="365"/>
      <c r="N137" s="366">
        <f t="shared" si="32"/>
        <v>0</v>
      </c>
      <c r="O137" s="366">
        <f t="shared" si="33"/>
        <v>0</v>
      </c>
      <c r="P137" s="367">
        <f t="shared" si="34"/>
        <v>0</v>
      </c>
      <c r="Q137" s="367">
        <f t="shared" si="35"/>
        <v>0</v>
      </c>
      <c r="R137" s="368">
        <f t="shared" si="39"/>
        <v>0</v>
      </c>
      <c r="S137" s="384">
        <f>INDEX(FX!$D$3:$O$19,MATCH(B137,FX!$B$3:$B$32,0),MATCH(D137,FX!$D$2:$O$2,0))</f>
        <v>923</v>
      </c>
      <c r="T137" s="360" t="s">
        <v>143</v>
      </c>
      <c r="U137" s="360" t="s">
        <v>155</v>
      </c>
      <c r="V137" s="360" t="s">
        <v>83</v>
      </c>
      <c r="W137" s="364" t="str">
        <f>VLOOKUP(I137,Map!$F$18:$H$51,3,0)</f>
        <v>Variable</v>
      </c>
      <c r="X137" s="370" t="s">
        <v>149</v>
      </c>
      <c r="Y137" s="364" t="str">
        <f>VLOOKUP(L137,Map!$C$18:$D$29,2,0)</f>
        <v>CNT</v>
      </c>
      <c r="Z137" s="365">
        <v>2941240.1304139649</v>
      </c>
      <c r="AA137" s="366">
        <f t="shared" si="36"/>
        <v>0</v>
      </c>
      <c r="AB137" s="366">
        <f t="shared" si="40"/>
        <v>3500075.7551926179</v>
      </c>
      <c r="AC137" s="367">
        <f t="shared" si="37"/>
        <v>3186.6090253672423</v>
      </c>
      <c r="AD137" s="367">
        <f t="shared" si="38"/>
        <v>0</v>
      </c>
      <c r="AE137" s="368">
        <f t="shared" si="41"/>
        <v>3792.0647401870183</v>
      </c>
      <c r="AF137" s="385"/>
    </row>
    <row r="138" spans="2:32" s="1" customFormat="1" ht="13" hidden="1" x14ac:dyDescent="0.3">
      <c r="B138" s="383">
        <v>2026</v>
      </c>
      <c r="C138" s="361" t="s">
        <v>408</v>
      </c>
      <c r="D138" s="361" t="s">
        <v>162</v>
      </c>
      <c r="E138" s="360" t="s">
        <v>88</v>
      </c>
      <c r="F138" s="360" t="s">
        <v>80</v>
      </c>
      <c r="G138" s="362">
        <v>46218</v>
      </c>
      <c r="H138" s="363">
        <v>3867</v>
      </c>
      <c r="I138" s="360" t="s">
        <v>148</v>
      </c>
      <c r="J138" s="364" t="str">
        <f>IFERROR(VLOOKUP(I138,Map!$F$18:$G$56,2,0),"Add in Map")</f>
        <v>3P</v>
      </c>
      <c r="K138" s="364" t="str">
        <f>VLOOKUP(L138,Map!$C$18:$D$29,2,0)</f>
        <v>CVT</v>
      </c>
      <c r="L138" s="360" t="s">
        <v>36</v>
      </c>
      <c r="M138" s="365"/>
      <c r="N138" s="366">
        <f t="shared" si="32"/>
        <v>0</v>
      </c>
      <c r="O138" s="366">
        <f t="shared" si="33"/>
        <v>0</v>
      </c>
      <c r="P138" s="367">
        <f t="shared" si="34"/>
        <v>0</v>
      </c>
      <c r="Q138" s="367">
        <f t="shared" si="35"/>
        <v>0</v>
      </c>
      <c r="R138" s="368">
        <f t="shared" si="39"/>
        <v>0</v>
      </c>
      <c r="S138" s="384">
        <f>INDEX(FX!$D$3:$O$19,MATCH(B138,FX!$B$3:$B$32,0),MATCH(D138,FX!$D$2:$O$2,0))</f>
        <v>923</v>
      </c>
      <c r="T138" s="360" t="s">
        <v>143</v>
      </c>
      <c r="U138" s="360" t="s">
        <v>155</v>
      </c>
      <c r="V138" s="360" t="s">
        <v>83</v>
      </c>
      <c r="W138" s="364" t="str">
        <f>VLOOKUP(I138,Map!$F$18:$H$51,3,0)</f>
        <v>Variable</v>
      </c>
      <c r="X138" s="370" t="s">
        <v>149</v>
      </c>
      <c r="Y138" s="364" t="str">
        <f>VLOOKUP(L138,Map!$C$18:$D$29,2,0)</f>
        <v>CVT</v>
      </c>
      <c r="Z138" s="365">
        <v>71492.22958306795</v>
      </c>
      <c r="AA138" s="366">
        <f t="shared" si="36"/>
        <v>0</v>
      </c>
      <c r="AB138" s="366">
        <f t="shared" si="40"/>
        <v>85075.753203850851</v>
      </c>
      <c r="AC138" s="367">
        <f t="shared" si="37"/>
        <v>77.456370079163548</v>
      </c>
      <c r="AD138" s="367">
        <f t="shared" si="38"/>
        <v>0</v>
      </c>
      <c r="AE138" s="368">
        <f t="shared" si="41"/>
        <v>92.173080394204618</v>
      </c>
      <c r="AF138" s="385"/>
    </row>
    <row r="139" spans="2:32" s="1" customFormat="1" ht="13" hidden="1" x14ac:dyDescent="0.3">
      <c r="B139" s="383">
        <v>2026</v>
      </c>
      <c r="C139" s="361" t="s">
        <v>408</v>
      </c>
      <c r="D139" s="361" t="s">
        <v>162</v>
      </c>
      <c r="E139" s="360" t="s">
        <v>88</v>
      </c>
      <c r="F139" s="360" t="s">
        <v>80</v>
      </c>
      <c r="G139" s="362">
        <v>46218</v>
      </c>
      <c r="H139" s="363">
        <v>3867</v>
      </c>
      <c r="I139" s="360" t="s">
        <v>148</v>
      </c>
      <c r="J139" s="364" t="str">
        <f>IFERROR(VLOOKUP(I139,Map!$F$18:$G$56,2,0),"Add in Map")</f>
        <v>3P</v>
      </c>
      <c r="K139" s="364" t="str">
        <f>VLOOKUP(L139,Map!$C$18:$D$29,2,0)</f>
        <v>CDT</v>
      </c>
      <c r="L139" s="360" t="s">
        <v>38</v>
      </c>
      <c r="M139" s="365"/>
      <c r="N139" s="366">
        <f t="shared" si="32"/>
        <v>0</v>
      </c>
      <c r="O139" s="366">
        <f t="shared" si="33"/>
        <v>0</v>
      </c>
      <c r="P139" s="367">
        <f t="shared" si="34"/>
        <v>0</v>
      </c>
      <c r="Q139" s="367">
        <f t="shared" si="35"/>
        <v>0</v>
      </c>
      <c r="R139" s="368">
        <f t="shared" si="39"/>
        <v>0</v>
      </c>
      <c r="S139" s="384">
        <f>INDEX(FX!$D$3:$O$19,MATCH(B139,FX!$B$3:$B$32,0),MATCH(D139,FX!$D$2:$O$2,0))</f>
        <v>923</v>
      </c>
      <c r="T139" s="360" t="s">
        <v>143</v>
      </c>
      <c r="U139" s="360" t="s">
        <v>155</v>
      </c>
      <c r="V139" s="360" t="s">
        <v>83</v>
      </c>
      <c r="W139" s="364" t="str">
        <f>VLOOKUP(I139,Map!$F$18:$H$51,3,0)</f>
        <v>Variable</v>
      </c>
      <c r="X139" s="370" t="s">
        <v>149</v>
      </c>
      <c r="Y139" s="364" t="str">
        <f>VLOOKUP(L139,Map!$C$18:$D$29,2,0)</f>
        <v>CDT</v>
      </c>
      <c r="Z139" s="365">
        <v>73602.909499515605</v>
      </c>
      <c r="AA139" s="366">
        <f t="shared" si="36"/>
        <v>0</v>
      </c>
      <c r="AB139" s="366">
        <f t="shared" si="40"/>
        <v>87587.462304423563</v>
      </c>
      <c r="AC139" s="367">
        <f t="shared" si="37"/>
        <v>79.743130552021242</v>
      </c>
      <c r="AD139" s="367">
        <f t="shared" si="38"/>
        <v>0</v>
      </c>
      <c r="AE139" s="368">
        <f t="shared" si="41"/>
        <v>94.89432535690527</v>
      </c>
      <c r="AF139" s="385"/>
    </row>
    <row r="140" spans="2:32" s="1" customFormat="1" ht="13" hidden="1" x14ac:dyDescent="0.3">
      <c r="B140" s="383">
        <v>2026</v>
      </c>
      <c r="C140" s="361" t="s">
        <v>408</v>
      </c>
      <c r="D140" s="361" t="s">
        <v>162</v>
      </c>
      <c r="E140" s="360" t="s">
        <v>88</v>
      </c>
      <c r="F140" s="360" t="s">
        <v>80</v>
      </c>
      <c r="G140" s="362">
        <v>46218</v>
      </c>
      <c r="H140" s="363">
        <v>3867</v>
      </c>
      <c r="I140" s="360" t="s">
        <v>148</v>
      </c>
      <c r="J140" s="364" t="str">
        <f>IFERROR(VLOOKUP(I140,Map!$F$18:$G$56,2,0),"Add in Map")</f>
        <v>3P</v>
      </c>
      <c r="K140" s="364" t="str">
        <f>VLOOKUP(L140,Map!$C$18:$D$29,2,0)</f>
        <v>DFT</v>
      </c>
      <c r="L140" s="360" t="s">
        <v>40</v>
      </c>
      <c r="M140" s="365"/>
      <c r="N140" s="366">
        <f t="shared" si="32"/>
        <v>0</v>
      </c>
      <c r="O140" s="366">
        <f t="shared" si="33"/>
        <v>0</v>
      </c>
      <c r="P140" s="367">
        <f t="shared" si="34"/>
        <v>0</v>
      </c>
      <c r="Q140" s="367">
        <f t="shared" si="35"/>
        <v>0</v>
      </c>
      <c r="R140" s="368">
        <f t="shared" si="39"/>
        <v>0</v>
      </c>
      <c r="S140" s="384">
        <f>INDEX(FX!$D$3:$O$19,MATCH(B140,FX!$B$3:$B$32,0),MATCH(D140,FX!$D$2:$O$2,0))</f>
        <v>923</v>
      </c>
      <c r="T140" s="360" t="s">
        <v>143</v>
      </c>
      <c r="U140" s="360" t="s">
        <v>155</v>
      </c>
      <c r="V140" s="360" t="s">
        <v>83</v>
      </c>
      <c r="W140" s="364" t="str">
        <f>VLOOKUP(I140,Map!$F$18:$H$51,3,0)</f>
        <v>Variable</v>
      </c>
      <c r="X140" s="370" t="s">
        <v>149</v>
      </c>
      <c r="Y140" s="364" t="str">
        <f>VLOOKUP(L140,Map!$C$18:$D$29,2,0)</f>
        <v>DFT</v>
      </c>
      <c r="Z140" s="365">
        <v>6134205.6179431099</v>
      </c>
      <c r="AA140" s="366">
        <f t="shared" si="36"/>
        <v>0</v>
      </c>
      <c r="AB140" s="366">
        <f t="shared" si="40"/>
        <v>7299704.6853523003</v>
      </c>
      <c r="AC140" s="367">
        <f t="shared" si="37"/>
        <v>6645.9432480423729</v>
      </c>
      <c r="AD140" s="367">
        <f t="shared" si="38"/>
        <v>0</v>
      </c>
      <c r="AE140" s="368">
        <f t="shared" si="41"/>
        <v>7908.6724651704235</v>
      </c>
      <c r="AF140" s="385"/>
    </row>
    <row r="141" spans="2:32" s="1" customFormat="1" ht="13" hidden="1" x14ac:dyDescent="0.3">
      <c r="B141" s="383">
        <v>2026</v>
      </c>
      <c r="C141" s="361" t="s">
        <v>408</v>
      </c>
      <c r="D141" s="361" t="s">
        <v>162</v>
      </c>
      <c r="E141" s="360" t="s">
        <v>88</v>
      </c>
      <c r="F141" s="360" t="s">
        <v>80</v>
      </c>
      <c r="G141" s="362">
        <v>46218</v>
      </c>
      <c r="H141" s="363">
        <v>3867</v>
      </c>
      <c r="I141" s="360" t="s">
        <v>148</v>
      </c>
      <c r="J141" s="364" t="str">
        <f>IFERROR(VLOOKUP(I141,Map!$F$18:$G$56,2,0),"Add in Map")</f>
        <v>3P</v>
      </c>
      <c r="K141" s="364" t="str">
        <f>VLOOKUP(L141,Map!$C$18:$D$29,2,0)</f>
        <v>DVT</v>
      </c>
      <c r="L141" s="360" t="s">
        <v>42</v>
      </c>
      <c r="M141" s="365"/>
      <c r="N141" s="366">
        <f t="shared" si="32"/>
        <v>0</v>
      </c>
      <c r="O141" s="366">
        <f t="shared" si="33"/>
        <v>0</v>
      </c>
      <c r="P141" s="367">
        <f t="shared" si="34"/>
        <v>0</v>
      </c>
      <c r="Q141" s="367">
        <f t="shared" si="35"/>
        <v>0</v>
      </c>
      <c r="R141" s="368">
        <f t="shared" si="39"/>
        <v>0</v>
      </c>
      <c r="S141" s="384">
        <f>INDEX(FX!$D$3:$O$19,MATCH(B141,FX!$B$3:$B$32,0),MATCH(D141,FX!$D$2:$O$2,0))</f>
        <v>923</v>
      </c>
      <c r="T141" s="360" t="s">
        <v>143</v>
      </c>
      <c r="U141" s="360" t="s">
        <v>155</v>
      </c>
      <c r="V141" s="360" t="s">
        <v>83</v>
      </c>
      <c r="W141" s="364" t="str">
        <f>VLOOKUP(I141,Map!$F$18:$H$51,3,0)</f>
        <v>Variable</v>
      </c>
      <c r="X141" s="370" t="s">
        <v>149</v>
      </c>
      <c r="Y141" s="364" t="str">
        <f>VLOOKUP(L141,Map!$C$18:$D$29,2,0)</f>
        <v>DVT</v>
      </c>
      <c r="Z141" s="365">
        <v>0</v>
      </c>
      <c r="AA141" s="366">
        <f t="shared" si="36"/>
        <v>0</v>
      </c>
      <c r="AB141" s="366">
        <f t="shared" si="40"/>
        <v>0</v>
      </c>
      <c r="AC141" s="367">
        <f t="shared" si="37"/>
        <v>0</v>
      </c>
      <c r="AD141" s="367">
        <f t="shared" si="38"/>
        <v>0</v>
      </c>
      <c r="AE141" s="368">
        <f t="shared" si="41"/>
        <v>0</v>
      </c>
      <c r="AF141" s="385"/>
    </row>
    <row r="142" spans="2:32" s="1" customFormat="1" ht="13" hidden="1" x14ac:dyDescent="0.3">
      <c r="B142" s="383">
        <v>2026</v>
      </c>
      <c r="C142" s="361" t="s">
        <v>408</v>
      </c>
      <c r="D142" s="361" t="s">
        <v>162</v>
      </c>
      <c r="E142" s="360" t="s">
        <v>88</v>
      </c>
      <c r="F142" s="360" t="s">
        <v>80</v>
      </c>
      <c r="G142" s="362">
        <v>46218</v>
      </c>
      <c r="H142" s="363">
        <v>3867</v>
      </c>
      <c r="I142" s="360" t="s">
        <v>148</v>
      </c>
      <c r="J142" s="364" t="str">
        <f>IFERROR(VLOOKUP(I142,Map!$F$18:$G$56,2,0),"Add in Map")</f>
        <v>3P</v>
      </c>
      <c r="K142" s="364" t="str">
        <f>VLOOKUP(L142,Map!$C$18:$D$29,2,0)</f>
        <v>GLT</v>
      </c>
      <c r="L142" s="360" t="s">
        <v>44</v>
      </c>
      <c r="M142" s="365"/>
      <c r="N142" s="366">
        <f t="shared" si="32"/>
        <v>0</v>
      </c>
      <c r="O142" s="366">
        <f t="shared" si="33"/>
        <v>0</v>
      </c>
      <c r="P142" s="367">
        <f t="shared" si="34"/>
        <v>0</v>
      </c>
      <c r="Q142" s="367">
        <f t="shared" si="35"/>
        <v>0</v>
      </c>
      <c r="R142" s="368">
        <f t="shared" si="39"/>
        <v>0</v>
      </c>
      <c r="S142" s="384">
        <f>INDEX(FX!$D$3:$O$19,MATCH(B142,FX!$B$3:$B$32,0),MATCH(D142,FX!$D$2:$O$2,0))</f>
        <v>923</v>
      </c>
      <c r="T142" s="360" t="s">
        <v>143</v>
      </c>
      <c r="U142" s="360" t="s">
        <v>155</v>
      </c>
      <c r="V142" s="360" t="s">
        <v>83</v>
      </c>
      <c r="W142" s="364" t="str">
        <f>VLOOKUP(I142,Map!$F$18:$H$51,3,0)</f>
        <v>Variable</v>
      </c>
      <c r="X142" s="370" t="s">
        <v>149</v>
      </c>
      <c r="Y142" s="364" t="str">
        <f>VLOOKUP(L142,Map!$C$18:$D$29,2,0)</f>
        <v>GLT</v>
      </c>
      <c r="Z142" s="365">
        <v>3986123.8099980815</v>
      </c>
      <c r="AA142" s="366">
        <f t="shared" si="36"/>
        <v>0</v>
      </c>
      <c r="AB142" s="366">
        <f t="shared" si="40"/>
        <v>4743487.3338977164</v>
      </c>
      <c r="AC142" s="367">
        <f t="shared" si="37"/>
        <v>4318.6606825548015</v>
      </c>
      <c r="AD142" s="367">
        <f t="shared" si="38"/>
        <v>0</v>
      </c>
      <c r="AE142" s="368">
        <f t="shared" si="41"/>
        <v>5139.206212240214</v>
      </c>
      <c r="AF142" s="385"/>
    </row>
    <row r="143" spans="2:32" s="1" customFormat="1" ht="13" hidden="1" x14ac:dyDescent="0.3">
      <c r="B143" s="383">
        <v>2026</v>
      </c>
      <c r="C143" s="361" t="s">
        <v>408</v>
      </c>
      <c r="D143" s="361" t="s">
        <v>162</v>
      </c>
      <c r="E143" s="360" t="s">
        <v>88</v>
      </c>
      <c r="F143" s="360" t="s">
        <v>80</v>
      </c>
      <c r="G143" s="362">
        <v>46218</v>
      </c>
      <c r="H143" s="363">
        <v>3867</v>
      </c>
      <c r="I143" s="360" t="s">
        <v>148</v>
      </c>
      <c r="J143" s="364" t="str">
        <f>IFERROR(VLOOKUP(I143,Map!$F$18:$G$56,2,0),"Add in Map")</f>
        <v>3P</v>
      </c>
      <c r="K143" s="364" t="str">
        <f>VLOOKUP(L143,Map!$C$18:$D$29,2,0)</f>
        <v>PNT</v>
      </c>
      <c r="L143" s="360" t="s">
        <v>46</v>
      </c>
      <c r="M143" s="365"/>
      <c r="N143" s="366">
        <f t="shared" si="32"/>
        <v>0</v>
      </c>
      <c r="O143" s="366">
        <f t="shared" si="33"/>
        <v>0</v>
      </c>
      <c r="P143" s="367">
        <f t="shared" si="34"/>
        <v>0</v>
      </c>
      <c r="Q143" s="367">
        <f t="shared" si="35"/>
        <v>0</v>
      </c>
      <c r="R143" s="368">
        <f t="shared" si="39"/>
        <v>0</v>
      </c>
      <c r="S143" s="384">
        <f>INDEX(FX!$D$3:$O$19,MATCH(B143,FX!$B$3:$B$32,0),MATCH(D143,FX!$D$2:$O$2,0))</f>
        <v>923</v>
      </c>
      <c r="T143" s="360" t="s">
        <v>143</v>
      </c>
      <c r="U143" s="360" t="s">
        <v>155</v>
      </c>
      <c r="V143" s="360" t="s">
        <v>83</v>
      </c>
      <c r="W143" s="364" t="str">
        <f>VLOOKUP(I143,Map!$F$18:$H$51,3,0)</f>
        <v>Variable</v>
      </c>
      <c r="X143" s="370" t="s">
        <v>149</v>
      </c>
      <c r="Y143" s="364" t="str">
        <f>VLOOKUP(L143,Map!$C$18:$D$29,2,0)</f>
        <v>PNT</v>
      </c>
      <c r="Z143" s="365">
        <v>432515.86649121274</v>
      </c>
      <c r="AA143" s="366">
        <f t="shared" si="36"/>
        <v>0</v>
      </c>
      <c r="AB143" s="366">
        <f t="shared" si="40"/>
        <v>514693.88112454314</v>
      </c>
      <c r="AC143" s="367">
        <f t="shared" si="37"/>
        <v>468.59790519091302</v>
      </c>
      <c r="AD143" s="367">
        <f t="shared" si="38"/>
        <v>0</v>
      </c>
      <c r="AE143" s="368">
        <f t="shared" si="41"/>
        <v>557.63150717718645</v>
      </c>
      <c r="AF143" s="385"/>
    </row>
    <row r="144" spans="2:32" s="1" customFormat="1" ht="13" hidden="1" x14ac:dyDescent="0.3">
      <c r="B144" s="383">
        <v>2026</v>
      </c>
      <c r="C144" s="361" t="s">
        <v>408</v>
      </c>
      <c r="D144" s="361" t="s">
        <v>162</v>
      </c>
      <c r="E144" s="360" t="s">
        <v>88</v>
      </c>
      <c r="F144" s="360" t="s">
        <v>80</v>
      </c>
      <c r="G144" s="362">
        <v>46218</v>
      </c>
      <c r="H144" s="363">
        <v>3867</v>
      </c>
      <c r="I144" s="360" t="s">
        <v>148</v>
      </c>
      <c r="J144" s="364" t="str">
        <f>IFERROR(VLOOKUP(I144,Map!$F$18:$G$56,2,0),"Add in Map")</f>
        <v>3P</v>
      </c>
      <c r="K144" s="364" t="str">
        <f>VLOOKUP(L144,Map!$C$18:$D$29,2,0)</f>
        <v>GTT</v>
      </c>
      <c r="L144" s="360" t="s">
        <v>48</v>
      </c>
      <c r="M144" s="365"/>
      <c r="N144" s="366">
        <f t="shared" si="32"/>
        <v>0</v>
      </c>
      <c r="O144" s="366">
        <f t="shared" si="33"/>
        <v>0</v>
      </c>
      <c r="P144" s="367">
        <f t="shared" si="34"/>
        <v>0</v>
      </c>
      <c r="Q144" s="367">
        <f t="shared" si="35"/>
        <v>0</v>
      </c>
      <c r="R144" s="368">
        <f t="shared" si="39"/>
        <v>0</v>
      </c>
      <c r="S144" s="384">
        <f>INDEX(FX!$D$3:$O$19,MATCH(B144,FX!$B$3:$B$32,0),MATCH(D144,FX!$D$2:$O$2,0))</f>
        <v>923</v>
      </c>
      <c r="T144" s="360" t="s">
        <v>143</v>
      </c>
      <c r="U144" s="360" t="s">
        <v>155</v>
      </c>
      <c r="V144" s="360" t="s">
        <v>83</v>
      </c>
      <c r="W144" s="364" t="str">
        <f>VLOOKUP(I144,Map!$F$18:$H$51,3,0)</f>
        <v>Variable</v>
      </c>
      <c r="X144" s="370" t="s">
        <v>149</v>
      </c>
      <c r="Y144" s="364" t="str">
        <f>VLOOKUP(L144,Map!$C$18:$D$29,2,0)</f>
        <v>GTT</v>
      </c>
      <c r="Z144" s="365">
        <v>265010.56474051718</v>
      </c>
      <c r="AA144" s="366">
        <f t="shared" si="36"/>
        <v>0</v>
      </c>
      <c r="AB144" s="366">
        <f t="shared" si="40"/>
        <v>315362.57204121543</v>
      </c>
      <c r="AC144" s="367">
        <f t="shared" si="37"/>
        <v>287.11870502764589</v>
      </c>
      <c r="AD144" s="367">
        <f t="shared" si="38"/>
        <v>0</v>
      </c>
      <c r="AE144" s="368">
        <f t="shared" si="41"/>
        <v>341.67125898289856</v>
      </c>
      <c r="AF144" s="385"/>
    </row>
    <row r="145" spans="2:32" s="1" customFormat="1" ht="13" hidden="1" x14ac:dyDescent="0.3">
      <c r="B145" s="383">
        <v>2026</v>
      </c>
      <c r="C145" s="361" t="s">
        <v>408</v>
      </c>
      <c r="D145" s="361" t="s">
        <v>162</v>
      </c>
      <c r="E145" s="360" t="s">
        <v>88</v>
      </c>
      <c r="F145" s="360" t="s">
        <v>80</v>
      </c>
      <c r="G145" s="362">
        <v>46218</v>
      </c>
      <c r="H145" s="363">
        <v>3867</v>
      </c>
      <c r="I145" s="360" t="s">
        <v>148</v>
      </c>
      <c r="J145" s="364" t="str">
        <f>IFERROR(VLOOKUP(I145,Map!$F$18:$G$56,2,0),"Add in Map")</f>
        <v>3P</v>
      </c>
      <c r="K145" s="364" t="str">
        <f>VLOOKUP(L145,Map!$C$18:$D$29,2,0)</f>
        <v>DGT</v>
      </c>
      <c r="L145" s="360" t="s">
        <v>50</v>
      </c>
      <c r="M145" s="365"/>
      <c r="N145" s="366">
        <f t="shared" si="32"/>
        <v>0</v>
      </c>
      <c r="O145" s="366">
        <f t="shared" si="33"/>
        <v>0</v>
      </c>
      <c r="P145" s="367">
        <f t="shared" si="34"/>
        <v>0</v>
      </c>
      <c r="Q145" s="367">
        <f t="shared" si="35"/>
        <v>0</v>
      </c>
      <c r="R145" s="368">
        <f t="shared" si="39"/>
        <v>0</v>
      </c>
      <c r="S145" s="384">
        <f>INDEX(FX!$D$3:$O$19,MATCH(B145,FX!$B$3:$B$32,0),MATCH(D145,FX!$D$2:$O$2,0))</f>
        <v>923</v>
      </c>
      <c r="T145" s="360" t="s">
        <v>143</v>
      </c>
      <c r="U145" s="360" t="s">
        <v>155</v>
      </c>
      <c r="V145" s="360" t="s">
        <v>83</v>
      </c>
      <c r="W145" s="364" t="str">
        <f>VLOOKUP(I145,Map!$F$18:$H$51,3,0)</f>
        <v>Variable</v>
      </c>
      <c r="X145" s="370" t="s">
        <v>149</v>
      </c>
      <c r="Y145" s="364" t="str">
        <f>VLOOKUP(L145,Map!$C$18:$D$29,2,0)</f>
        <v>DGT</v>
      </c>
      <c r="Z145" s="365">
        <v>236101.12501960227</v>
      </c>
      <c r="AA145" s="366">
        <f t="shared" ref="AA145:AA208" si="42">IF(Y145="TOTAL",(Z145*0.19),0)</f>
        <v>0</v>
      </c>
      <c r="AB145" s="366">
        <f t="shared" si="40"/>
        <v>280960.33877332672</v>
      </c>
      <c r="AC145" s="367">
        <f t="shared" ref="AC145:AC208" si="43">Z145/S145</f>
        <v>255.79753523250517</v>
      </c>
      <c r="AD145" s="367">
        <f t="shared" ref="AD145:AD208" si="44">IF(Y145="TOTAL",(AC145*0.19),0)</f>
        <v>0</v>
      </c>
      <c r="AE145" s="368">
        <f t="shared" si="41"/>
        <v>304.39906692668114</v>
      </c>
      <c r="AF145" s="385"/>
    </row>
    <row r="146" spans="2:32" s="1" customFormat="1" ht="13" hidden="1" x14ac:dyDescent="0.3">
      <c r="B146" s="383">
        <v>2026</v>
      </c>
      <c r="C146" s="361" t="s">
        <v>408</v>
      </c>
      <c r="D146" s="361" t="s">
        <v>162</v>
      </c>
      <c r="E146" s="360" t="s">
        <v>88</v>
      </c>
      <c r="F146" s="360" t="s">
        <v>80</v>
      </c>
      <c r="G146" s="362">
        <v>46218</v>
      </c>
      <c r="H146" s="363">
        <v>3867</v>
      </c>
      <c r="I146" s="360" t="s">
        <v>148</v>
      </c>
      <c r="J146" s="364" t="str">
        <f>IFERROR(VLOOKUP(I146,Map!$F$18:$G$56,2,0),"Add in Map")</f>
        <v>3P</v>
      </c>
      <c r="K146" s="364" t="str">
        <f>VLOOKUP(L146,Map!$C$18:$D$29,2,0)</f>
        <v>DLT</v>
      </c>
      <c r="L146" s="360" t="s">
        <v>52</v>
      </c>
      <c r="M146" s="365"/>
      <c r="N146" s="366">
        <f t="shared" si="32"/>
        <v>0</v>
      </c>
      <c r="O146" s="366">
        <f t="shared" si="33"/>
        <v>0</v>
      </c>
      <c r="P146" s="367">
        <f t="shared" si="34"/>
        <v>0</v>
      </c>
      <c r="Q146" s="367">
        <f t="shared" si="35"/>
        <v>0</v>
      </c>
      <c r="R146" s="368">
        <f t="shared" ref="R146:R209" si="45">P146*1.19</f>
        <v>0</v>
      </c>
      <c r="S146" s="384">
        <f>INDEX(FX!$D$3:$O$19,MATCH(B146,FX!$B$3:$B$32,0),MATCH(D146,FX!$D$2:$O$2,0))</f>
        <v>923</v>
      </c>
      <c r="T146" s="360" t="s">
        <v>143</v>
      </c>
      <c r="U146" s="360" t="s">
        <v>155</v>
      </c>
      <c r="V146" s="360" t="s">
        <v>83</v>
      </c>
      <c r="W146" s="364" t="str">
        <f>VLOOKUP(I146,Map!$F$18:$H$51,3,0)</f>
        <v>Variable</v>
      </c>
      <c r="X146" s="370" t="s">
        <v>149</v>
      </c>
      <c r="Y146" s="364" t="str">
        <f>VLOOKUP(L146,Map!$C$18:$D$29,2,0)</f>
        <v>DLT</v>
      </c>
      <c r="Z146" s="365">
        <v>53335.390890329931</v>
      </c>
      <c r="AA146" s="366">
        <f t="shared" si="42"/>
        <v>0</v>
      </c>
      <c r="AB146" s="366">
        <f t="shared" ref="AB146:AB209" si="46">Z146*1.19</f>
        <v>63469.115159492612</v>
      </c>
      <c r="AC146" s="367">
        <f t="shared" si="43"/>
        <v>57.784822199707399</v>
      </c>
      <c r="AD146" s="367">
        <f t="shared" si="44"/>
        <v>0</v>
      </c>
      <c r="AE146" s="368">
        <f t="shared" ref="AE146:AE209" si="47">AC146*1.19</f>
        <v>68.763938417651801</v>
      </c>
      <c r="AF146" s="385"/>
    </row>
    <row r="147" spans="2:32" s="1" customFormat="1" ht="13" hidden="1" x14ac:dyDescent="0.3">
      <c r="B147" s="383">
        <v>2026</v>
      </c>
      <c r="C147" s="361" t="s">
        <v>408</v>
      </c>
      <c r="D147" s="361" t="s">
        <v>162</v>
      </c>
      <c r="E147" s="360" t="s">
        <v>88</v>
      </c>
      <c r="F147" s="360" t="s">
        <v>80</v>
      </c>
      <c r="G147" s="362">
        <v>46218</v>
      </c>
      <c r="H147" s="363">
        <v>3867</v>
      </c>
      <c r="I147" s="360" t="s">
        <v>148</v>
      </c>
      <c r="J147" s="364" t="str">
        <f>IFERROR(VLOOKUP(I147,Map!$F$18:$G$56,2,0),"Add in Map")</f>
        <v>3P</v>
      </c>
      <c r="K147" s="364" t="str">
        <f>VLOOKUP(L147,Map!$C$18:$D$29,2,0)</f>
        <v>DMT</v>
      </c>
      <c r="L147" s="360" t="s">
        <v>54</v>
      </c>
      <c r="M147" s="365"/>
      <c r="N147" s="366">
        <f t="shared" si="32"/>
        <v>0</v>
      </c>
      <c r="O147" s="366">
        <f t="shared" si="33"/>
        <v>0</v>
      </c>
      <c r="P147" s="386">
        <f t="shared" si="34"/>
        <v>0</v>
      </c>
      <c r="Q147" s="367">
        <f t="shared" si="35"/>
        <v>0</v>
      </c>
      <c r="R147" s="368">
        <f t="shared" si="45"/>
        <v>0</v>
      </c>
      <c r="S147" s="384">
        <f>INDEX(FX!$D$3:$O$19,MATCH(B147,FX!$B$3:$B$32,0),MATCH(D147,FX!$D$2:$O$2,0))</f>
        <v>923</v>
      </c>
      <c r="T147" s="360" t="s">
        <v>143</v>
      </c>
      <c r="U147" s="360" t="s">
        <v>155</v>
      </c>
      <c r="V147" s="360" t="s">
        <v>83</v>
      </c>
      <c r="W147" s="364" t="str">
        <f>VLOOKUP(I147,Map!$F$18:$H$51,3,0)</f>
        <v>Variable</v>
      </c>
      <c r="X147" s="370" t="s">
        <v>149</v>
      </c>
      <c r="Y147" s="364" t="str">
        <f>VLOOKUP(L147,Map!$C$18:$D$29,2,0)</f>
        <v>DMT</v>
      </c>
      <c r="Z147" s="365">
        <v>0</v>
      </c>
      <c r="AA147" s="366">
        <f t="shared" si="42"/>
        <v>0</v>
      </c>
      <c r="AB147" s="366">
        <f t="shared" si="46"/>
        <v>0</v>
      </c>
      <c r="AC147" s="386">
        <f t="shared" si="43"/>
        <v>0</v>
      </c>
      <c r="AD147" s="367">
        <f t="shared" si="44"/>
        <v>0</v>
      </c>
      <c r="AE147" s="368">
        <f t="shared" si="47"/>
        <v>0</v>
      </c>
      <c r="AF147" s="385"/>
    </row>
    <row r="148" spans="2:32" s="37" customFormat="1" hidden="1" x14ac:dyDescent="0.35">
      <c r="B148" s="387">
        <v>2026</v>
      </c>
      <c r="C148" s="389" t="s">
        <v>408</v>
      </c>
      <c r="D148" s="389" t="s">
        <v>162</v>
      </c>
      <c r="E148" s="388" t="s">
        <v>88</v>
      </c>
      <c r="F148" s="388" t="s">
        <v>80</v>
      </c>
      <c r="G148" s="390">
        <v>46218</v>
      </c>
      <c r="H148" s="391">
        <v>3867</v>
      </c>
      <c r="I148" s="388" t="s">
        <v>148</v>
      </c>
      <c r="J148" s="392" t="str">
        <f>IFERROR(VLOOKUP(I148,Map!$F$18:$G$56,2,0),"Add in Map")</f>
        <v>3P</v>
      </c>
      <c r="K148" s="392" t="str">
        <f>VLOOKUP(L148,Map!$C$18:$D$29,2,0)</f>
        <v>TOTAL</v>
      </c>
      <c r="L148" s="388" t="s">
        <v>56</v>
      </c>
      <c r="M148" s="393">
        <f>SUM(M137:M147)</f>
        <v>0</v>
      </c>
      <c r="N148" s="393">
        <f t="shared" si="32"/>
        <v>0</v>
      </c>
      <c r="O148" s="393">
        <f t="shared" si="33"/>
        <v>0</v>
      </c>
      <c r="P148" s="394">
        <f t="shared" si="34"/>
        <v>0</v>
      </c>
      <c r="Q148" s="394">
        <f t="shared" si="35"/>
        <v>0</v>
      </c>
      <c r="R148" s="395">
        <f t="shared" si="45"/>
        <v>0</v>
      </c>
      <c r="S148" s="396">
        <f>INDEX(FX!$D$3:$O$19,MATCH(B148,FX!$B$3:$B$32,0),MATCH(D148,FX!$D$2:$O$2,0))</f>
        <v>923</v>
      </c>
      <c r="T148" s="388" t="s">
        <v>143</v>
      </c>
      <c r="U148" s="388" t="s">
        <v>155</v>
      </c>
      <c r="V148" s="388" t="s">
        <v>83</v>
      </c>
      <c r="W148" s="392" t="str">
        <f>VLOOKUP(I148,Map!$F$18:$H$51,3,0)</f>
        <v>Variable</v>
      </c>
      <c r="X148" s="397" t="s">
        <v>149</v>
      </c>
      <c r="Y148" s="392" t="str">
        <f>VLOOKUP(L148,Map!$C$18:$D$29,2,0)</f>
        <v>TOTAL</v>
      </c>
      <c r="Z148" s="393">
        <f>SUM(Z137:Z147)</f>
        <v>14193627.644579403</v>
      </c>
      <c r="AA148" s="393">
        <f t="shared" si="42"/>
        <v>2696789.2524700868</v>
      </c>
      <c r="AB148" s="393">
        <f t="shared" si="46"/>
        <v>16890416.89704949</v>
      </c>
      <c r="AC148" s="394">
        <f t="shared" si="43"/>
        <v>15377.711424246374</v>
      </c>
      <c r="AD148" s="394">
        <f t="shared" si="44"/>
        <v>2921.7651706068109</v>
      </c>
      <c r="AE148" s="395">
        <f t="shared" si="47"/>
        <v>18299.476594853186</v>
      </c>
      <c r="AF148" s="398"/>
    </row>
    <row r="149" spans="2:32" s="1" customFormat="1" ht="13" hidden="1" x14ac:dyDescent="0.3">
      <c r="B149" s="383">
        <v>2026</v>
      </c>
      <c r="C149" s="361" t="s">
        <v>458</v>
      </c>
      <c r="D149" s="361" t="s">
        <v>80</v>
      </c>
      <c r="E149" s="360" t="s">
        <v>88</v>
      </c>
      <c r="F149" s="360" t="s">
        <v>172</v>
      </c>
      <c r="G149" s="362"/>
      <c r="H149" s="363"/>
      <c r="I149" s="360" t="s">
        <v>148</v>
      </c>
      <c r="J149" s="364" t="str">
        <f>IFERROR(VLOOKUP(I149,Map!$F$18:$G$56,2,0),"Add in Map")</f>
        <v>3P</v>
      </c>
      <c r="K149" s="364" t="str">
        <f>VLOOKUP(L149,Map!$C$18:$D$29,2,0)</f>
        <v>CNT</v>
      </c>
      <c r="L149" s="360" t="s">
        <v>31</v>
      </c>
      <c r="M149" s="365"/>
      <c r="N149" s="366">
        <f t="shared" ref="N149:N172" si="48">IF(L149="TOTAL",(M149*0.19),0)</f>
        <v>0</v>
      </c>
      <c r="O149" s="366">
        <f t="shared" ref="O149:O172" si="49">M149*1.19</f>
        <v>0</v>
      </c>
      <c r="P149" s="367">
        <f t="shared" ref="P149:P172" si="50">M149/S149</f>
        <v>0</v>
      </c>
      <c r="Q149" s="367">
        <f t="shared" ref="Q149:Q172" si="51">IF(L149="TOTAL",(P149*0.19),0)</f>
        <v>0</v>
      </c>
      <c r="R149" s="368">
        <f t="shared" si="45"/>
        <v>0</v>
      </c>
      <c r="S149" s="384">
        <f>INDEX(FX!$D$3:$O$19,MATCH(B149,FX!$B$3:$B$32,0),MATCH(D149,FX!$D$2:$O$2,0))</f>
        <v>924</v>
      </c>
      <c r="T149" s="360" t="s">
        <v>144</v>
      </c>
      <c r="U149" s="360" t="s">
        <v>155</v>
      </c>
      <c r="V149" s="360" t="s">
        <v>83</v>
      </c>
      <c r="W149" s="364" t="str">
        <f>VLOOKUP(I149,Map!$F$18:$H$51,3,0)</f>
        <v>Variable</v>
      </c>
      <c r="X149" s="370" t="s">
        <v>172</v>
      </c>
      <c r="Y149" s="364" t="str">
        <f>VLOOKUP(L149,Map!$C$18:$D$29,2,0)</f>
        <v>CNT</v>
      </c>
      <c r="Z149" s="365">
        <v>4169389.651475904</v>
      </c>
      <c r="AA149" s="366">
        <f t="shared" si="42"/>
        <v>0</v>
      </c>
      <c r="AB149" s="366">
        <f t="shared" si="46"/>
        <v>4961573.6852563256</v>
      </c>
      <c r="AC149" s="367">
        <f t="shared" si="43"/>
        <v>4512.3264626362597</v>
      </c>
      <c r="AD149" s="367">
        <f t="shared" si="44"/>
        <v>0</v>
      </c>
      <c r="AE149" s="368">
        <f t="shared" si="47"/>
        <v>5369.6684905371485</v>
      </c>
      <c r="AF149" s="385"/>
    </row>
    <row r="150" spans="2:32" s="1" customFormat="1" ht="13" hidden="1" x14ac:dyDescent="0.3">
      <c r="B150" s="383">
        <v>2026</v>
      </c>
      <c r="C150" s="361" t="s">
        <v>458</v>
      </c>
      <c r="D150" s="361" t="s">
        <v>80</v>
      </c>
      <c r="E150" s="360" t="s">
        <v>88</v>
      </c>
      <c r="F150" s="360" t="s">
        <v>172</v>
      </c>
      <c r="G150" s="362"/>
      <c r="H150" s="363"/>
      <c r="I150" s="360" t="s">
        <v>148</v>
      </c>
      <c r="J150" s="364" t="str">
        <f>IFERROR(VLOOKUP(I150,Map!$F$18:$G$56,2,0),"Add in Map")</f>
        <v>3P</v>
      </c>
      <c r="K150" s="364" t="str">
        <f>VLOOKUP(L150,Map!$C$18:$D$29,2,0)</f>
        <v>CVT</v>
      </c>
      <c r="L150" s="360" t="s">
        <v>36</v>
      </c>
      <c r="M150" s="365"/>
      <c r="N150" s="366">
        <f t="shared" si="48"/>
        <v>0</v>
      </c>
      <c r="O150" s="366">
        <f t="shared" si="49"/>
        <v>0</v>
      </c>
      <c r="P150" s="367">
        <f t="shared" si="50"/>
        <v>0</v>
      </c>
      <c r="Q150" s="367">
        <f t="shared" si="51"/>
        <v>0</v>
      </c>
      <c r="R150" s="368">
        <f t="shared" si="45"/>
        <v>0</v>
      </c>
      <c r="S150" s="384">
        <f>INDEX(FX!$D$3:$O$19,MATCH(B150,FX!$B$3:$B$32,0),MATCH(D150,FX!$D$2:$O$2,0))</f>
        <v>924</v>
      </c>
      <c r="T150" s="360" t="s">
        <v>144</v>
      </c>
      <c r="U150" s="360" t="s">
        <v>155</v>
      </c>
      <c r="V150" s="360" t="s">
        <v>83</v>
      </c>
      <c r="W150" s="364" t="str">
        <f>VLOOKUP(I150,Map!$F$18:$H$51,3,0)</f>
        <v>Variable</v>
      </c>
      <c r="X150" s="370" t="s">
        <v>172</v>
      </c>
      <c r="Y150" s="364" t="str">
        <f>VLOOKUP(L150,Map!$C$18:$D$29,2,0)</f>
        <v>CVT</v>
      </c>
      <c r="Z150" s="365">
        <v>0</v>
      </c>
      <c r="AA150" s="366">
        <f t="shared" si="42"/>
        <v>0</v>
      </c>
      <c r="AB150" s="366">
        <f t="shared" si="46"/>
        <v>0</v>
      </c>
      <c r="AC150" s="367">
        <f t="shared" si="43"/>
        <v>0</v>
      </c>
      <c r="AD150" s="367">
        <f t="shared" si="44"/>
        <v>0</v>
      </c>
      <c r="AE150" s="368">
        <f t="shared" si="47"/>
        <v>0</v>
      </c>
      <c r="AF150" s="385"/>
    </row>
    <row r="151" spans="2:32" s="1" customFormat="1" ht="13" hidden="1" x14ac:dyDescent="0.3">
      <c r="B151" s="383">
        <v>2026</v>
      </c>
      <c r="C151" s="361" t="s">
        <v>458</v>
      </c>
      <c r="D151" s="361" t="s">
        <v>80</v>
      </c>
      <c r="E151" s="360" t="s">
        <v>88</v>
      </c>
      <c r="F151" s="360" t="s">
        <v>172</v>
      </c>
      <c r="G151" s="362"/>
      <c r="H151" s="363"/>
      <c r="I151" s="360" t="s">
        <v>148</v>
      </c>
      <c r="J151" s="364" t="str">
        <f>IFERROR(VLOOKUP(I151,Map!$F$18:$G$56,2,0),"Add in Map")</f>
        <v>3P</v>
      </c>
      <c r="K151" s="364" t="str">
        <f>VLOOKUP(L151,Map!$C$18:$D$29,2,0)</f>
        <v>CDT</v>
      </c>
      <c r="L151" s="360" t="s">
        <v>38</v>
      </c>
      <c r="M151" s="365"/>
      <c r="N151" s="366">
        <f t="shared" si="48"/>
        <v>0</v>
      </c>
      <c r="O151" s="366">
        <f t="shared" si="49"/>
        <v>0</v>
      </c>
      <c r="P151" s="367">
        <f t="shared" si="50"/>
        <v>0</v>
      </c>
      <c r="Q151" s="367">
        <f t="shared" si="51"/>
        <v>0</v>
      </c>
      <c r="R151" s="368">
        <f t="shared" si="45"/>
        <v>0</v>
      </c>
      <c r="S151" s="384">
        <f>INDEX(FX!$D$3:$O$19,MATCH(B151,FX!$B$3:$B$32,0),MATCH(D151,FX!$D$2:$O$2,0))</f>
        <v>924</v>
      </c>
      <c r="T151" s="360" t="s">
        <v>144</v>
      </c>
      <c r="U151" s="360" t="s">
        <v>155</v>
      </c>
      <c r="V151" s="360" t="s">
        <v>83</v>
      </c>
      <c r="W151" s="364" t="str">
        <f>VLOOKUP(I151,Map!$F$18:$H$51,3,0)</f>
        <v>Variable</v>
      </c>
      <c r="X151" s="370" t="s">
        <v>172</v>
      </c>
      <c r="Y151" s="364" t="str">
        <f>VLOOKUP(L151,Map!$C$18:$D$29,2,0)</f>
        <v>CDT</v>
      </c>
      <c r="Z151" s="365">
        <v>53453.713480460305</v>
      </c>
      <c r="AA151" s="366">
        <f t="shared" si="42"/>
        <v>0</v>
      </c>
      <c r="AB151" s="366">
        <f t="shared" si="46"/>
        <v>63609.919041747758</v>
      </c>
      <c r="AC151" s="367">
        <f t="shared" si="43"/>
        <v>57.850339264567431</v>
      </c>
      <c r="AD151" s="367">
        <f t="shared" si="44"/>
        <v>0</v>
      </c>
      <c r="AE151" s="368">
        <f t="shared" si="47"/>
        <v>68.841903724835234</v>
      </c>
      <c r="AF151" s="385"/>
    </row>
    <row r="152" spans="2:32" s="1" customFormat="1" ht="13" hidden="1" x14ac:dyDescent="0.3">
      <c r="B152" s="383">
        <v>2026</v>
      </c>
      <c r="C152" s="361" t="s">
        <v>458</v>
      </c>
      <c r="D152" s="361" t="s">
        <v>80</v>
      </c>
      <c r="E152" s="360" t="s">
        <v>88</v>
      </c>
      <c r="F152" s="360" t="s">
        <v>172</v>
      </c>
      <c r="G152" s="362"/>
      <c r="H152" s="363"/>
      <c r="I152" s="360" t="s">
        <v>148</v>
      </c>
      <c r="J152" s="364" t="str">
        <f>IFERROR(VLOOKUP(I152,Map!$F$18:$G$56,2,0),"Add in Map")</f>
        <v>3P</v>
      </c>
      <c r="K152" s="364" t="str">
        <f>VLOOKUP(L152,Map!$C$18:$D$29,2,0)</f>
        <v>DFT</v>
      </c>
      <c r="L152" s="360" t="s">
        <v>40</v>
      </c>
      <c r="M152" s="365"/>
      <c r="N152" s="366">
        <f t="shared" si="48"/>
        <v>0</v>
      </c>
      <c r="O152" s="366">
        <f t="shared" si="49"/>
        <v>0</v>
      </c>
      <c r="P152" s="367">
        <f t="shared" si="50"/>
        <v>0</v>
      </c>
      <c r="Q152" s="367">
        <f t="shared" si="51"/>
        <v>0</v>
      </c>
      <c r="R152" s="368">
        <f t="shared" si="45"/>
        <v>0</v>
      </c>
      <c r="S152" s="384">
        <f>INDEX(FX!$D$3:$O$19,MATCH(B152,FX!$B$3:$B$32,0),MATCH(D152,FX!$D$2:$O$2,0))</f>
        <v>924</v>
      </c>
      <c r="T152" s="360" t="s">
        <v>144</v>
      </c>
      <c r="U152" s="360" t="s">
        <v>155</v>
      </c>
      <c r="V152" s="360" t="s">
        <v>83</v>
      </c>
      <c r="W152" s="364" t="str">
        <f>VLOOKUP(I152,Map!$F$18:$H$51,3,0)</f>
        <v>Variable</v>
      </c>
      <c r="X152" s="370" t="s">
        <v>172</v>
      </c>
      <c r="Y152" s="364" t="str">
        <f>VLOOKUP(L152,Map!$C$18:$D$29,2,0)</f>
        <v>DFT</v>
      </c>
      <c r="Z152" s="365">
        <v>10049298.134326536</v>
      </c>
      <c r="AA152" s="366">
        <f t="shared" si="42"/>
        <v>0</v>
      </c>
      <c r="AB152" s="366">
        <f t="shared" si="46"/>
        <v>11958664.779848577</v>
      </c>
      <c r="AC152" s="367">
        <f t="shared" si="43"/>
        <v>10875.863781738675</v>
      </c>
      <c r="AD152" s="367">
        <f t="shared" si="44"/>
        <v>0</v>
      </c>
      <c r="AE152" s="368">
        <f t="shared" si="47"/>
        <v>12942.277900269022</v>
      </c>
      <c r="AF152" s="385"/>
    </row>
    <row r="153" spans="2:32" s="1" customFormat="1" ht="13" hidden="1" x14ac:dyDescent="0.3">
      <c r="B153" s="383">
        <v>2026</v>
      </c>
      <c r="C153" s="361" t="s">
        <v>458</v>
      </c>
      <c r="D153" s="361" t="s">
        <v>80</v>
      </c>
      <c r="E153" s="360" t="s">
        <v>88</v>
      </c>
      <c r="F153" s="360" t="s">
        <v>172</v>
      </c>
      <c r="G153" s="362"/>
      <c r="H153" s="363"/>
      <c r="I153" s="360" t="s">
        <v>148</v>
      </c>
      <c r="J153" s="364" t="str">
        <f>IFERROR(VLOOKUP(I153,Map!$F$18:$G$56,2,0),"Add in Map")</f>
        <v>3P</v>
      </c>
      <c r="K153" s="364" t="str">
        <f>VLOOKUP(L153,Map!$C$18:$D$29,2,0)</f>
        <v>DVT</v>
      </c>
      <c r="L153" s="360" t="s">
        <v>42</v>
      </c>
      <c r="M153" s="365"/>
      <c r="N153" s="366">
        <f t="shared" si="48"/>
        <v>0</v>
      </c>
      <c r="O153" s="366">
        <f t="shared" si="49"/>
        <v>0</v>
      </c>
      <c r="P153" s="367">
        <f t="shared" si="50"/>
        <v>0</v>
      </c>
      <c r="Q153" s="367">
        <f t="shared" si="51"/>
        <v>0</v>
      </c>
      <c r="R153" s="368">
        <f t="shared" si="45"/>
        <v>0</v>
      </c>
      <c r="S153" s="384">
        <f>INDEX(FX!$D$3:$O$19,MATCH(B153,FX!$B$3:$B$32,0),MATCH(D153,FX!$D$2:$O$2,0))</f>
        <v>924</v>
      </c>
      <c r="T153" s="360" t="s">
        <v>144</v>
      </c>
      <c r="U153" s="360" t="s">
        <v>155</v>
      </c>
      <c r="V153" s="360" t="s">
        <v>83</v>
      </c>
      <c r="W153" s="364" t="str">
        <f>VLOOKUP(I153,Map!$F$18:$H$51,3,0)</f>
        <v>Variable</v>
      </c>
      <c r="X153" s="370" t="s">
        <v>172</v>
      </c>
      <c r="Y153" s="364" t="str">
        <f>VLOOKUP(L153,Map!$C$18:$D$29,2,0)</f>
        <v>DVT</v>
      </c>
      <c r="Z153" s="365">
        <v>0</v>
      </c>
      <c r="AA153" s="366">
        <f t="shared" si="42"/>
        <v>0</v>
      </c>
      <c r="AB153" s="366">
        <f t="shared" si="46"/>
        <v>0</v>
      </c>
      <c r="AC153" s="367">
        <f t="shared" si="43"/>
        <v>0</v>
      </c>
      <c r="AD153" s="367">
        <f t="shared" si="44"/>
        <v>0</v>
      </c>
      <c r="AE153" s="368">
        <f t="shared" si="47"/>
        <v>0</v>
      </c>
      <c r="AF153" s="385"/>
    </row>
    <row r="154" spans="2:32" s="1" customFormat="1" ht="13" hidden="1" x14ac:dyDescent="0.3">
      <c r="B154" s="383">
        <v>2026</v>
      </c>
      <c r="C154" s="361" t="s">
        <v>458</v>
      </c>
      <c r="D154" s="361" t="s">
        <v>80</v>
      </c>
      <c r="E154" s="360" t="s">
        <v>88</v>
      </c>
      <c r="F154" s="360" t="s">
        <v>172</v>
      </c>
      <c r="G154" s="362"/>
      <c r="H154" s="363"/>
      <c r="I154" s="360" t="s">
        <v>148</v>
      </c>
      <c r="J154" s="364" t="str">
        <f>IFERROR(VLOOKUP(I154,Map!$F$18:$G$56,2,0),"Add in Map")</f>
        <v>3P</v>
      </c>
      <c r="K154" s="364" t="str">
        <f>VLOOKUP(L154,Map!$C$18:$D$29,2,0)</f>
        <v>GLT</v>
      </c>
      <c r="L154" s="360" t="s">
        <v>44</v>
      </c>
      <c r="M154" s="365"/>
      <c r="N154" s="366">
        <f t="shared" si="48"/>
        <v>0</v>
      </c>
      <c r="O154" s="366">
        <f t="shared" si="49"/>
        <v>0</v>
      </c>
      <c r="P154" s="367">
        <f t="shared" si="50"/>
        <v>0</v>
      </c>
      <c r="Q154" s="367">
        <f t="shared" si="51"/>
        <v>0</v>
      </c>
      <c r="R154" s="368">
        <f t="shared" si="45"/>
        <v>0</v>
      </c>
      <c r="S154" s="384">
        <f>INDEX(FX!$D$3:$O$19,MATCH(B154,FX!$B$3:$B$32,0),MATCH(D154,FX!$D$2:$O$2,0))</f>
        <v>924</v>
      </c>
      <c r="T154" s="360" t="s">
        <v>144</v>
      </c>
      <c r="U154" s="360" t="s">
        <v>155</v>
      </c>
      <c r="V154" s="360" t="s">
        <v>83</v>
      </c>
      <c r="W154" s="364" t="str">
        <f>VLOOKUP(I154,Map!$F$18:$H$51,3,0)</f>
        <v>Variable</v>
      </c>
      <c r="X154" s="370" t="s">
        <v>172</v>
      </c>
      <c r="Y154" s="364" t="str">
        <f>VLOOKUP(L154,Map!$C$18:$D$29,2,0)</f>
        <v>GLT</v>
      </c>
      <c r="Z154" s="365">
        <v>2191602.2526988722</v>
      </c>
      <c r="AA154" s="366">
        <f t="shared" si="42"/>
        <v>0</v>
      </c>
      <c r="AB154" s="366">
        <f t="shared" si="46"/>
        <v>2608006.6807116577</v>
      </c>
      <c r="AC154" s="367">
        <f t="shared" si="43"/>
        <v>2371.8639098472645</v>
      </c>
      <c r="AD154" s="367">
        <f t="shared" si="44"/>
        <v>0</v>
      </c>
      <c r="AE154" s="368">
        <f t="shared" si="47"/>
        <v>2822.5180527182447</v>
      </c>
      <c r="AF154" s="385"/>
    </row>
    <row r="155" spans="2:32" s="1" customFormat="1" ht="13" hidden="1" x14ac:dyDescent="0.3">
      <c r="B155" s="383">
        <v>2026</v>
      </c>
      <c r="C155" s="361" t="s">
        <v>458</v>
      </c>
      <c r="D155" s="361" t="s">
        <v>80</v>
      </c>
      <c r="E155" s="360" t="s">
        <v>88</v>
      </c>
      <c r="F155" s="360" t="s">
        <v>172</v>
      </c>
      <c r="G155" s="362"/>
      <c r="H155" s="363"/>
      <c r="I155" s="360" t="s">
        <v>148</v>
      </c>
      <c r="J155" s="364" t="str">
        <f>IFERROR(VLOOKUP(I155,Map!$F$18:$G$56,2,0),"Add in Map")</f>
        <v>3P</v>
      </c>
      <c r="K155" s="364" t="str">
        <f>VLOOKUP(L155,Map!$C$18:$D$29,2,0)</f>
        <v>PNT</v>
      </c>
      <c r="L155" s="360" t="s">
        <v>46</v>
      </c>
      <c r="M155" s="365"/>
      <c r="N155" s="366">
        <f t="shared" si="48"/>
        <v>0</v>
      </c>
      <c r="O155" s="366">
        <f t="shared" si="49"/>
        <v>0</v>
      </c>
      <c r="P155" s="367">
        <f t="shared" si="50"/>
        <v>0</v>
      </c>
      <c r="Q155" s="367">
        <f t="shared" si="51"/>
        <v>0</v>
      </c>
      <c r="R155" s="368">
        <f t="shared" si="45"/>
        <v>0</v>
      </c>
      <c r="S155" s="384">
        <f>INDEX(FX!$D$3:$O$19,MATCH(B155,FX!$B$3:$B$32,0),MATCH(D155,FX!$D$2:$O$2,0))</f>
        <v>924</v>
      </c>
      <c r="T155" s="360" t="s">
        <v>144</v>
      </c>
      <c r="U155" s="360" t="s">
        <v>155</v>
      </c>
      <c r="V155" s="360" t="s">
        <v>83</v>
      </c>
      <c r="W155" s="364" t="str">
        <f>VLOOKUP(I155,Map!$F$18:$H$51,3,0)</f>
        <v>Variable</v>
      </c>
      <c r="X155" s="370" t="s">
        <v>172</v>
      </c>
      <c r="Y155" s="364" t="str">
        <f>VLOOKUP(L155,Map!$C$18:$D$29,2,0)</f>
        <v>PNT</v>
      </c>
      <c r="Z155" s="365">
        <v>374175.99436322215</v>
      </c>
      <c r="AA155" s="366">
        <f t="shared" si="42"/>
        <v>0</v>
      </c>
      <c r="AB155" s="366">
        <f t="shared" si="46"/>
        <v>445269.43329223432</v>
      </c>
      <c r="AC155" s="367">
        <f t="shared" si="43"/>
        <v>404.95237485197202</v>
      </c>
      <c r="AD155" s="367">
        <f t="shared" si="44"/>
        <v>0</v>
      </c>
      <c r="AE155" s="368">
        <f t="shared" si="47"/>
        <v>481.89332607384671</v>
      </c>
      <c r="AF155" s="385"/>
    </row>
    <row r="156" spans="2:32" s="1" customFormat="1" ht="13" hidden="1" x14ac:dyDescent="0.3">
      <c r="B156" s="383">
        <v>2026</v>
      </c>
      <c r="C156" s="361" t="s">
        <v>458</v>
      </c>
      <c r="D156" s="361" t="s">
        <v>80</v>
      </c>
      <c r="E156" s="360" t="s">
        <v>88</v>
      </c>
      <c r="F156" s="360" t="s">
        <v>172</v>
      </c>
      <c r="G156" s="362"/>
      <c r="H156" s="363"/>
      <c r="I156" s="360" t="s">
        <v>148</v>
      </c>
      <c r="J156" s="364" t="str">
        <f>IFERROR(VLOOKUP(I156,Map!$F$18:$G$56,2,0),"Add in Map")</f>
        <v>3P</v>
      </c>
      <c r="K156" s="364" t="str">
        <f>VLOOKUP(L156,Map!$C$18:$D$29,2,0)</f>
        <v>GTT</v>
      </c>
      <c r="L156" s="360" t="s">
        <v>48</v>
      </c>
      <c r="M156" s="365"/>
      <c r="N156" s="366">
        <f t="shared" si="48"/>
        <v>0</v>
      </c>
      <c r="O156" s="366">
        <f t="shared" si="49"/>
        <v>0</v>
      </c>
      <c r="P156" s="367">
        <f t="shared" si="50"/>
        <v>0</v>
      </c>
      <c r="Q156" s="367">
        <f t="shared" si="51"/>
        <v>0</v>
      </c>
      <c r="R156" s="368">
        <f t="shared" si="45"/>
        <v>0</v>
      </c>
      <c r="S156" s="384">
        <f>INDEX(FX!$D$3:$O$19,MATCH(B156,FX!$B$3:$B$32,0),MATCH(D156,FX!$D$2:$O$2,0))</f>
        <v>924</v>
      </c>
      <c r="T156" s="360" t="s">
        <v>144</v>
      </c>
      <c r="U156" s="360" t="s">
        <v>155</v>
      </c>
      <c r="V156" s="360" t="s">
        <v>83</v>
      </c>
      <c r="W156" s="364" t="str">
        <f>VLOOKUP(I156,Map!$F$18:$H$51,3,0)</f>
        <v>Variable</v>
      </c>
      <c r="X156" s="370" t="s">
        <v>172</v>
      </c>
      <c r="Y156" s="364" t="str">
        <f>VLOOKUP(L156,Map!$C$18:$D$29,2,0)</f>
        <v>GTT</v>
      </c>
      <c r="Z156" s="365">
        <v>213814.85392184122</v>
      </c>
      <c r="AA156" s="366">
        <f t="shared" si="42"/>
        <v>0</v>
      </c>
      <c r="AB156" s="366">
        <f t="shared" si="46"/>
        <v>254439.67616699103</v>
      </c>
      <c r="AC156" s="367">
        <f t="shared" si="43"/>
        <v>231.40135705826972</v>
      </c>
      <c r="AD156" s="367">
        <f t="shared" si="44"/>
        <v>0</v>
      </c>
      <c r="AE156" s="368">
        <f t="shared" si="47"/>
        <v>275.36761489934094</v>
      </c>
      <c r="AF156" s="385"/>
    </row>
    <row r="157" spans="2:32" s="1" customFormat="1" ht="13" hidden="1" x14ac:dyDescent="0.3">
      <c r="B157" s="383">
        <v>2026</v>
      </c>
      <c r="C157" s="361" t="s">
        <v>458</v>
      </c>
      <c r="D157" s="361" t="s">
        <v>80</v>
      </c>
      <c r="E157" s="360" t="s">
        <v>88</v>
      </c>
      <c r="F157" s="360" t="s">
        <v>172</v>
      </c>
      <c r="G157" s="362"/>
      <c r="H157" s="363"/>
      <c r="I157" s="360" t="s">
        <v>148</v>
      </c>
      <c r="J157" s="364" t="str">
        <f>IFERROR(VLOOKUP(I157,Map!$F$18:$G$56,2,0),"Add in Map")</f>
        <v>3P</v>
      </c>
      <c r="K157" s="364" t="str">
        <f>VLOOKUP(L157,Map!$C$18:$D$29,2,0)</f>
        <v>DGT</v>
      </c>
      <c r="L157" s="360" t="s">
        <v>50</v>
      </c>
      <c r="M157" s="365"/>
      <c r="N157" s="366">
        <f t="shared" si="48"/>
        <v>0</v>
      </c>
      <c r="O157" s="366">
        <f t="shared" si="49"/>
        <v>0</v>
      </c>
      <c r="P157" s="367">
        <f t="shared" si="50"/>
        <v>0</v>
      </c>
      <c r="Q157" s="367">
        <f t="shared" si="51"/>
        <v>0</v>
      </c>
      <c r="R157" s="368">
        <f t="shared" si="45"/>
        <v>0</v>
      </c>
      <c r="S157" s="384">
        <f>INDEX(FX!$D$3:$O$19,MATCH(B157,FX!$B$3:$B$32,0),MATCH(D157,FX!$D$2:$O$2,0))</f>
        <v>924</v>
      </c>
      <c r="T157" s="360" t="s">
        <v>144</v>
      </c>
      <c r="U157" s="360" t="s">
        <v>155</v>
      </c>
      <c r="V157" s="360" t="s">
        <v>83</v>
      </c>
      <c r="W157" s="364" t="str">
        <f>VLOOKUP(I157,Map!$F$18:$H$51,3,0)</f>
        <v>Variable</v>
      </c>
      <c r="X157" s="370" t="s">
        <v>172</v>
      </c>
      <c r="Y157" s="364" t="str">
        <f>VLOOKUP(L157,Map!$C$18:$D$29,2,0)</f>
        <v>DGT</v>
      </c>
      <c r="Z157" s="365">
        <v>160361.14044138091</v>
      </c>
      <c r="AA157" s="366">
        <f t="shared" si="42"/>
        <v>0</v>
      </c>
      <c r="AB157" s="366">
        <f t="shared" si="46"/>
        <v>190829.75712524328</v>
      </c>
      <c r="AC157" s="367">
        <f t="shared" si="43"/>
        <v>173.55101779370227</v>
      </c>
      <c r="AD157" s="367">
        <f t="shared" si="44"/>
        <v>0</v>
      </c>
      <c r="AE157" s="368">
        <f t="shared" si="47"/>
        <v>206.52571117450569</v>
      </c>
      <c r="AF157" s="385"/>
    </row>
    <row r="158" spans="2:32" s="1" customFormat="1" ht="13" hidden="1" x14ac:dyDescent="0.3">
      <c r="B158" s="383">
        <v>2026</v>
      </c>
      <c r="C158" s="361" t="s">
        <v>458</v>
      </c>
      <c r="D158" s="361" t="s">
        <v>80</v>
      </c>
      <c r="E158" s="360" t="s">
        <v>88</v>
      </c>
      <c r="F158" s="360" t="s">
        <v>172</v>
      </c>
      <c r="G158" s="362"/>
      <c r="H158" s="363"/>
      <c r="I158" s="360" t="s">
        <v>148</v>
      </c>
      <c r="J158" s="364" t="str">
        <f>IFERROR(VLOOKUP(I158,Map!$F$18:$G$56,2,0),"Add in Map")</f>
        <v>3P</v>
      </c>
      <c r="K158" s="364" t="str">
        <f>VLOOKUP(L158,Map!$C$18:$D$29,2,0)</f>
        <v>DLT</v>
      </c>
      <c r="L158" s="360" t="s">
        <v>52</v>
      </c>
      <c r="M158" s="365"/>
      <c r="N158" s="366">
        <f t="shared" si="48"/>
        <v>0</v>
      </c>
      <c r="O158" s="366">
        <f t="shared" si="49"/>
        <v>0</v>
      </c>
      <c r="P158" s="367">
        <f t="shared" si="50"/>
        <v>0</v>
      </c>
      <c r="Q158" s="367">
        <f t="shared" si="51"/>
        <v>0</v>
      </c>
      <c r="R158" s="368">
        <f t="shared" si="45"/>
        <v>0</v>
      </c>
      <c r="S158" s="384">
        <f>INDEX(FX!$D$3:$O$19,MATCH(B158,FX!$B$3:$B$32,0),MATCH(D158,FX!$D$2:$O$2,0))</f>
        <v>924</v>
      </c>
      <c r="T158" s="360" t="s">
        <v>144</v>
      </c>
      <c r="U158" s="360" t="s">
        <v>155</v>
      </c>
      <c r="V158" s="360" t="s">
        <v>83</v>
      </c>
      <c r="W158" s="364" t="str">
        <f>VLOOKUP(I158,Map!$F$18:$H$51,3,0)</f>
        <v>Variable</v>
      </c>
      <c r="X158" s="370" t="s">
        <v>172</v>
      </c>
      <c r="Y158" s="364" t="str">
        <f>VLOOKUP(L158,Map!$C$18:$D$29,2,0)</f>
        <v>DLT</v>
      </c>
      <c r="Z158" s="365">
        <v>53453.713480460305</v>
      </c>
      <c r="AA158" s="366">
        <f t="shared" si="42"/>
        <v>0</v>
      </c>
      <c r="AB158" s="366">
        <f t="shared" si="46"/>
        <v>63609.919041747758</v>
      </c>
      <c r="AC158" s="367">
        <f t="shared" si="43"/>
        <v>57.850339264567431</v>
      </c>
      <c r="AD158" s="367">
        <f t="shared" si="44"/>
        <v>0</v>
      </c>
      <c r="AE158" s="368">
        <f t="shared" si="47"/>
        <v>68.841903724835234</v>
      </c>
      <c r="AF158" s="385"/>
    </row>
    <row r="159" spans="2:32" s="1" customFormat="1" ht="13" hidden="1" x14ac:dyDescent="0.3">
      <c r="B159" s="383">
        <v>2026</v>
      </c>
      <c r="C159" s="361" t="s">
        <v>458</v>
      </c>
      <c r="D159" s="361" t="s">
        <v>80</v>
      </c>
      <c r="E159" s="360" t="s">
        <v>88</v>
      </c>
      <c r="F159" s="360" t="s">
        <v>172</v>
      </c>
      <c r="G159" s="362"/>
      <c r="H159" s="363"/>
      <c r="I159" s="360" t="s">
        <v>148</v>
      </c>
      <c r="J159" s="364" t="str">
        <f>IFERROR(VLOOKUP(I159,Map!$F$18:$G$56,2,0),"Add in Map")</f>
        <v>3P</v>
      </c>
      <c r="K159" s="364" t="str">
        <f>VLOOKUP(L159,Map!$C$18:$D$29,2,0)</f>
        <v>DMT</v>
      </c>
      <c r="L159" s="360" t="s">
        <v>54</v>
      </c>
      <c r="M159" s="365"/>
      <c r="N159" s="366">
        <f t="shared" si="48"/>
        <v>0</v>
      </c>
      <c r="O159" s="366">
        <f t="shared" si="49"/>
        <v>0</v>
      </c>
      <c r="P159" s="386">
        <f t="shared" si="50"/>
        <v>0</v>
      </c>
      <c r="Q159" s="367">
        <f t="shared" si="51"/>
        <v>0</v>
      </c>
      <c r="R159" s="368">
        <f t="shared" si="45"/>
        <v>0</v>
      </c>
      <c r="S159" s="384">
        <f>INDEX(FX!$D$3:$O$19,MATCH(B159,FX!$B$3:$B$32,0),MATCH(D159,FX!$D$2:$O$2,0))</f>
        <v>924</v>
      </c>
      <c r="T159" s="360" t="s">
        <v>144</v>
      </c>
      <c r="U159" s="360" t="s">
        <v>155</v>
      </c>
      <c r="V159" s="360" t="s">
        <v>83</v>
      </c>
      <c r="W159" s="364" t="str">
        <f>VLOOKUP(I159,Map!$F$18:$H$51,3,0)</f>
        <v>Variable</v>
      </c>
      <c r="X159" s="370" t="s">
        <v>172</v>
      </c>
      <c r="Y159" s="364" t="str">
        <f>VLOOKUP(L159,Map!$C$18:$D$29,2,0)</f>
        <v>DMT</v>
      </c>
      <c r="Z159" s="365">
        <v>0</v>
      </c>
      <c r="AA159" s="366">
        <f t="shared" si="42"/>
        <v>0</v>
      </c>
      <c r="AB159" s="366">
        <f t="shared" si="46"/>
        <v>0</v>
      </c>
      <c r="AC159" s="386">
        <f t="shared" si="43"/>
        <v>0</v>
      </c>
      <c r="AD159" s="367">
        <f t="shared" si="44"/>
        <v>0</v>
      </c>
      <c r="AE159" s="368">
        <f t="shared" si="47"/>
        <v>0</v>
      </c>
      <c r="AF159" s="385"/>
    </row>
    <row r="160" spans="2:32" s="37" customFormat="1" hidden="1" x14ac:dyDescent="0.35">
      <c r="B160" s="387">
        <v>2026</v>
      </c>
      <c r="C160" s="389" t="s">
        <v>458</v>
      </c>
      <c r="D160" s="389" t="s">
        <v>80</v>
      </c>
      <c r="E160" s="388" t="s">
        <v>88</v>
      </c>
      <c r="F160" s="388" t="s">
        <v>172</v>
      </c>
      <c r="G160" s="390"/>
      <c r="H160" s="391"/>
      <c r="I160" s="388" t="s">
        <v>148</v>
      </c>
      <c r="J160" s="392" t="str">
        <f>IFERROR(VLOOKUP(I160,Map!$F$18:$G$56,2,0),"Add in Map")</f>
        <v>3P</v>
      </c>
      <c r="K160" s="392" t="str">
        <f>VLOOKUP(L160,Map!$C$18:$D$29,2,0)</f>
        <v>TOTAL</v>
      </c>
      <c r="L160" s="388" t="s">
        <v>56</v>
      </c>
      <c r="M160" s="393">
        <f>SUM(M149:M159)</f>
        <v>0</v>
      </c>
      <c r="N160" s="393">
        <f t="shared" si="48"/>
        <v>0</v>
      </c>
      <c r="O160" s="393">
        <f t="shared" si="49"/>
        <v>0</v>
      </c>
      <c r="P160" s="394">
        <f t="shared" si="50"/>
        <v>0</v>
      </c>
      <c r="Q160" s="394">
        <f t="shared" si="51"/>
        <v>0</v>
      </c>
      <c r="R160" s="395">
        <f t="shared" si="45"/>
        <v>0</v>
      </c>
      <c r="S160" s="396">
        <f>INDEX(FX!$D$3:$O$19,MATCH(B160,FX!$B$3:$B$32,0),MATCH(D160,FX!$D$2:$O$2,0))</f>
        <v>924</v>
      </c>
      <c r="T160" s="388" t="s">
        <v>144</v>
      </c>
      <c r="U160" s="388" t="s">
        <v>155</v>
      </c>
      <c r="V160" s="388" t="s">
        <v>83</v>
      </c>
      <c r="W160" s="392" t="str">
        <f>VLOOKUP(I160,Map!$F$18:$H$51,3,0)</f>
        <v>Variable</v>
      </c>
      <c r="X160" s="397" t="s">
        <v>172</v>
      </c>
      <c r="Y160" s="392" t="str">
        <f>VLOOKUP(L160,Map!$C$18:$D$29,2,0)</f>
        <v>TOTAL</v>
      </c>
      <c r="Z160" s="393">
        <f>SUM(Z149:Z159)</f>
        <v>17265549.454188678</v>
      </c>
      <c r="AA160" s="393">
        <f t="shared" si="42"/>
        <v>3280454.3962958488</v>
      </c>
      <c r="AB160" s="393">
        <f t="shared" si="46"/>
        <v>20546003.850484528</v>
      </c>
      <c r="AC160" s="394">
        <f t="shared" si="43"/>
        <v>18685.659582455279</v>
      </c>
      <c r="AD160" s="394">
        <f t="shared" si="44"/>
        <v>3550.2753206665029</v>
      </c>
      <c r="AE160" s="395">
        <f t="shared" si="47"/>
        <v>22235.934903121779</v>
      </c>
      <c r="AF160" s="398"/>
    </row>
    <row r="161" spans="2:32" s="1" customFormat="1" ht="13" hidden="1" x14ac:dyDescent="0.3">
      <c r="B161" s="383">
        <v>2026</v>
      </c>
      <c r="C161" s="361" t="s">
        <v>404</v>
      </c>
      <c r="D161" s="361" t="s">
        <v>80</v>
      </c>
      <c r="E161" s="360" t="s">
        <v>88</v>
      </c>
      <c r="F161" s="360" t="s">
        <v>172</v>
      </c>
      <c r="G161" s="362"/>
      <c r="H161" s="363"/>
      <c r="I161" s="360" t="s">
        <v>148</v>
      </c>
      <c r="J161" s="364" t="str">
        <f>IFERROR(VLOOKUP(I161,Map!$F$18:$G$56,2,0),"Add in Map")</f>
        <v>3P</v>
      </c>
      <c r="K161" s="364" t="str">
        <f>VLOOKUP(L161,Map!$C$18:$D$29,2,0)</f>
        <v>CNT</v>
      </c>
      <c r="L161" s="360" t="s">
        <v>31</v>
      </c>
      <c r="M161" s="365"/>
      <c r="N161" s="366">
        <f t="shared" si="48"/>
        <v>0</v>
      </c>
      <c r="O161" s="366">
        <f t="shared" si="49"/>
        <v>0</v>
      </c>
      <c r="P161" s="367">
        <f t="shared" si="50"/>
        <v>0</v>
      </c>
      <c r="Q161" s="367">
        <f t="shared" si="51"/>
        <v>0</v>
      </c>
      <c r="R161" s="368">
        <f t="shared" si="45"/>
        <v>0</v>
      </c>
      <c r="S161" s="384">
        <f>INDEX(FX!$D$3:$O$19,MATCH(B161,FX!$B$3:$B$32,0),MATCH(D161,FX!$D$2:$O$2,0))</f>
        <v>924</v>
      </c>
      <c r="T161" s="360" t="s">
        <v>143</v>
      </c>
      <c r="U161" s="360" t="s">
        <v>155</v>
      </c>
      <c r="V161" s="360" t="s">
        <v>83</v>
      </c>
      <c r="W161" s="364" t="str">
        <f>VLOOKUP(I161,Map!$F$18:$H$51,3,0)</f>
        <v>Variable</v>
      </c>
      <c r="X161" s="370" t="s">
        <v>172</v>
      </c>
      <c r="Y161" s="364" t="str">
        <f>VLOOKUP(L161,Map!$C$18:$D$29,2,0)</f>
        <v>CNT</v>
      </c>
      <c r="Z161" s="365">
        <v>4054902.2436003112</v>
      </c>
      <c r="AA161" s="366">
        <f t="shared" si="42"/>
        <v>0</v>
      </c>
      <c r="AB161" s="366">
        <f t="shared" si="46"/>
        <v>4825333.6698843697</v>
      </c>
      <c r="AC161" s="367">
        <f t="shared" si="43"/>
        <v>4388.4223415587785</v>
      </c>
      <c r="AD161" s="367">
        <f t="shared" si="44"/>
        <v>0</v>
      </c>
      <c r="AE161" s="368">
        <f t="shared" si="47"/>
        <v>5222.2225864549464</v>
      </c>
      <c r="AF161" s="385"/>
    </row>
    <row r="162" spans="2:32" s="1" customFormat="1" ht="13" hidden="1" x14ac:dyDescent="0.3">
      <c r="B162" s="383">
        <v>2026</v>
      </c>
      <c r="C162" s="361" t="s">
        <v>404</v>
      </c>
      <c r="D162" s="361" t="s">
        <v>80</v>
      </c>
      <c r="E162" s="360" t="s">
        <v>88</v>
      </c>
      <c r="F162" s="360" t="s">
        <v>172</v>
      </c>
      <c r="G162" s="362"/>
      <c r="H162" s="363"/>
      <c r="I162" s="360" t="s">
        <v>148</v>
      </c>
      <c r="J162" s="364" t="str">
        <f>IFERROR(VLOOKUP(I162,Map!$F$18:$G$56,2,0),"Add in Map")</f>
        <v>3P</v>
      </c>
      <c r="K162" s="364" t="str">
        <f>VLOOKUP(L162,Map!$C$18:$D$29,2,0)</f>
        <v>CVT</v>
      </c>
      <c r="L162" s="360" t="s">
        <v>36</v>
      </c>
      <c r="M162" s="365"/>
      <c r="N162" s="366">
        <f t="shared" si="48"/>
        <v>0</v>
      </c>
      <c r="O162" s="366">
        <f t="shared" si="49"/>
        <v>0</v>
      </c>
      <c r="P162" s="367">
        <f t="shared" si="50"/>
        <v>0</v>
      </c>
      <c r="Q162" s="367">
        <f t="shared" si="51"/>
        <v>0</v>
      </c>
      <c r="R162" s="368">
        <f t="shared" si="45"/>
        <v>0</v>
      </c>
      <c r="S162" s="384">
        <f>INDEX(FX!$D$3:$O$19,MATCH(B162,FX!$B$3:$B$32,0),MATCH(D162,FX!$D$2:$O$2,0))</f>
        <v>924</v>
      </c>
      <c r="T162" s="360" t="s">
        <v>143</v>
      </c>
      <c r="U162" s="360" t="s">
        <v>155</v>
      </c>
      <c r="V162" s="360" t="s">
        <v>83</v>
      </c>
      <c r="W162" s="364" t="str">
        <f>VLOOKUP(I162,Map!$F$18:$H$51,3,0)</f>
        <v>Variable</v>
      </c>
      <c r="X162" s="370" t="s">
        <v>172</v>
      </c>
      <c r="Y162" s="364" t="str">
        <f>VLOOKUP(L162,Map!$C$18:$D$29,2,0)</f>
        <v>CVT</v>
      </c>
      <c r="Z162" s="365">
        <v>0</v>
      </c>
      <c r="AA162" s="366">
        <f t="shared" si="42"/>
        <v>0</v>
      </c>
      <c r="AB162" s="366">
        <f t="shared" si="46"/>
        <v>0</v>
      </c>
      <c r="AC162" s="367">
        <f t="shared" si="43"/>
        <v>0</v>
      </c>
      <c r="AD162" s="367">
        <f t="shared" si="44"/>
        <v>0</v>
      </c>
      <c r="AE162" s="368">
        <f t="shared" si="47"/>
        <v>0</v>
      </c>
      <c r="AF162" s="385"/>
    </row>
    <row r="163" spans="2:32" s="1" customFormat="1" ht="13" hidden="1" x14ac:dyDescent="0.3">
      <c r="B163" s="383">
        <v>2026</v>
      </c>
      <c r="C163" s="361" t="s">
        <v>404</v>
      </c>
      <c r="D163" s="361" t="s">
        <v>80</v>
      </c>
      <c r="E163" s="360" t="s">
        <v>88</v>
      </c>
      <c r="F163" s="360" t="s">
        <v>172</v>
      </c>
      <c r="G163" s="362"/>
      <c r="H163" s="363"/>
      <c r="I163" s="360" t="s">
        <v>148</v>
      </c>
      <c r="J163" s="364" t="str">
        <f>IFERROR(VLOOKUP(I163,Map!$F$18:$G$56,2,0),"Add in Map")</f>
        <v>3P</v>
      </c>
      <c r="K163" s="364" t="str">
        <f>VLOOKUP(L163,Map!$C$18:$D$29,2,0)</f>
        <v>CDT</v>
      </c>
      <c r="L163" s="360" t="s">
        <v>38</v>
      </c>
      <c r="M163" s="365"/>
      <c r="N163" s="366">
        <f t="shared" si="48"/>
        <v>0</v>
      </c>
      <c r="O163" s="366">
        <f t="shared" si="49"/>
        <v>0</v>
      </c>
      <c r="P163" s="367">
        <f t="shared" si="50"/>
        <v>0</v>
      </c>
      <c r="Q163" s="367">
        <f t="shared" si="51"/>
        <v>0</v>
      </c>
      <c r="R163" s="368">
        <f t="shared" si="45"/>
        <v>0</v>
      </c>
      <c r="S163" s="384">
        <f>INDEX(FX!$D$3:$O$19,MATCH(B163,FX!$B$3:$B$32,0),MATCH(D163,FX!$D$2:$O$2,0))</f>
        <v>924</v>
      </c>
      <c r="T163" s="360" t="s">
        <v>143</v>
      </c>
      <c r="U163" s="360" t="s">
        <v>155</v>
      </c>
      <c r="V163" s="360" t="s">
        <v>83</v>
      </c>
      <c r="W163" s="364" t="str">
        <f>VLOOKUP(I163,Map!$F$18:$H$51,3,0)</f>
        <v>Variable</v>
      </c>
      <c r="X163" s="370" t="s">
        <v>172</v>
      </c>
      <c r="Y163" s="364" t="str">
        <f>VLOOKUP(L163,Map!$C$18:$D$29,2,0)</f>
        <v>CDT</v>
      </c>
      <c r="Z163" s="365">
        <v>51985.926200003989</v>
      </c>
      <c r="AA163" s="366">
        <f t="shared" si="42"/>
        <v>0</v>
      </c>
      <c r="AB163" s="366">
        <f t="shared" si="46"/>
        <v>61863.252178004746</v>
      </c>
      <c r="AC163" s="367">
        <f t="shared" si="43"/>
        <v>56.261824891779206</v>
      </c>
      <c r="AD163" s="367">
        <f t="shared" si="44"/>
        <v>0</v>
      </c>
      <c r="AE163" s="368">
        <f t="shared" si="47"/>
        <v>66.951571621217255</v>
      </c>
      <c r="AF163" s="385"/>
    </row>
    <row r="164" spans="2:32" s="1" customFormat="1" ht="13" hidden="1" x14ac:dyDescent="0.3">
      <c r="B164" s="383">
        <v>2026</v>
      </c>
      <c r="C164" s="361" t="s">
        <v>404</v>
      </c>
      <c r="D164" s="361" t="s">
        <v>80</v>
      </c>
      <c r="E164" s="360" t="s">
        <v>88</v>
      </c>
      <c r="F164" s="360" t="s">
        <v>172</v>
      </c>
      <c r="G164" s="362"/>
      <c r="H164" s="363"/>
      <c r="I164" s="360" t="s">
        <v>148</v>
      </c>
      <c r="J164" s="364" t="str">
        <f>IFERROR(VLOOKUP(I164,Map!$F$18:$G$56,2,0),"Add in Map")</f>
        <v>3P</v>
      </c>
      <c r="K164" s="364" t="str">
        <f>VLOOKUP(L164,Map!$C$18:$D$29,2,0)</f>
        <v>DFT</v>
      </c>
      <c r="L164" s="360" t="s">
        <v>40</v>
      </c>
      <c r="M164" s="365"/>
      <c r="N164" s="366">
        <f t="shared" si="48"/>
        <v>0</v>
      </c>
      <c r="O164" s="366">
        <f t="shared" si="49"/>
        <v>0</v>
      </c>
      <c r="P164" s="367">
        <f t="shared" si="50"/>
        <v>0</v>
      </c>
      <c r="Q164" s="367">
        <f t="shared" si="51"/>
        <v>0</v>
      </c>
      <c r="R164" s="368">
        <f t="shared" si="45"/>
        <v>0</v>
      </c>
      <c r="S164" s="384">
        <f>INDEX(FX!$D$3:$O$19,MATCH(B164,FX!$B$3:$B$32,0),MATCH(D164,FX!$D$2:$O$2,0))</f>
        <v>924</v>
      </c>
      <c r="T164" s="360" t="s">
        <v>143</v>
      </c>
      <c r="U164" s="360" t="s">
        <v>155</v>
      </c>
      <c r="V164" s="360" t="s">
        <v>83</v>
      </c>
      <c r="W164" s="364" t="str">
        <f>VLOOKUP(I164,Map!$F$18:$H$51,3,0)</f>
        <v>Variable</v>
      </c>
      <c r="X164" s="370" t="s">
        <v>172</v>
      </c>
      <c r="Y164" s="364" t="str">
        <f>VLOOKUP(L164,Map!$C$18:$D$29,2,0)</f>
        <v>DFT</v>
      </c>
      <c r="Z164" s="365">
        <v>9773354.1256007496</v>
      </c>
      <c r="AA164" s="366">
        <f t="shared" si="42"/>
        <v>0</v>
      </c>
      <c r="AB164" s="366">
        <f t="shared" si="46"/>
        <v>11630291.409464892</v>
      </c>
      <c r="AC164" s="367">
        <f t="shared" si="43"/>
        <v>10577.223079654492</v>
      </c>
      <c r="AD164" s="367">
        <f t="shared" si="44"/>
        <v>0</v>
      </c>
      <c r="AE164" s="368">
        <f t="shared" si="47"/>
        <v>12586.895464788844</v>
      </c>
      <c r="AF164" s="385"/>
    </row>
    <row r="165" spans="2:32" s="1" customFormat="1" ht="13" hidden="1" x14ac:dyDescent="0.3">
      <c r="B165" s="383">
        <v>2026</v>
      </c>
      <c r="C165" s="361" t="s">
        <v>404</v>
      </c>
      <c r="D165" s="361" t="s">
        <v>80</v>
      </c>
      <c r="E165" s="360" t="s">
        <v>88</v>
      </c>
      <c r="F165" s="360" t="s">
        <v>172</v>
      </c>
      <c r="G165" s="362"/>
      <c r="H165" s="363"/>
      <c r="I165" s="360" t="s">
        <v>148</v>
      </c>
      <c r="J165" s="364" t="str">
        <f>IFERROR(VLOOKUP(I165,Map!$F$18:$G$56,2,0),"Add in Map")</f>
        <v>3P</v>
      </c>
      <c r="K165" s="364" t="str">
        <f>VLOOKUP(L165,Map!$C$18:$D$29,2,0)</f>
        <v>DVT</v>
      </c>
      <c r="L165" s="360" t="s">
        <v>42</v>
      </c>
      <c r="M165" s="365"/>
      <c r="N165" s="366">
        <f t="shared" si="48"/>
        <v>0</v>
      </c>
      <c r="O165" s="366">
        <f t="shared" si="49"/>
        <v>0</v>
      </c>
      <c r="P165" s="367">
        <f t="shared" si="50"/>
        <v>0</v>
      </c>
      <c r="Q165" s="367">
        <f t="shared" si="51"/>
        <v>0</v>
      </c>
      <c r="R165" s="368">
        <f t="shared" si="45"/>
        <v>0</v>
      </c>
      <c r="S165" s="384">
        <f>INDEX(FX!$D$3:$O$19,MATCH(B165,FX!$B$3:$B$32,0),MATCH(D165,FX!$D$2:$O$2,0))</f>
        <v>924</v>
      </c>
      <c r="T165" s="360" t="s">
        <v>143</v>
      </c>
      <c r="U165" s="360" t="s">
        <v>155</v>
      </c>
      <c r="V165" s="360" t="s">
        <v>83</v>
      </c>
      <c r="W165" s="364" t="str">
        <f>VLOOKUP(I165,Map!$F$18:$H$51,3,0)</f>
        <v>Variable</v>
      </c>
      <c r="X165" s="370" t="s">
        <v>172</v>
      </c>
      <c r="Y165" s="364" t="str">
        <f>VLOOKUP(L165,Map!$C$18:$D$29,2,0)</f>
        <v>DVT</v>
      </c>
      <c r="Z165" s="365">
        <v>0</v>
      </c>
      <c r="AA165" s="366">
        <f t="shared" si="42"/>
        <v>0</v>
      </c>
      <c r="AB165" s="366">
        <f t="shared" si="46"/>
        <v>0</v>
      </c>
      <c r="AC165" s="367">
        <f t="shared" si="43"/>
        <v>0</v>
      </c>
      <c r="AD165" s="367">
        <f t="shared" si="44"/>
        <v>0</v>
      </c>
      <c r="AE165" s="368">
        <f t="shared" si="47"/>
        <v>0</v>
      </c>
      <c r="AF165" s="385"/>
    </row>
    <row r="166" spans="2:32" s="1" customFormat="1" ht="13" hidden="1" x14ac:dyDescent="0.3">
      <c r="B166" s="383">
        <v>2026</v>
      </c>
      <c r="C166" s="361" t="s">
        <v>404</v>
      </c>
      <c r="D166" s="361" t="s">
        <v>80</v>
      </c>
      <c r="E166" s="360" t="s">
        <v>88</v>
      </c>
      <c r="F166" s="360" t="s">
        <v>172</v>
      </c>
      <c r="G166" s="362"/>
      <c r="H166" s="363"/>
      <c r="I166" s="360" t="s">
        <v>148</v>
      </c>
      <c r="J166" s="364" t="str">
        <f>IFERROR(VLOOKUP(I166,Map!$F$18:$G$56,2,0),"Add in Map")</f>
        <v>3P</v>
      </c>
      <c r="K166" s="364" t="str">
        <f>VLOOKUP(L166,Map!$C$18:$D$29,2,0)</f>
        <v>GLT</v>
      </c>
      <c r="L166" s="360" t="s">
        <v>44</v>
      </c>
      <c r="M166" s="365"/>
      <c r="N166" s="366">
        <f t="shared" si="48"/>
        <v>0</v>
      </c>
      <c r="O166" s="366">
        <f t="shared" si="49"/>
        <v>0</v>
      </c>
      <c r="P166" s="367">
        <f t="shared" si="50"/>
        <v>0</v>
      </c>
      <c r="Q166" s="367">
        <f t="shared" si="51"/>
        <v>0</v>
      </c>
      <c r="R166" s="368">
        <f t="shared" si="45"/>
        <v>0</v>
      </c>
      <c r="S166" s="384">
        <f>INDEX(FX!$D$3:$O$19,MATCH(B166,FX!$B$3:$B$32,0),MATCH(D166,FX!$D$2:$O$2,0))</f>
        <v>924</v>
      </c>
      <c r="T166" s="360" t="s">
        <v>143</v>
      </c>
      <c r="U166" s="360" t="s">
        <v>155</v>
      </c>
      <c r="V166" s="360" t="s">
        <v>83</v>
      </c>
      <c r="W166" s="364" t="str">
        <f>VLOOKUP(I166,Map!$F$18:$H$51,3,0)</f>
        <v>Variable</v>
      </c>
      <c r="X166" s="370" t="s">
        <v>172</v>
      </c>
      <c r="Y166" s="364" t="str">
        <f>VLOOKUP(L166,Map!$C$18:$D$29,2,0)</f>
        <v>GLT</v>
      </c>
      <c r="Z166" s="365">
        <v>2131422.9742001635</v>
      </c>
      <c r="AA166" s="366">
        <f t="shared" si="42"/>
        <v>0</v>
      </c>
      <c r="AB166" s="366">
        <f t="shared" si="46"/>
        <v>2536393.3392981943</v>
      </c>
      <c r="AC166" s="367">
        <f t="shared" si="43"/>
        <v>2306.7348205629473</v>
      </c>
      <c r="AD166" s="367">
        <f t="shared" si="44"/>
        <v>0</v>
      </c>
      <c r="AE166" s="368">
        <f t="shared" si="47"/>
        <v>2745.0144364699072</v>
      </c>
      <c r="AF166" s="385"/>
    </row>
    <row r="167" spans="2:32" s="1" customFormat="1" ht="13" hidden="1" x14ac:dyDescent="0.3">
      <c r="B167" s="383">
        <v>2026</v>
      </c>
      <c r="C167" s="361" t="s">
        <v>404</v>
      </c>
      <c r="D167" s="361" t="s">
        <v>80</v>
      </c>
      <c r="E167" s="360" t="s">
        <v>88</v>
      </c>
      <c r="F167" s="360" t="s">
        <v>172</v>
      </c>
      <c r="G167" s="362"/>
      <c r="H167" s="363"/>
      <c r="I167" s="360" t="s">
        <v>148</v>
      </c>
      <c r="J167" s="364" t="str">
        <f>IFERROR(VLOOKUP(I167,Map!$F$18:$G$56,2,0),"Add in Map")</f>
        <v>3P</v>
      </c>
      <c r="K167" s="364" t="str">
        <f>VLOOKUP(L167,Map!$C$18:$D$29,2,0)</f>
        <v>PNT</v>
      </c>
      <c r="L167" s="360" t="s">
        <v>46</v>
      </c>
      <c r="M167" s="365"/>
      <c r="N167" s="366">
        <f t="shared" si="48"/>
        <v>0</v>
      </c>
      <c r="O167" s="366">
        <f t="shared" si="49"/>
        <v>0</v>
      </c>
      <c r="P167" s="367">
        <f t="shared" si="50"/>
        <v>0</v>
      </c>
      <c r="Q167" s="367">
        <f t="shared" si="51"/>
        <v>0</v>
      </c>
      <c r="R167" s="368">
        <f t="shared" si="45"/>
        <v>0</v>
      </c>
      <c r="S167" s="384">
        <f>INDEX(FX!$D$3:$O$19,MATCH(B167,FX!$B$3:$B$32,0),MATCH(D167,FX!$D$2:$O$2,0))</f>
        <v>924</v>
      </c>
      <c r="T167" s="360" t="s">
        <v>143</v>
      </c>
      <c r="U167" s="360" t="s">
        <v>155</v>
      </c>
      <c r="V167" s="360" t="s">
        <v>83</v>
      </c>
      <c r="W167" s="364" t="str">
        <f>VLOOKUP(I167,Map!$F$18:$H$51,3,0)</f>
        <v>Variable</v>
      </c>
      <c r="X167" s="370" t="s">
        <v>172</v>
      </c>
      <c r="Y167" s="364" t="str">
        <f>VLOOKUP(L167,Map!$C$18:$D$29,2,0)</f>
        <v>PNT</v>
      </c>
      <c r="Z167" s="365">
        <v>363901.48340002791</v>
      </c>
      <c r="AA167" s="366">
        <f t="shared" si="42"/>
        <v>0</v>
      </c>
      <c r="AB167" s="366">
        <f t="shared" si="46"/>
        <v>433042.7652460332</v>
      </c>
      <c r="AC167" s="367">
        <f t="shared" si="43"/>
        <v>393.83277424245443</v>
      </c>
      <c r="AD167" s="367">
        <f t="shared" si="44"/>
        <v>0</v>
      </c>
      <c r="AE167" s="368">
        <f t="shared" si="47"/>
        <v>468.66100134852076</v>
      </c>
      <c r="AF167" s="385"/>
    </row>
    <row r="168" spans="2:32" s="1" customFormat="1" ht="13" hidden="1" x14ac:dyDescent="0.3">
      <c r="B168" s="383">
        <v>2026</v>
      </c>
      <c r="C168" s="361" t="s">
        <v>404</v>
      </c>
      <c r="D168" s="361" t="s">
        <v>80</v>
      </c>
      <c r="E168" s="360" t="s">
        <v>88</v>
      </c>
      <c r="F168" s="360" t="s">
        <v>172</v>
      </c>
      <c r="G168" s="362"/>
      <c r="H168" s="363"/>
      <c r="I168" s="360" t="s">
        <v>148</v>
      </c>
      <c r="J168" s="364" t="str">
        <f>IFERROR(VLOOKUP(I168,Map!$F$18:$G$56,2,0),"Add in Map")</f>
        <v>3P</v>
      </c>
      <c r="K168" s="364" t="str">
        <f>VLOOKUP(L168,Map!$C$18:$D$29,2,0)</f>
        <v>GTT</v>
      </c>
      <c r="L168" s="360" t="s">
        <v>48</v>
      </c>
      <c r="M168" s="365"/>
      <c r="N168" s="366">
        <f t="shared" si="48"/>
        <v>0</v>
      </c>
      <c r="O168" s="366">
        <f t="shared" si="49"/>
        <v>0</v>
      </c>
      <c r="P168" s="367">
        <f t="shared" si="50"/>
        <v>0</v>
      </c>
      <c r="Q168" s="367">
        <f t="shared" si="51"/>
        <v>0</v>
      </c>
      <c r="R168" s="368">
        <f t="shared" si="45"/>
        <v>0</v>
      </c>
      <c r="S168" s="384">
        <f>INDEX(FX!$D$3:$O$19,MATCH(B168,FX!$B$3:$B$32,0),MATCH(D168,FX!$D$2:$O$2,0))</f>
        <v>924</v>
      </c>
      <c r="T168" s="360" t="s">
        <v>143</v>
      </c>
      <c r="U168" s="360" t="s">
        <v>155</v>
      </c>
      <c r="V168" s="360" t="s">
        <v>83</v>
      </c>
      <c r="W168" s="364" t="str">
        <f>VLOOKUP(I168,Map!$F$18:$H$51,3,0)</f>
        <v>Variable</v>
      </c>
      <c r="X168" s="370" t="s">
        <v>172</v>
      </c>
      <c r="Y168" s="364" t="str">
        <f>VLOOKUP(L168,Map!$C$18:$D$29,2,0)</f>
        <v>GTT</v>
      </c>
      <c r="Z168" s="365">
        <v>207943.70480001596</v>
      </c>
      <c r="AA168" s="366">
        <f t="shared" si="42"/>
        <v>0</v>
      </c>
      <c r="AB168" s="366">
        <f t="shared" si="46"/>
        <v>247453.00871201899</v>
      </c>
      <c r="AC168" s="367">
        <f t="shared" si="43"/>
        <v>225.04729956711682</v>
      </c>
      <c r="AD168" s="367">
        <f t="shared" si="44"/>
        <v>0</v>
      </c>
      <c r="AE168" s="368">
        <f t="shared" si="47"/>
        <v>267.80628648486902</v>
      </c>
      <c r="AF168" s="385"/>
    </row>
    <row r="169" spans="2:32" s="1" customFormat="1" ht="13" hidden="1" x14ac:dyDescent="0.3">
      <c r="B169" s="383">
        <v>2026</v>
      </c>
      <c r="C169" s="361" t="s">
        <v>404</v>
      </c>
      <c r="D169" s="361" t="s">
        <v>80</v>
      </c>
      <c r="E169" s="360" t="s">
        <v>88</v>
      </c>
      <c r="F169" s="360" t="s">
        <v>172</v>
      </c>
      <c r="G169" s="362"/>
      <c r="H169" s="363"/>
      <c r="I169" s="360" t="s">
        <v>148</v>
      </c>
      <c r="J169" s="364" t="str">
        <f>IFERROR(VLOOKUP(I169,Map!$F$18:$G$56,2,0),"Add in Map")</f>
        <v>3P</v>
      </c>
      <c r="K169" s="364" t="str">
        <f>VLOOKUP(L169,Map!$C$18:$D$29,2,0)</f>
        <v>DGT</v>
      </c>
      <c r="L169" s="360" t="s">
        <v>50</v>
      </c>
      <c r="M169" s="365"/>
      <c r="N169" s="366">
        <f t="shared" si="48"/>
        <v>0</v>
      </c>
      <c r="O169" s="366">
        <f t="shared" si="49"/>
        <v>0</v>
      </c>
      <c r="P169" s="367">
        <f t="shared" si="50"/>
        <v>0</v>
      </c>
      <c r="Q169" s="367">
        <f t="shared" si="51"/>
        <v>0</v>
      </c>
      <c r="R169" s="368">
        <f t="shared" si="45"/>
        <v>0</v>
      </c>
      <c r="S169" s="384">
        <f>INDEX(FX!$D$3:$O$19,MATCH(B169,FX!$B$3:$B$32,0),MATCH(D169,FX!$D$2:$O$2,0))</f>
        <v>924</v>
      </c>
      <c r="T169" s="360" t="s">
        <v>143</v>
      </c>
      <c r="U169" s="360" t="s">
        <v>155</v>
      </c>
      <c r="V169" s="360" t="s">
        <v>83</v>
      </c>
      <c r="W169" s="364" t="str">
        <f>VLOOKUP(I169,Map!$F$18:$H$51,3,0)</f>
        <v>Variable</v>
      </c>
      <c r="X169" s="370" t="s">
        <v>172</v>
      </c>
      <c r="Y169" s="364" t="str">
        <f>VLOOKUP(L169,Map!$C$18:$D$29,2,0)</f>
        <v>DGT</v>
      </c>
      <c r="Z169" s="365">
        <v>155957.77860001195</v>
      </c>
      <c r="AA169" s="366">
        <f t="shared" si="42"/>
        <v>0</v>
      </c>
      <c r="AB169" s="366">
        <f t="shared" si="46"/>
        <v>185589.75653401422</v>
      </c>
      <c r="AC169" s="367">
        <f t="shared" si="43"/>
        <v>168.78547467533761</v>
      </c>
      <c r="AD169" s="367">
        <f t="shared" si="44"/>
        <v>0</v>
      </c>
      <c r="AE169" s="368">
        <f t="shared" si="47"/>
        <v>200.85471486365174</v>
      </c>
      <c r="AF169" s="385"/>
    </row>
    <row r="170" spans="2:32" s="1" customFormat="1" ht="13" hidden="1" x14ac:dyDescent="0.3">
      <c r="B170" s="383">
        <v>2026</v>
      </c>
      <c r="C170" s="361" t="s">
        <v>404</v>
      </c>
      <c r="D170" s="361" t="s">
        <v>80</v>
      </c>
      <c r="E170" s="360" t="s">
        <v>88</v>
      </c>
      <c r="F170" s="360" t="s">
        <v>172</v>
      </c>
      <c r="G170" s="362"/>
      <c r="H170" s="363"/>
      <c r="I170" s="360" t="s">
        <v>148</v>
      </c>
      <c r="J170" s="364" t="str">
        <f>IFERROR(VLOOKUP(I170,Map!$F$18:$G$56,2,0),"Add in Map")</f>
        <v>3P</v>
      </c>
      <c r="K170" s="364" t="str">
        <f>VLOOKUP(L170,Map!$C$18:$D$29,2,0)</f>
        <v>DLT</v>
      </c>
      <c r="L170" s="360" t="s">
        <v>52</v>
      </c>
      <c r="M170" s="365"/>
      <c r="N170" s="366">
        <f t="shared" si="48"/>
        <v>0</v>
      </c>
      <c r="O170" s="366">
        <f t="shared" si="49"/>
        <v>0</v>
      </c>
      <c r="P170" s="367">
        <f t="shared" si="50"/>
        <v>0</v>
      </c>
      <c r="Q170" s="367">
        <f t="shared" si="51"/>
        <v>0</v>
      </c>
      <c r="R170" s="368">
        <f t="shared" si="45"/>
        <v>0</v>
      </c>
      <c r="S170" s="384">
        <f>INDEX(FX!$D$3:$O$19,MATCH(B170,FX!$B$3:$B$32,0),MATCH(D170,FX!$D$2:$O$2,0))</f>
        <v>924</v>
      </c>
      <c r="T170" s="360" t="s">
        <v>143</v>
      </c>
      <c r="U170" s="360" t="s">
        <v>155</v>
      </c>
      <c r="V170" s="360" t="s">
        <v>83</v>
      </c>
      <c r="W170" s="364" t="str">
        <f>VLOOKUP(I170,Map!$F$18:$H$51,3,0)</f>
        <v>Variable</v>
      </c>
      <c r="X170" s="370" t="s">
        <v>172</v>
      </c>
      <c r="Y170" s="364" t="str">
        <f>VLOOKUP(L170,Map!$C$18:$D$29,2,0)</f>
        <v>DLT</v>
      </c>
      <c r="Z170" s="365">
        <v>51985.926200003989</v>
      </c>
      <c r="AA170" s="366">
        <f t="shared" si="42"/>
        <v>0</v>
      </c>
      <c r="AB170" s="366">
        <f t="shared" si="46"/>
        <v>61863.252178004746</v>
      </c>
      <c r="AC170" s="367">
        <f t="shared" si="43"/>
        <v>56.261824891779206</v>
      </c>
      <c r="AD170" s="367">
        <f t="shared" si="44"/>
        <v>0</v>
      </c>
      <c r="AE170" s="368">
        <f t="shared" si="47"/>
        <v>66.951571621217255</v>
      </c>
      <c r="AF170" s="385"/>
    </row>
    <row r="171" spans="2:32" s="1" customFormat="1" ht="13" hidden="1" x14ac:dyDescent="0.3">
      <c r="B171" s="383">
        <v>2026</v>
      </c>
      <c r="C171" s="361" t="s">
        <v>404</v>
      </c>
      <c r="D171" s="361" t="s">
        <v>80</v>
      </c>
      <c r="E171" s="360" t="s">
        <v>88</v>
      </c>
      <c r="F171" s="360" t="s">
        <v>172</v>
      </c>
      <c r="G171" s="362"/>
      <c r="H171" s="363"/>
      <c r="I171" s="360" t="s">
        <v>148</v>
      </c>
      <c r="J171" s="364" t="str">
        <f>IFERROR(VLOOKUP(I171,Map!$F$18:$G$56,2,0),"Add in Map")</f>
        <v>3P</v>
      </c>
      <c r="K171" s="364" t="str">
        <f>VLOOKUP(L171,Map!$C$18:$D$29,2,0)</f>
        <v>DMT</v>
      </c>
      <c r="L171" s="360" t="s">
        <v>54</v>
      </c>
      <c r="M171" s="365"/>
      <c r="N171" s="366">
        <f t="shared" si="48"/>
        <v>0</v>
      </c>
      <c r="O171" s="366">
        <f t="shared" si="49"/>
        <v>0</v>
      </c>
      <c r="P171" s="367">
        <f t="shared" si="50"/>
        <v>0</v>
      </c>
      <c r="Q171" s="367">
        <f t="shared" si="51"/>
        <v>0</v>
      </c>
      <c r="R171" s="368">
        <f t="shared" si="45"/>
        <v>0</v>
      </c>
      <c r="S171" s="384">
        <f>INDEX(FX!$D$3:$O$19,MATCH(B171,FX!$B$3:$B$32,0),MATCH(D171,FX!$D$2:$O$2,0))</f>
        <v>924</v>
      </c>
      <c r="T171" s="360" t="s">
        <v>143</v>
      </c>
      <c r="U171" s="360" t="s">
        <v>155</v>
      </c>
      <c r="V171" s="360" t="s">
        <v>83</v>
      </c>
      <c r="W171" s="364" t="str">
        <f>VLOOKUP(I171,Map!$F$18:$H$51,3,0)</f>
        <v>Variable</v>
      </c>
      <c r="X171" s="370" t="s">
        <v>172</v>
      </c>
      <c r="Y171" s="364" t="str">
        <f>VLOOKUP(L171,Map!$C$18:$D$29,2,0)</f>
        <v>DMT</v>
      </c>
      <c r="Z171" s="365">
        <v>0</v>
      </c>
      <c r="AA171" s="366">
        <f t="shared" si="42"/>
        <v>0</v>
      </c>
      <c r="AB171" s="366">
        <f t="shared" si="46"/>
        <v>0</v>
      </c>
      <c r="AC171" s="367">
        <f t="shared" si="43"/>
        <v>0</v>
      </c>
      <c r="AD171" s="367">
        <f t="shared" si="44"/>
        <v>0</v>
      </c>
      <c r="AE171" s="368">
        <f t="shared" si="47"/>
        <v>0</v>
      </c>
      <c r="AF171" s="385"/>
    </row>
    <row r="172" spans="2:32" s="37" customFormat="1" hidden="1" x14ac:dyDescent="0.35">
      <c r="B172" s="387">
        <v>2026</v>
      </c>
      <c r="C172" s="389" t="s">
        <v>404</v>
      </c>
      <c r="D172" s="389" t="s">
        <v>80</v>
      </c>
      <c r="E172" s="388" t="s">
        <v>88</v>
      </c>
      <c r="F172" s="388" t="s">
        <v>172</v>
      </c>
      <c r="G172" s="390"/>
      <c r="H172" s="391"/>
      <c r="I172" s="388" t="s">
        <v>148</v>
      </c>
      <c r="J172" s="392" t="str">
        <f>IFERROR(VLOOKUP(I172,Map!$F$18:$G$56,2,0),"Add in Map")</f>
        <v>3P</v>
      </c>
      <c r="K172" s="392" t="str">
        <f>VLOOKUP(L172,Map!$C$18:$D$29,2,0)</f>
        <v>TOTAL</v>
      </c>
      <c r="L172" s="388" t="s">
        <v>56</v>
      </c>
      <c r="M172" s="393">
        <f>SUM(M161:M171)</f>
        <v>0</v>
      </c>
      <c r="N172" s="393">
        <f t="shared" si="48"/>
        <v>0</v>
      </c>
      <c r="O172" s="393">
        <f t="shared" si="49"/>
        <v>0</v>
      </c>
      <c r="P172" s="394">
        <f t="shared" si="50"/>
        <v>0</v>
      </c>
      <c r="Q172" s="394">
        <f t="shared" si="51"/>
        <v>0</v>
      </c>
      <c r="R172" s="395">
        <f t="shared" si="45"/>
        <v>0</v>
      </c>
      <c r="S172" s="396">
        <f>INDEX(FX!$D$3:$O$19,MATCH(B172,FX!$B$3:$B$32,0),MATCH(D172,FX!$D$2:$O$2,0))</f>
        <v>924</v>
      </c>
      <c r="T172" s="388" t="s">
        <v>143</v>
      </c>
      <c r="U172" s="388" t="s">
        <v>155</v>
      </c>
      <c r="V172" s="388" t="s">
        <v>83</v>
      </c>
      <c r="W172" s="392" t="str">
        <f>VLOOKUP(I172,Map!$F$18:$H$51,3,0)</f>
        <v>Variable</v>
      </c>
      <c r="X172" s="397" t="s">
        <v>172</v>
      </c>
      <c r="Y172" s="392" t="str">
        <f>VLOOKUP(L172,Map!$C$18:$D$29,2,0)</f>
        <v>TOTAL</v>
      </c>
      <c r="Z172" s="393">
        <f>SUM(Z161:Z171)</f>
        <v>16791454.162601285</v>
      </c>
      <c r="AA172" s="393">
        <f t="shared" si="42"/>
        <v>3190376.2908942443</v>
      </c>
      <c r="AB172" s="393">
        <f t="shared" si="46"/>
        <v>19981830.453495529</v>
      </c>
      <c r="AC172" s="394">
        <f t="shared" si="43"/>
        <v>18172.569440044681</v>
      </c>
      <c r="AD172" s="394">
        <f t="shared" si="44"/>
        <v>3452.7881936084896</v>
      </c>
      <c r="AE172" s="395">
        <f t="shared" si="47"/>
        <v>21625.35763365317</v>
      </c>
      <c r="AF172" s="398"/>
    </row>
    <row r="173" spans="2:32" s="5" customFormat="1" ht="13" hidden="1" x14ac:dyDescent="0.3">
      <c r="B173" s="400">
        <v>2026</v>
      </c>
      <c r="C173" s="402" t="s">
        <v>415</v>
      </c>
      <c r="D173" s="402" t="s">
        <v>159</v>
      </c>
      <c r="E173" s="401" t="s">
        <v>88</v>
      </c>
      <c r="F173" s="401" t="s">
        <v>80</v>
      </c>
      <c r="G173" s="403">
        <v>46177</v>
      </c>
      <c r="H173" s="404">
        <v>3720</v>
      </c>
      <c r="I173" s="401" t="s">
        <v>147</v>
      </c>
      <c r="J173" s="405" t="str">
        <f>IFERROR(VLOOKUP(I173,Map!$F$18:$G$56,2,0),"Add in Map")</f>
        <v>3P</v>
      </c>
      <c r="K173" s="405" t="str">
        <f>VLOOKUP(L173,Map!$C$18:$D$29,2,0)</f>
        <v>CNT</v>
      </c>
      <c r="L173" s="401" t="s">
        <v>31</v>
      </c>
      <c r="M173" s="406">
        <v>1325228.2175812337</v>
      </c>
      <c r="N173" s="407">
        <f t="shared" ref="N173:N184" si="52">IF(L173="TOTAL",(M173*0.19),0)</f>
        <v>0</v>
      </c>
      <c r="O173" s="407">
        <f t="shared" ref="O173:O184" si="53">M173*1.19</f>
        <v>1577021.578921668</v>
      </c>
      <c r="P173" s="408">
        <f t="shared" ref="P173:P184" si="54">M173/S173</f>
        <v>1487.3492902146281</v>
      </c>
      <c r="Q173" s="408">
        <f t="shared" ref="Q173:Q184" si="55">IF(L173="TOTAL",(P173*0.19),0)</f>
        <v>0</v>
      </c>
      <c r="R173" s="409">
        <f t="shared" si="45"/>
        <v>1769.9456553554073</v>
      </c>
      <c r="S173" s="410">
        <f>INDEX(FX!$D$3:$O$19,MATCH(B173,FX!$B$3:$B$32,0),MATCH(D173,FX!$D$2:$O$2,0))</f>
        <v>891</v>
      </c>
      <c r="T173" s="401" t="s">
        <v>143</v>
      </c>
      <c r="U173" s="401" t="s">
        <v>155</v>
      </c>
      <c r="V173" s="401" t="s">
        <v>83</v>
      </c>
      <c r="W173" s="405" t="str">
        <f>VLOOKUP(I173,Map!$F$18:$H$51,3,0)</f>
        <v>Variable</v>
      </c>
      <c r="X173" s="411" t="s">
        <v>149</v>
      </c>
      <c r="Y173" s="405" t="str">
        <f>VLOOKUP(L173,Map!$C$18:$D$29,2,0)</f>
        <v>CNT</v>
      </c>
      <c r="Z173" s="406"/>
      <c r="AA173" s="407">
        <f t="shared" si="42"/>
        <v>0</v>
      </c>
      <c r="AB173" s="407">
        <f t="shared" si="46"/>
        <v>0</v>
      </c>
      <c r="AC173" s="408">
        <f t="shared" si="43"/>
        <v>0</v>
      </c>
      <c r="AD173" s="408">
        <f t="shared" si="44"/>
        <v>0</v>
      </c>
      <c r="AE173" s="409">
        <f t="shared" si="47"/>
        <v>0</v>
      </c>
      <c r="AF173" s="412"/>
    </row>
    <row r="174" spans="2:32" s="1" customFormat="1" ht="13" hidden="1" x14ac:dyDescent="0.3">
      <c r="B174" s="383">
        <v>2026</v>
      </c>
      <c r="C174" s="361" t="s">
        <v>415</v>
      </c>
      <c r="D174" s="361" t="s">
        <v>159</v>
      </c>
      <c r="E174" s="360" t="s">
        <v>88</v>
      </c>
      <c r="F174" s="360" t="s">
        <v>80</v>
      </c>
      <c r="G174" s="362">
        <v>46177</v>
      </c>
      <c r="H174" s="363">
        <v>3720</v>
      </c>
      <c r="I174" s="360" t="s">
        <v>147</v>
      </c>
      <c r="J174" s="364" t="str">
        <f>IFERROR(VLOOKUP(I174,Map!$F$18:$G$56,2,0),"Add in Map")</f>
        <v>3P</v>
      </c>
      <c r="K174" s="364" t="str">
        <f>VLOOKUP(L174,Map!$C$18:$D$29,2,0)</f>
        <v>CVT</v>
      </c>
      <c r="L174" s="360" t="s">
        <v>36</v>
      </c>
      <c r="M174" s="365">
        <v>50387.812733799146</v>
      </c>
      <c r="N174" s="366">
        <f t="shared" si="52"/>
        <v>0</v>
      </c>
      <c r="O174" s="366">
        <f t="shared" si="53"/>
        <v>59961.497153220982</v>
      </c>
      <c r="P174" s="367">
        <f t="shared" si="54"/>
        <v>56.551978376878949</v>
      </c>
      <c r="Q174" s="367">
        <f t="shared" si="55"/>
        <v>0</v>
      </c>
      <c r="R174" s="368">
        <f t="shared" si="45"/>
        <v>67.296854268485944</v>
      </c>
      <c r="S174" s="384">
        <f>INDEX(FX!$D$3:$O$19,MATCH(B174,FX!$B$3:$B$32,0),MATCH(D174,FX!$D$2:$O$2,0))</f>
        <v>891</v>
      </c>
      <c r="T174" s="360" t="s">
        <v>143</v>
      </c>
      <c r="U174" s="360" t="s">
        <v>155</v>
      </c>
      <c r="V174" s="360" t="s">
        <v>83</v>
      </c>
      <c r="W174" s="364" t="str">
        <f>VLOOKUP(I174,Map!$F$18:$H$51,3,0)</f>
        <v>Variable</v>
      </c>
      <c r="X174" s="370" t="s">
        <v>149</v>
      </c>
      <c r="Y174" s="364" t="str">
        <f>VLOOKUP(L174,Map!$C$18:$D$29,2,0)</f>
        <v>CVT</v>
      </c>
      <c r="Z174" s="365"/>
      <c r="AA174" s="366">
        <f t="shared" si="42"/>
        <v>0</v>
      </c>
      <c r="AB174" s="366">
        <f t="shared" si="46"/>
        <v>0</v>
      </c>
      <c r="AC174" s="367">
        <f t="shared" si="43"/>
        <v>0</v>
      </c>
      <c r="AD174" s="367">
        <f t="shared" si="44"/>
        <v>0</v>
      </c>
      <c r="AE174" s="368">
        <f t="shared" si="47"/>
        <v>0</v>
      </c>
      <c r="AF174" s="385"/>
    </row>
    <row r="175" spans="2:32" s="1" customFormat="1" ht="13" hidden="1" x14ac:dyDescent="0.3">
      <c r="B175" s="383">
        <v>2026</v>
      </c>
      <c r="C175" s="361" t="s">
        <v>415</v>
      </c>
      <c r="D175" s="361" t="s">
        <v>159</v>
      </c>
      <c r="E175" s="360" t="s">
        <v>88</v>
      </c>
      <c r="F175" s="360" t="s">
        <v>80</v>
      </c>
      <c r="G175" s="362">
        <v>46177</v>
      </c>
      <c r="H175" s="363">
        <v>3720</v>
      </c>
      <c r="I175" s="360" t="s">
        <v>147</v>
      </c>
      <c r="J175" s="364" t="str">
        <f>IFERROR(VLOOKUP(I175,Map!$F$18:$G$56,2,0),"Add in Map")</f>
        <v>3P</v>
      </c>
      <c r="K175" s="364" t="str">
        <f>VLOOKUP(L175,Map!$C$18:$D$29,2,0)</f>
        <v>CDT</v>
      </c>
      <c r="L175" s="360" t="s">
        <v>38</v>
      </c>
      <c r="M175" s="365">
        <v>0</v>
      </c>
      <c r="N175" s="366">
        <f t="shared" si="52"/>
        <v>0</v>
      </c>
      <c r="O175" s="366">
        <f t="shared" si="53"/>
        <v>0</v>
      </c>
      <c r="P175" s="367">
        <f t="shared" si="54"/>
        <v>0</v>
      </c>
      <c r="Q175" s="367">
        <f t="shared" si="55"/>
        <v>0</v>
      </c>
      <c r="R175" s="368">
        <f t="shared" si="45"/>
        <v>0</v>
      </c>
      <c r="S175" s="384">
        <f>INDEX(FX!$D$3:$O$19,MATCH(B175,FX!$B$3:$B$32,0),MATCH(D175,FX!$D$2:$O$2,0))</f>
        <v>891</v>
      </c>
      <c r="T175" s="360" t="s">
        <v>143</v>
      </c>
      <c r="U175" s="360" t="s">
        <v>155</v>
      </c>
      <c r="V175" s="360" t="s">
        <v>83</v>
      </c>
      <c r="W175" s="364" t="str">
        <f>VLOOKUP(I175,Map!$F$18:$H$51,3,0)</f>
        <v>Variable</v>
      </c>
      <c r="X175" s="370" t="s">
        <v>149</v>
      </c>
      <c r="Y175" s="364" t="str">
        <f>VLOOKUP(L175,Map!$C$18:$D$29,2,0)</f>
        <v>CDT</v>
      </c>
      <c r="Z175" s="365"/>
      <c r="AA175" s="366">
        <f t="shared" si="42"/>
        <v>0</v>
      </c>
      <c r="AB175" s="366">
        <f t="shared" si="46"/>
        <v>0</v>
      </c>
      <c r="AC175" s="367">
        <f t="shared" si="43"/>
        <v>0</v>
      </c>
      <c r="AD175" s="367">
        <f t="shared" si="44"/>
        <v>0</v>
      </c>
      <c r="AE175" s="368">
        <f t="shared" si="47"/>
        <v>0</v>
      </c>
      <c r="AF175" s="385"/>
    </row>
    <row r="176" spans="2:32" s="1" customFormat="1" ht="13" hidden="1" x14ac:dyDescent="0.3">
      <c r="B176" s="383">
        <v>2026</v>
      </c>
      <c r="C176" s="361" t="s">
        <v>415</v>
      </c>
      <c r="D176" s="361" t="s">
        <v>159</v>
      </c>
      <c r="E176" s="360" t="s">
        <v>88</v>
      </c>
      <c r="F176" s="360" t="s">
        <v>80</v>
      </c>
      <c r="G176" s="362">
        <v>46177</v>
      </c>
      <c r="H176" s="363">
        <v>3720</v>
      </c>
      <c r="I176" s="360" t="s">
        <v>147</v>
      </c>
      <c r="J176" s="364" t="str">
        <f>IFERROR(VLOOKUP(I176,Map!$F$18:$G$56,2,0),"Add in Map")</f>
        <v>3P</v>
      </c>
      <c r="K176" s="364" t="str">
        <f>VLOOKUP(L176,Map!$C$18:$D$29,2,0)</f>
        <v>DFT</v>
      </c>
      <c r="L176" s="360" t="s">
        <v>40</v>
      </c>
      <c r="M176" s="365">
        <v>3665967.1340406328</v>
      </c>
      <c r="N176" s="366">
        <f t="shared" si="52"/>
        <v>0</v>
      </c>
      <c r="O176" s="366">
        <f t="shared" si="53"/>
        <v>4362500.8895083526</v>
      </c>
      <c r="P176" s="367">
        <f t="shared" si="54"/>
        <v>4114.441227879498</v>
      </c>
      <c r="Q176" s="367">
        <f t="shared" si="55"/>
        <v>0</v>
      </c>
      <c r="R176" s="368">
        <f t="shared" si="45"/>
        <v>4896.1850611766022</v>
      </c>
      <c r="S176" s="384">
        <f>INDEX(FX!$D$3:$O$19,MATCH(B176,FX!$B$3:$B$32,0),MATCH(D176,FX!$D$2:$O$2,0))</f>
        <v>891</v>
      </c>
      <c r="T176" s="360" t="s">
        <v>143</v>
      </c>
      <c r="U176" s="360" t="s">
        <v>155</v>
      </c>
      <c r="V176" s="360" t="s">
        <v>83</v>
      </c>
      <c r="W176" s="364" t="str">
        <f>VLOOKUP(I176,Map!$F$18:$H$51,3,0)</f>
        <v>Variable</v>
      </c>
      <c r="X176" s="370" t="s">
        <v>149</v>
      </c>
      <c r="Y176" s="364" t="str">
        <f>VLOOKUP(L176,Map!$C$18:$D$29,2,0)</f>
        <v>DFT</v>
      </c>
      <c r="Z176" s="365"/>
      <c r="AA176" s="366">
        <f t="shared" si="42"/>
        <v>0</v>
      </c>
      <c r="AB176" s="366">
        <f t="shared" si="46"/>
        <v>0</v>
      </c>
      <c r="AC176" s="367">
        <f t="shared" si="43"/>
        <v>0</v>
      </c>
      <c r="AD176" s="367">
        <f t="shared" si="44"/>
        <v>0</v>
      </c>
      <c r="AE176" s="368">
        <f t="shared" si="47"/>
        <v>0</v>
      </c>
      <c r="AF176" s="385"/>
    </row>
    <row r="177" spans="2:32" s="1" customFormat="1" ht="13" hidden="1" x14ac:dyDescent="0.3">
      <c r="B177" s="383">
        <v>2026</v>
      </c>
      <c r="C177" s="361" t="s">
        <v>415</v>
      </c>
      <c r="D177" s="361" t="s">
        <v>159</v>
      </c>
      <c r="E177" s="360" t="s">
        <v>88</v>
      </c>
      <c r="F177" s="360" t="s">
        <v>80</v>
      </c>
      <c r="G177" s="362">
        <v>46177</v>
      </c>
      <c r="H177" s="363">
        <v>3720</v>
      </c>
      <c r="I177" s="360" t="s">
        <v>147</v>
      </c>
      <c r="J177" s="364" t="str">
        <f>IFERROR(VLOOKUP(I177,Map!$F$18:$G$56,2,0),"Add in Map")</f>
        <v>3P</v>
      </c>
      <c r="K177" s="364" t="str">
        <f>VLOOKUP(L177,Map!$C$18:$D$29,2,0)</f>
        <v>DVT</v>
      </c>
      <c r="L177" s="360" t="s">
        <v>42</v>
      </c>
      <c r="M177" s="365">
        <v>0</v>
      </c>
      <c r="N177" s="366">
        <f t="shared" si="52"/>
        <v>0</v>
      </c>
      <c r="O177" s="366">
        <f t="shared" si="53"/>
        <v>0</v>
      </c>
      <c r="P177" s="367">
        <f t="shared" si="54"/>
        <v>0</v>
      </c>
      <c r="Q177" s="367">
        <f t="shared" si="55"/>
        <v>0</v>
      </c>
      <c r="R177" s="368">
        <f t="shared" si="45"/>
        <v>0</v>
      </c>
      <c r="S177" s="384">
        <f>INDEX(FX!$D$3:$O$19,MATCH(B177,FX!$B$3:$B$32,0),MATCH(D177,FX!$D$2:$O$2,0))</f>
        <v>891</v>
      </c>
      <c r="T177" s="360" t="s">
        <v>143</v>
      </c>
      <c r="U177" s="360" t="s">
        <v>155</v>
      </c>
      <c r="V177" s="360" t="s">
        <v>83</v>
      </c>
      <c r="W177" s="364" t="str">
        <f>VLOOKUP(I177,Map!$F$18:$H$51,3,0)</f>
        <v>Variable</v>
      </c>
      <c r="X177" s="370" t="s">
        <v>149</v>
      </c>
      <c r="Y177" s="364" t="str">
        <f>VLOOKUP(L177,Map!$C$18:$D$29,2,0)</f>
        <v>DVT</v>
      </c>
      <c r="Z177" s="365"/>
      <c r="AA177" s="366">
        <f t="shared" si="42"/>
        <v>0</v>
      </c>
      <c r="AB177" s="366">
        <f t="shared" si="46"/>
        <v>0</v>
      </c>
      <c r="AC177" s="367">
        <f t="shared" si="43"/>
        <v>0</v>
      </c>
      <c r="AD177" s="367">
        <f t="shared" si="44"/>
        <v>0</v>
      </c>
      <c r="AE177" s="368">
        <f t="shared" si="47"/>
        <v>0</v>
      </c>
      <c r="AF177" s="385"/>
    </row>
    <row r="178" spans="2:32" s="1" customFormat="1" ht="13" hidden="1" x14ac:dyDescent="0.3">
      <c r="B178" s="383">
        <v>2026</v>
      </c>
      <c r="C178" s="361" t="s">
        <v>415</v>
      </c>
      <c r="D178" s="361" t="s">
        <v>159</v>
      </c>
      <c r="E178" s="360" t="s">
        <v>88</v>
      </c>
      <c r="F178" s="360" t="s">
        <v>80</v>
      </c>
      <c r="G178" s="362">
        <v>46177</v>
      </c>
      <c r="H178" s="363">
        <v>3720</v>
      </c>
      <c r="I178" s="360" t="s">
        <v>147</v>
      </c>
      <c r="J178" s="364" t="str">
        <f>IFERROR(VLOOKUP(I178,Map!$F$18:$G$56,2,0),"Add in Map")</f>
        <v>3P</v>
      </c>
      <c r="K178" s="364" t="str">
        <f>VLOOKUP(L178,Map!$C$18:$D$29,2,0)</f>
        <v>GLT</v>
      </c>
      <c r="L178" s="360" t="s">
        <v>44</v>
      </c>
      <c r="M178" s="365">
        <v>2025456.3030721142</v>
      </c>
      <c r="N178" s="366">
        <f t="shared" si="52"/>
        <v>0</v>
      </c>
      <c r="O178" s="366">
        <f t="shared" si="53"/>
        <v>2410293.0006558159</v>
      </c>
      <c r="P178" s="367">
        <f t="shared" si="54"/>
        <v>2273.2393973873336</v>
      </c>
      <c r="Q178" s="367">
        <f t="shared" si="55"/>
        <v>0</v>
      </c>
      <c r="R178" s="368">
        <f t="shared" si="45"/>
        <v>2705.1548828909267</v>
      </c>
      <c r="S178" s="384">
        <f>INDEX(FX!$D$3:$O$19,MATCH(B178,FX!$B$3:$B$32,0),MATCH(D178,FX!$D$2:$O$2,0))</f>
        <v>891</v>
      </c>
      <c r="T178" s="360" t="s">
        <v>143</v>
      </c>
      <c r="U178" s="360" t="s">
        <v>155</v>
      </c>
      <c r="V178" s="360" t="s">
        <v>83</v>
      </c>
      <c r="W178" s="364" t="str">
        <f>VLOOKUP(I178,Map!$F$18:$H$51,3,0)</f>
        <v>Variable</v>
      </c>
      <c r="X178" s="370" t="s">
        <v>149</v>
      </c>
      <c r="Y178" s="364" t="str">
        <f>VLOOKUP(L178,Map!$C$18:$D$29,2,0)</f>
        <v>GLT</v>
      </c>
      <c r="Z178" s="365"/>
      <c r="AA178" s="366">
        <f t="shared" si="42"/>
        <v>0</v>
      </c>
      <c r="AB178" s="366">
        <f t="shared" si="46"/>
        <v>0</v>
      </c>
      <c r="AC178" s="367">
        <f t="shared" si="43"/>
        <v>0</v>
      </c>
      <c r="AD178" s="367">
        <f t="shared" si="44"/>
        <v>0</v>
      </c>
      <c r="AE178" s="368">
        <f t="shared" si="47"/>
        <v>0</v>
      </c>
      <c r="AF178" s="385"/>
    </row>
    <row r="179" spans="2:32" s="1" customFormat="1" ht="13" hidden="1" x14ac:dyDescent="0.3">
      <c r="B179" s="383">
        <v>2026</v>
      </c>
      <c r="C179" s="361" t="s">
        <v>415</v>
      </c>
      <c r="D179" s="361" t="s">
        <v>159</v>
      </c>
      <c r="E179" s="360" t="s">
        <v>88</v>
      </c>
      <c r="F179" s="360" t="s">
        <v>80</v>
      </c>
      <c r="G179" s="362">
        <v>46177</v>
      </c>
      <c r="H179" s="363">
        <v>3720</v>
      </c>
      <c r="I179" s="360" t="s">
        <v>147</v>
      </c>
      <c r="J179" s="364" t="str">
        <f>IFERROR(VLOOKUP(I179,Map!$F$18:$G$56,2,0),"Add in Map")</f>
        <v>3P</v>
      </c>
      <c r="K179" s="364" t="str">
        <f>VLOOKUP(L179,Map!$C$18:$D$29,2,0)</f>
        <v>PNT</v>
      </c>
      <c r="L179" s="360" t="s">
        <v>46</v>
      </c>
      <c r="M179" s="365">
        <v>171815.27615723221</v>
      </c>
      <c r="N179" s="366">
        <f t="shared" si="52"/>
        <v>0</v>
      </c>
      <c r="O179" s="366">
        <f t="shared" si="53"/>
        <v>204460.1786271063</v>
      </c>
      <c r="P179" s="367">
        <f t="shared" si="54"/>
        <v>192.83420444133804</v>
      </c>
      <c r="Q179" s="367">
        <f t="shared" si="55"/>
        <v>0</v>
      </c>
      <c r="R179" s="368">
        <f t="shared" si="45"/>
        <v>229.47270328519227</v>
      </c>
      <c r="S179" s="384">
        <f>INDEX(FX!$D$3:$O$19,MATCH(B179,FX!$B$3:$B$32,0),MATCH(D179,FX!$D$2:$O$2,0))</f>
        <v>891</v>
      </c>
      <c r="T179" s="360" t="s">
        <v>143</v>
      </c>
      <c r="U179" s="360" t="s">
        <v>155</v>
      </c>
      <c r="V179" s="360" t="s">
        <v>83</v>
      </c>
      <c r="W179" s="364" t="str">
        <f>VLOOKUP(I179,Map!$F$18:$H$51,3,0)</f>
        <v>Variable</v>
      </c>
      <c r="X179" s="370" t="s">
        <v>149</v>
      </c>
      <c r="Y179" s="364" t="str">
        <f>VLOOKUP(L179,Map!$C$18:$D$29,2,0)</f>
        <v>PNT</v>
      </c>
      <c r="Z179" s="365"/>
      <c r="AA179" s="366">
        <f t="shared" si="42"/>
        <v>0</v>
      </c>
      <c r="AB179" s="366">
        <f t="shared" si="46"/>
        <v>0</v>
      </c>
      <c r="AC179" s="367">
        <f t="shared" si="43"/>
        <v>0</v>
      </c>
      <c r="AD179" s="367">
        <f t="shared" si="44"/>
        <v>0</v>
      </c>
      <c r="AE179" s="368">
        <f t="shared" si="47"/>
        <v>0</v>
      </c>
      <c r="AF179" s="385"/>
    </row>
    <row r="180" spans="2:32" s="1" customFormat="1" ht="13" hidden="1" x14ac:dyDescent="0.3">
      <c r="B180" s="383">
        <v>2026</v>
      </c>
      <c r="C180" s="361" t="s">
        <v>415</v>
      </c>
      <c r="D180" s="361" t="s">
        <v>159</v>
      </c>
      <c r="E180" s="360" t="s">
        <v>88</v>
      </c>
      <c r="F180" s="360" t="s">
        <v>80</v>
      </c>
      <c r="G180" s="362">
        <v>46177</v>
      </c>
      <c r="H180" s="363">
        <v>3720</v>
      </c>
      <c r="I180" s="360" t="s">
        <v>147</v>
      </c>
      <c r="J180" s="364" t="str">
        <f>IFERROR(VLOOKUP(I180,Map!$F$18:$G$56,2,0),"Add in Map")</f>
        <v>3P</v>
      </c>
      <c r="K180" s="364" t="str">
        <f>VLOOKUP(L180,Map!$C$18:$D$29,2,0)</f>
        <v>GTT</v>
      </c>
      <c r="L180" s="360" t="s">
        <v>48</v>
      </c>
      <c r="M180" s="365">
        <v>128072.55335994321</v>
      </c>
      <c r="N180" s="366">
        <f t="shared" si="52"/>
        <v>0</v>
      </c>
      <c r="O180" s="366">
        <f t="shared" si="53"/>
        <v>152406.33849833242</v>
      </c>
      <c r="P180" s="367">
        <f t="shared" si="54"/>
        <v>143.74023946121574</v>
      </c>
      <c r="Q180" s="367">
        <f t="shared" si="55"/>
        <v>0</v>
      </c>
      <c r="R180" s="368">
        <f t="shared" si="45"/>
        <v>171.05088495884672</v>
      </c>
      <c r="S180" s="384">
        <f>INDEX(FX!$D$3:$O$19,MATCH(B180,FX!$B$3:$B$32,0),MATCH(D180,FX!$D$2:$O$2,0))</f>
        <v>891</v>
      </c>
      <c r="T180" s="360" t="s">
        <v>143</v>
      </c>
      <c r="U180" s="360" t="s">
        <v>155</v>
      </c>
      <c r="V180" s="360" t="s">
        <v>83</v>
      </c>
      <c r="W180" s="364" t="str">
        <f>VLOOKUP(I180,Map!$F$18:$H$51,3,0)</f>
        <v>Variable</v>
      </c>
      <c r="X180" s="370" t="s">
        <v>149</v>
      </c>
      <c r="Y180" s="364" t="str">
        <f>VLOOKUP(L180,Map!$C$18:$D$29,2,0)</f>
        <v>GTT</v>
      </c>
      <c r="Z180" s="365"/>
      <c r="AA180" s="366">
        <f t="shared" si="42"/>
        <v>0</v>
      </c>
      <c r="AB180" s="366">
        <f t="shared" si="46"/>
        <v>0</v>
      </c>
      <c r="AC180" s="367">
        <f t="shared" si="43"/>
        <v>0</v>
      </c>
      <c r="AD180" s="367">
        <f t="shared" si="44"/>
        <v>0</v>
      </c>
      <c r="AE180" s="368">
        <f t="shared" si="47"/>
        <v>0</v>
      </c>
      <c r="AF180" s="385"/>
    </row>
    <row r="181" spans="2:32" s="1" customFormat="1" ht="13" hidden="1" x14ac:dyDescent="0.3">
      <c r="B181" s="383">
        <v>2026</v>
      </c>
      <c r="C181" s="361" t="s">
        <v>415</v>
      </c>
      <c r="D181" s="361" t="s">
        <v>159</v>
      </c>
      <c r="E181" s="360" t="s">
        <v>88</v>
      </c>
      <c r="F181" s="360" t="s">
        <v>80</v>
      </c>
      <c r="G181" s="362">
        <v>46177</v>
      </c>
      <c r="H181" s="363">
        <v>3720</v>
      </c>
      <c r="I181" s="360" t="s">
        <v>147</v>
      </c>
      <c r="J181" s="364" t="str">
        <f>IFERROR(VLOOKUP(I181,Map!$F$18:$G$56,2,0),"Add in Map")</f>
        <v>3P</v>
      </c>
      <c r="K181" s="364" t="str">
        <f>VLOOKUP(L181,Map!$C$18:$D$29,2,0)</f>
        <v>DGT</v>
      </c>
      <c r="L181" s="360" t="s">
        <v>50</v>
      </c>
      <c r="M181" s="365">
        <v>88185.397788631177</v>
      </c>
      <c r="N181" s="366">
        <f t="shared" si="52"/>
        <v>0</v>
      </c>
      <c r="O181" s="366">
        <f t="shared" si="53"/>
        <v>104940.62336847109</v>
      </c>
      <c r="P181" s="367">
        <f t="shared" si="54"/>
        <v>98.973510424950817</v>
      </c>
      <c r="Q181" s="367">
        <f t="shared" si="55"/>
        <v>0</v>
      </c>
      <c r="R181" s="368">
        <f t="shared" si="45"/>
        <v>117.77847740569146</v>
      </c>
      <c r="S181" s="384">
        <f>INDEX(FX!$D$3:$O$19,MATCH(B181,FX!$B$3:$B$32,0),MATCH(D181,FX!$D$2:$O$2,0))</f>
        <v>891</v>
      </c>
      <c r="T181" s="360" t="s">
        <v>143</v>
      </c>
      <c r="U181" s="360" t="s">
        <v>155</v>
      </c>
      <c r="V181" s="360" t="s">
        <v>83</v>
      </c>
      <c r="W181" s="364" t="str">
        <f>VLOOKUP(I181,Map!$F$18:$H$51,3,0)</f>
        <v>Variable</v>
      </c>
      <c r="X181" s="370" t="s">
        <v>149</v>
      </c>
      <c r="Y181" s="364" t="str">
        <f>VLOOKUP(L181,Map!$C$18:$D$29,2,0)</f>
        <v>DGT</v>
      </c>
      <c r="Z181" s="365"/>
      <c r="AA181" s="366">
        <f t="shared" si="42"/>
        <v>0</v>
      </c>
      <c r="AB181" s="366">
        <f t="shared" si="46"/>
        <v>0</v>
      </c>
      <c r="AC181" s="367">
        <f t="shared" si="43"/>
        <v>0</v>
      </c>
      <c r="AD181" s="367">
        <f t="shared" si="44"/>
        <v>0</v>
      </c>
      <c r="AE181" s="368">
        <f t="shared" si="47"/>
        <v>0</v>
      </c>
      <c r="AF181" s="385"/>
    </row>
    <row r="182" spans="2:32" s="1" customFormat="1" ht="13" hidden="1" x14ac:dyDescent="0.3">
      <c r="B182" s="383">
        <v>2026</v>
      </c>
      <c r="C182" s="361" t="s">
        <v>415</v>
      </c>
      <c r="D182" s="361" t="s">
        <v>159</v>
      </c>
      <c r="E182" s="360" t="s">
        <v>88</v>
      </c>
      <c r="F182" s="360" t="s">
        <v>80</v>
      </c>
      <c r="G182" s="362">
        <v>46177</v>
      </c>
      <c r="H182" s="363">
        <v>3720</v>
      </c>
      <c r="I182" s="360" t="s">
        <v>147</v>
      </c>
      <c r="J182" s="364" t="str">
        <f>IFERROR(VLOOKUP(I182,Map!$F$18:$G$56,2,0),"Add in Map")</f>
        <v>3P</v>
      </c>
      <c r="K182" s="364" t="str">
        <f>VLOOKUP(L182,Map!$C$18:$D$29,2,0)</f>
        <v>DLT</v>
      </c>
      <c r="L182" s="360" t="s">
        <v>52</v>
      </c>
      <c r="M182" s="365">
        <v>22395.305266414551</v>
      </c>
      <c r="N182" s="366">
        <f t="shared" si="52"/>
        <v>0</v>
      </c>
      <c r="O182" s="366">
        <f t="shared" si="53"/>
        <v>26650.413267033313</v>
      </c>
      <c r="P182" s="367">
        <f t="shared" si="54"/>
        <v>25.135022745695345</v>
      </c>
      <c r="Q182" s="367">
        <f t="shared" si="55"/>
        <v>0</v>
      </c>
      <c r="R182" s="368">
        <f t="shared" si="45"/>
        <v>29.91067706737746</v>
      </c>
      <c r="S182" s="384">
        <f>INDEX(FX!$D$3:$O$19,MATCH(B182,FX!$B$3:$B$32,0),MATCH(D182,FX!$D$2:$O$2,0))</f>
        <v>891</v>
      </c>
      <c r="T182" s="360" t="s">
        <v>143</v>
      </c>
      <c r="U182" s="360" t="s">
        <v>155</v>
      </c>
      <c r="V182" s="360" t="s">
        <v>83</v>
      </c>
      <c r="W182" s="364" t="str">
        <f>VLOOKUP(I182,Map!$F$18:$H$51,3,0)</f>
        <v>Variable</v>
      </c>
      <c r="X182" s="370" t="s">
        <v>149</v>
      </c>
      <c r="Y182" s="364" t="str">
        <f>VLOOKUP(L182,Map!$C$18:$D$29,2,0)</f>
        <v>DLT</v>
      </c>
      <c r="Z182" s="365"/>
      <c r="AA182" s="366">
        <f t="shared" si="42"/>
        <v>0</v>
      </c>
      <c r="AB182" s="366">
        <f t="shared" si="46"/>
        <v>0</v>
      </c>
      <c r="AC182" s="367">
        <f t="shared" si="43"/>
        <v>0</v>
      </c>
      <c r="AD182" s="367">
        <f t="shared" si="44"/>
        <v>0</v>
      </c>
      <c r="AE182" s="368">
        <f t="shared" si="47"/>
        <v>0</v>
      </c>
      <c r="AF182" s="385"/>
    </row>
    <row r="183" spans="2:32" s="1" customFormat="1" ht="13" hidden="1" x14ac:dyDescent="0.3">
      <c r="B183" s="383">
        <v>2026</v>
      </c>
      <c r="C183" s="361" t="s">
        <v>415</v>
      </c>
      <c r="D183" s="361" t="s">
        <v>159</v>
      </c>
      <c r="E183" s="360" t="s">
        <v>88</v>
      </c>
      <c r="F183" s="360" t="s">
        <v>80</v>
      </c>
      <c r="G183" s="362">
        <v>46177</v>
      </c>
      <c r="H183" s="363">
        <v>3720</v>
      </c>
      <c r="I183" s="360" t="s">
        <v>147</v>
      </c>
      <c r="J183" s="364" t="str">
        <f>IFERROR(VLOOKUP(I183,Map!$F$18:$G$56,2,0),"Add in Map")</f>
        <v>3P</v>
      </c>
      <c r="K183" s="364" t="str">
        <f>VLOOKUP(L183,Map!$C$18:$D$29,2,0)</f>
        <v>DMT</v>
      </c>
      <c r="L183" s="360" t="s">
        <v>54</v>
      </c>
      <c r="M183" s="365">
        <v>0</v>
      </c>
      <c r="N183" s="366">
        <f t="shared" si="52"/>
        <v>0</v>
      </c>
      <c r="O183" s="366">
        <f t="shared" si="53"/>
        <v>0</v>
      </c>
      <c r="P183" s="386">
        <f t="shared" si="54"/>
        <v>0</v>
      </c>
      <c r="Q183" s="367">
        <f t="shared" si="55"/>
        <v>0</v>
      </c>
      <c r="R183" s="368">
        <f t="shared" si="45"/>
        <v>0</v>
      </c>
      <c r="S183" s="384">
        <f>INDEX(FX!$D$3:$O$19,MATCH(B183,FX!$B$3:$B$32,0),MATCH(D183,FX!$D$2:$O$2,0))</f>
        <v>891</v>
      </c>
      <c r="T183" s="360" t="s">
        <v>143</v>
      </c>
      <c r="U183" s="360" t="s">
        <v>155</v>
      </c>
      <c r="V183" s="360" t="s">
        <v>83</v>
      </c>
      <c r="W183" s="364" t="str">
        <f>VLOOKUP(I183,Map!$F$18:$H$51,3,0)</f>
        <v>Variable</v>
      </c>
      <c r="X183" s="370" t="s">
        <v>149</v>
      </c>
      <c r="Y183" s="364" t="str">
        <f>VLOOKUP(L183,Map!$C$18:$D$29,2,0)</f>
        <v>DMT</v>
      </c>
      <c r="Z183" s="365"/>
      <c r="AA183" s="366">
        <f t="shared" si="42"/>
        <v>0</v>
      </c>
      <c r="AB183" s="366">
        <f t="shared" si="46"/>
        <v>0</v>
      </c>
      <c r="AC183" s="386">
        <f t="shared" si="43"/>
        <v>0</v>
      </c>
      <c r="AD183" s="367">
        <f t="shared" si="44"/>
        <v>0</v>
      </c>
      <c r="AE183" s="368">
        <f t="shared" si="47"/>
        <v>0</v>
      </c>
      <c r="AF183" s="385"/>
    </row>
    <row r="184" spans="2:32" s="37" customFormat="1" hidden="1" x14ac:dyDescent="0.35">
      <c r="B184" s="387">
        <v>2026</v>
      </c>
      <c r="C184" s="389" t="s">
        <v>415</v>
      </c>
      <c r="D184" s="389" t="s">
        <v>159</v>
      </c>
      <c r="E184" s="388" t="s">
        <v>88</v>
      </c>
      <c r="F184" s="388" t="s">
        <v>80</v>
      </c>
      <c r="G184" s="390">
        <v>46177</v>
      </c>
      <c r="H184" s="391">
        <v>3720</v>
      </c>
      <c r="I184" s="388" t="s">
        <v>147</v>
      </c>
      <c r="J184" s="392" t="str">
        <f>IFERROR(VLOOKUP(I184,Map!$F$18:$G$56,2,0),"Add in Map")</f>
        <v>3P</v>
      </c>
      <c r="K184" s="392" t="str">
        <f>VLOOKUP(L184,Map!$C$18:$D$29,2,0)</f>
        <v>TOTAL</v>
      </c>
      <c r="L184" s="388" t="s">
        <v>56</v>
      </c>
      <c r="M184" s="393">
        <f>SUM(M173:M183)</f>
        <v>7477508.0000000009</v>
      </c>
      <c r="N184" s="393">
        <f t="shared" si="52"/>
        <v>1420726.5200000003</v>
      </c>
      <c r="O184" s="393">
        <f t="shared" si="53"/>
        <v>8898234.5200000014</v>
      </c>
      <c r="P184" s="394">
        <f t="shared" si="54"/>
        <v>8392.2648709315381</v>
      </c>
      <c r="Q184" s="394">
        <f t="shared" si="55"/>
        <v>1594.5303254769922</v>
      </c>
      <c r="R184" s="395">
        <f t="shared" si="45"/>
        <v>9986.7951964085296</v>
      </c>
      <c r="S184" s="396">
        <f>INDEX(FX!$D$3:$O$19,MATCH(B184,FX!$B$3:$B$32,0),MATCH(D184,FX!$D$2:$O$2,0))</f>
        <v>891</v>
      </c>
      <c r="T184" s="388" t="s">
        <v>143</v>
      </c>
      <c r="U184" s="388" t="s">
        <v>155</v>
      </c>
      <c r="V184" s="388" t="s">
        <v>83</v>
      </c>
      <c r="W184" s="392" t="str">
        <f>VLOOKUP(I184,Map!$F$18:$H$51,3,0)</f>
        <v>Variable</v>
      </c>
      <c r="X184" s="397" t="s">
        <v>149</v>
      </c>
      <c r="Y184" s="392" t="str">
        <f>VLOOKUP(L184,Map!$C$18:$D$29,2,0)</f>
        <v>TOTAL</v>
      </c>
      <c r="Z184" s="413"/>
      <c r="AA184" s="393">
        <f t="shared" si="42"/>
        <v>0</v>
      </c>
      <c r="AB184" s="393">
        <f t="shared" si="46"/>
        <v>0</v>
      </c>
      <c r="AC184" s="394">
        <f t="shared" si="43"/>
        <v>0</v>
      </c>
      <c r="AD184" s="394">
        <f t="shared" si="44"/>
        <v>0</v>
      </c>
      <c r="AE184" s="395">
        <f t="shared" si="47"/>
        <v>0</v>
      </c>
      <c r="AF184" s="398"/>
    </row>
    <row r="185" spans="2:32" s="1" customFormat="1" ht="13" hidden="1" x14ac:dyDescent="0.3">
      <c r="B185" s="383">
        <v>2026</v>
      </c>
      <c r="C185" s="361" t="s">
        <v>413</v>
      </c>
      <c r="D185" s="361" t="s">
        <v>162</v>
      </c>
      <c r="E185" s="360" t="s">
        <v>88</v>
      </c>
      <c r="F185" s="360" t="s">
        <v>80</v>
      </c>
      <c r="G185" s="362">
        <v>46218</v>
      </c>
      <c r="H185" s="363">
        <v>3865</v>
      </c>
      <c r="I185" s="360" t="s">
        <v>147</v>
      </c>
      <c r="J185" s="364" t="str">
        <f>IFERROR(VLOOKUP(I185,Map!$F$18:$G$56,2,0),"Add in Map")</f>
        <v>3P</v>
      </c>
      <c r="K185" s="364" t="str">
        <f>VLOOKUP(L185,Map!$C$18:$D$29,2,0)</f>
        <v>CNT</v>
      </c>
      <c r="L185" s="360" t="s">
        <v>31</v>
      </c>
      <c r="M185" s="365">
        <v>5925697</v>
      </c>
      <c r="N185" s="366">
        <f t="shared" ref="N185:N220" si="56">IF(L185="TOTAL",(M185*0.19),0)</f>
        <v>0</v>
      </c>
      <c r="O185" s="366">
        <f t="shared" ref="O185:O220" si="57">M185*1.19</f>
        <v>7051579.4299999997</v>
      </c>
      <c r="P185" s="367">
        <f t="shared" ref="P185:P220" si="58">M185/S185</f>
        <v>6420.0400866738892</v>
      </c>
      <c r="Q185" s="367">
        <f t="shared" ref="Q185:Q220" si="59">IF(L185="TOTAL",(P185*0.19),0)</f>
        <v>0</v>
      </c>
      <c r="R185" s="368">
        <f t="shared" si="45"/>
        <v>7639.8477031419279</v>
      </c>
      <c r="S185" s="384">
        <f>INDEX(FX!$D$3:$O$19,MATCH(B185,FX!$B$3:$B$32,0),MATCH(D185,FX!$D$2:$O$2,0))</f>
        <v>923</v>
      </c>
      <c r="T185" s="360" t="s">
        <v>144</v>
      </c>
      <c r="U185" s="360" t="s">
        <v>32</v>
      </c>
      <c r="V185" s="360" t="s">
        <v>83</v>
      </c>
      <c r="W185" s="364" t="str">
        <f>VLOOKUP(I185,Map!$F$18:$H$51,3,0)</f>
        <v>Variable</v>
      </c>
      <c r="X185" s="370" t="s">
        <v>149</v>
      </c>
      <c r="Y185" s="364" t="str">
        <f>VLOOKUP(L185,Map!$C$18:$D$29,2,0)</f>
        <v>CNT</v>
      </c>
      <c r="Z185" s="365">
        <v>5535770.1671148753</v>
      </c>
      <c r="AA185" s="366">
        <f t="shared" si="42"/>
        <v>0</v>
      </c>
      <c r="AB185" s="366">
        <f t="shared" si="46"/>
        <v>6587566.4988667015</v>
      </c>
      <c r="AC185" s="367">
        <f t="shared" si="43"/>
        <v>5997.5841463866473</v>
      </c>
      <c r="AD185" s="367">
        <f t="shared" si="44"/>
        <v>0</v>
      </c>
      <c r="AE185" s="368">
        <f t="shared" si="47"/>
        <v>7137.1251342001096</v>
      </c>
      <c r="AF185" s="385"/>
    </row>
    <row r="186" spans="2:32" s="1" customFormat="1" ht="13" hidden="1" x14ac:dyDescent="0.3">
      <c r="B186" s="383">
        <v>2026</v>
      </c>
      <c r="C186" s="361" t="s">
        <v>413</v>
      </c>
      <c r="D186" s="361" t="s">
        <v>162</v>
      </c>
      <c r="E186" s="360" t="s">
        <v>88</v>
      </c>
      <c r="F186" s="360" t="s">
        <v>80</v>
      </c>
      <c r="G186" s="362">
        <v>46218</v>
      </c>
      <c r="H186" s="363">
        <v>3865</v>
      </c>
      <c r="I186" s="360" t="s">
        <v>147</v>
      </c>
      <c r="J186" s="364" t="str">
        <f>IFERROR(VLOOKUP(I186,Map!$F$18:$G$56,2,0),"Add in Map")</f>
        <v>3P</v>
      </c>
      <c r="K186" s="364" t="str">
        <f>VLOOKUP(L186,Map!$C$18:$D$29,2,0)</f>
        <v>CVT</v>
      </c>
      <c r="L186" s="360" t="s">
        <v>36</v>
      </c>
      <c r="M186" s="365">
        <v>114459</v>
      </c>
      <c r="N186" s="366">
        <f t="shared" si="56"/>
        <v>0</v>
      </c>
      <c r="O186" s="366">
        <f t="shared" si="57"/>
        <v>136206.21</v>
      </c>
      <c r="P186" s="367">
        <f t="shared" si="58"/>
        <v>124.00758396533044</v>
      </c>
      <c r="Q186" s="367">
        <f t="shared" si="59"/>
        <v>0</v>
      </c>
      <c r="R186" s="368">
        <f t="shared" si="45"/>
        <v>147.56902491874322</v>
      </c>
      <c r="S186" s="384">
        <f>INDEX(FX!$D$3:$O$19,MATCH(B186,FX!$B$3:$B$32,0),MATCH(D186,FX!$D$2:$O$2,0))</f>
        <v>923</v>
      </c>
      <c r="T186" s="360" t="s">
        <v>144</v>
      </c>
      <c r="U186" s="360" t="s">
        <v>32</v>
      </c>
      <c r="V186" s="360" t="s">
        <v>83</v>
      </c>
      <c r="W186" s="364" t="str">
        <f>VLOOKUP(I186,Map!$F$18:$H$51,3,0)</f>
        <v>Variable</v>
      </c>
      <c r="X186" s="370" t="s">
        <v>149</v>
      </c>
      <c r="Y186" s="364" t="str">
        <f>VLOOKUP(L186,Map!$C$18:$D$29,2,0)</f>
        <v>CVT</v>
      </c>
      <c r="Z186" s="365">
        <v>106927.54384855067</v>
      </c>
      <c r="AA186" s="366">
        <f t="shared" si="42"/>
        <v>0</v>
      </c>
      <c r="AB186" s="366">
        <f t="shared" si="46"/>
        <v>127243.77717977529</v>
      </c>
      <c r="AC186" s="367">
        <f t="shared" si="43"/>
        <v>115.84782648813724</v>
      </c>
      <c r="AD186" s="367">
        <f t="shared" si="44"/>
        <v>0</v>
      </c>
      <c r="AE186" s="368">
        <f t="shared" si="47"/>
        <v>137.85891352088331</v>
      </c>
      <c r="AF186" s="385"/>
    </row>
    <row r="187" spans="2:32" s="1" customFormat="1" ht="13" hidden="1" x14ac:dyDescent="0.3">
      <c r="B187" s="383">
        <v>2026</v>
      </c>
      <c r="C187" s="361" t="s">
        <v>413</v>
      </c>
      <c r="D187" s="361" t="s">
        <v>162</v>
      </c>
      <c r="E187" s="360" t="s">
        <v>88</v>
      </c>
      <c r="F187" s="360" t="s">
        <v>80</v>
      </c>
      <c r="G187" s="362">
        <v>46218</v>
      </c>
      <c r="H187" s="363">
        <v>3865</v>
      </c>
      <c r="I187" s="360" t="s">
        <v>147</v>
      </c>
      <c r="J187" s="364" t="str">
        <f>IFERROR(VLOOKUP(I187,Map!$F$18:$G$56,2,0),"Add in Map")</f>
        <v>3P</v>
      </c>
      <c r="K187" s="364" t="str">
        <f>VLOOKUP(L187,Map!$C$18:$D$29,2,0)</f>
        <v>CDT</v>
      </c>
      <c r="L187" s="360" t="s">
        <v>38</v>
      </c>
      <c r="M187" s="365">
        <v>198680</v>
      </c>
      <c r="N187" s="366">
        <f t="shared" si="56"/>
        <v>0</v>
      </c>
      <c r="O187" s="366">
        <f t="shared" si="57"/>
        <v>236429.19999999998</v>
      </c>
      <c r="P187" s="367">
        <f t="shared" si="58"/>
        <v>215.25460455037918</v>
      </c>
      <c r="Q187" s="367">
        <f t="shared" si="59"/>
        <v>0</v>
      </c>
      <c r="R187" s="368">
        <f t="shared" si="45"/>
        <v>256.15297941495123</v>
      </c>
      <c r="S187" s="384">
        <f>INDEX(FX!$D$3:$O$19,MATCH(B187,FX!$B$3:$B$32,0),MATCH(D187,FX!$D$2:$O$2,0))</f>
        <v>923</v>
      </c>
      <c r="T187" s="360" t="s">
        <v>144</v>
      </c>
      <c r="U187" s="360" t="s">
        <v>32</v>
      </c>
      <c r="V187" s="360" t="s">
        <v>83</v>
      </c>
      <c r="W187" s="364" t="str">
        <f>VLOOKUP(I187,Map!$F$18:$H$51,3,0)</f>
        <v>Variable</v>
      </c>
      <c r="X187" s="370" t="s">
        <v>149</v>
      </c>
      <c r="Y187" s="364" t="str">
        <f>VLOOKUP(L187,Map!$C$18:$D$29,2,0)</f>
        <v>CDT</v>
      </c>
      <c r="Z187" s="365">
        <v>185605.88752124683</v>
      </c>
      <c r="AA187" s="366">
        <f t="shared" si="42"/>
        <v>0</v>
      </c>
      <c r="AB187" s="366">
        <f t="shared" si="46"/>
        <v>220871.00615028371</v>
      </c>
      <c r="AC187" s="367">
        <f t="shared" si="43"/>
        <v>201.08980229820892</v>
      </c>
      <c r="AD187" s="367">
        <f t="shared" si="44"/>
        <v>0</v>
      </c>
      <c r="AE187" s="368">
        <f t="shared" si="47"/>
        <v>239.29686473486862</v>
      </c>
      <c r="AF187" s="385"/>
    </row>
    <row r="188" spans="2:32" s="1" customFormat="1" ht="13" hidden="1" x14ac:dyDescent="0.3">
      <c r="B188" s="383">
        <v>2026</v>
      </c>
      <c r="C188" s="361" t="s">
        <v>413</v>
      </c>
      <c r="D188" s="361" t="s">
        <v>162</v>
      </c>
      <c r="E188" s="360" t="s">
        <v>88</v>
      </c>
      <c r="F188" s="360" t="s">
        <v>80</v>
      </c>
      <c r="G188" s="362">
        <v>46218</v>
      </c>
      <c r="H188" s="363">
        <v>3865</v>
      </c>
      <c r="I188" s="360" t="s">
        <v>147</v>
      </c>
      <c r="J188" s="364" t="str">
        <f>IFERROR(VLOOKUP(I188,Map!$F$18:$G$56,2,0),"Add in Map")</f>
        <v>3P</v>
      </c>
      <c r="K188" s="364" t="str">
        <f>VLOOKUP(L188,Map!$C$18:$D$29,2,0)</f>
        <v>DFT</v>
      </c>
      <c r="L188" s="360" t="s">
        <v>40</v>
      </c>
      <c r="M188" s="365">
        <v>11121938.999999996</v>
      </c>
      <c r="N188" s="366">
        <f t="shared" si="56"/>
        <v>0</v>
      </c>
      <c r="O188" s="366">
        <f t="shared" si="57"/>
        <v>13235107.409999995</v>
      </c>
      <c r="P188" s="367">
        <f t="shared" si="58"/>
        <v>12049.771397616463</v>
      </c>
      <c r="Q188" s="367">
        <f t="shared" si="59"/>
        <v>0</v>
      </c>
      <c r="R188" s="368">
        <f t="shared" si="45"/>
        <v>14339.22796316359</v>
      </c>
      <c r="S188" s="384">
        <f>INDEX(FX!$D$3:$O$19,MATCH(B188,FX!$B$3:$B$32,0),MATCH(D188,FX!$D$2:$O$2,0))</f>
        <v>923</v>
      </c>
      <c r="T188" s="360" t="s">
        <v>144</v>
      </c>
      <c r="U188" s="360" t="s">
        <v>32</v>
      </c>
      <c r="V188" s="360" t="s">
        <v>83</v>
      </c>
      <c r="W188" s="364" t="str">
        <f>VLOOKUP(I188,Map!$F$18:$H$51,3,0)</f>
        <v>Variable</v>
      </c>
      <c r="X188" s="370" t="s">
        <v>149</v>
      </c>
      <c r="Y188" s="364" t="str">
        <f>VLOOKUP(L188,Map!$C$18:$D$29,2,0)</f>
        <v>DFT</v>
      </c>
      <c r="Z188" s="365">
        <v>10390084.153111497</v>
      </c>
      <c r="AA188" s="366">
        <f t="shared" si="42"/>
        <v>0</v>
      </c>
      <c r="AB188" s="366">
        <f t="shared" si="46"/>
        <v>12364200.142202681</v>
      </c>
      <c r="AC188" s="367">
        <f t="shared" si="43"/>
        <v>11256.862571085045</v>
      </c>
      <c r="AD188" s="367">
        <f t="shared" si="44"/>
        <v>0</v>
      </c>
      <c r="AE188" s="368">
        <f t="shared" si="47"/>
        <v>13395.666459591203</v>
      </c>
      <c r="AF188" s="385"/>
    </row>
    <row r="189" spans="2:32" s="1" customFormat="1" ht="13" hidden="1" x14ac:dyDescent="0.3">
      <c r="B189" s="383">
        <v>2026</v>
      </c>
      <c r="C189" s="361" t="s">
        <v>413</v>
      </c>
      <c r="D189" s="361" t="s">
        <v>162</v>
      </c>
      <c r="E189" s="360" t="s">
        <v>88</v>
      </c>
      <c r="F189" s="360" t="s">
        <v>80</v>
      </c>
      <c r="G189" s="362">
        <v>46218</v>
      </c>
      <c r="H189" s="363">
        <v>3865</v>
      </c>
      <c r="I189" s="360" t="s">
        <v>147</v>
      </c>
      <c r="J189" s="364" t="str">
        <f>IFERROR(VLOOKUP(I189,Map!$F$18:$G$56,2,0),"Add in Map")</f>
        <v>3P</v>
      </c>
      <c r="K189" s="364" t="str">
        <f>VLOOKUP(L189,Map!$C$18:$D$29,2,0)</f>
        <v>DVT</v>
      </c>
      <c r="L189" s="360" t="s">
        <v>42</v>
      </c>
      <c r="M189" s="365">
        <v>61402</v>
      </c>
      <c r="N189" s="366">
        <f t="shared" si="56"/>
        <v>0</v>
      </c>
      <c r="O189" s="366">
        <f t="shared" si="57"/>
        <v>73068.37999999999</v>
      </c>
      <c r="P189" s="367">
        <f t="shared" si="58"/>
        <v>66.524377031419291</v>
      </c>
      <c r="Q189" s="367">
        <f t="shared" si="59"/>
        <v>0</v>
      </c>
      <c r="R189" s="368">
        <f t="shared" si="45"/>
        <v>79.164008667388956</v>
      </c>
      <c r="S189" s="384">
        <f>INDEX(FX!$D$3:$O$19,MATCH(B189,FX!$B$3:$B$32,0),MATCH(D189,FX!$D$2:$O$2,0))</f>
        <v>923</v>
      </c>
      <c r="T189" s="360" t="s">
        <v>144</v>
      </c>
      <c r="U189" s="360" t="s">
        <v>32</v>
      </c>
      <c r="V189" s="360" t="s">
        <v>83</v>
      </c>
      <c r="W189" s="364" t="str">
        <f>VLOOKUP(I189,Map!$F$18:$H$51,3,0)</f>
        <v>Variable</v>
      </c>
      <c r="X189" s="370" t="s">
        <v>149</v>
      </c>
      <c r="Y189" s="364" t="str">
        <f>VLOOKUP(L189,Map!$C$18:$D$29,2,0)</f>
        <v>DVT</v>
      </c>
      <c r="Z189" s="365">
        <v>57361.613020384815</v>
      </c>
      <c r="AA189" s="366">
        <f t="shared" si="42"/>
        <v>0</v>
      </c>
      <c r="AB189" s="366">
        <f t="shared" si="46"/>
        <v>68260.319494257928</v>
      </c>
      <c r="AC189" s="367">
        <f t="shared" si="43"/>
        <v>62.146926349279326</v>
      </c>
      <c r="AD189" s="367">
        <f t="shared" si="44"/>
        <v>0</v>
      </c>
      <c r="AE189" s="368">
        <f t="shared" si="47"/>
        <v>73.954842355642398</v>
      </c>
      <c r="AF189" s="385"/>
    </row>
    <row r="190" spans="2:32" s="1" customFormat="1" ht="13" hidden="1" x14ac:dyDescent="0.3">
      <c r="B190" s="383">
        <v>2026</v>
      </c>
      <c r="C190" s="361" t="s">
        <v>413</v>
      </c>
      <c r="D190" s="361" t="s">
        <v>162</v>
      </c>
      <c r="E190" s="360" t="s">
        <v>88</v>
      </c>
      <c r="F190" s="360" t="s">
        <v>80</v>
      </c>
      <c r="G190" s="362">
        <v>46218</v>
      </c>
      <c r="H190" s="363">
        <v>3865</v>
      </c>
      <c r="I190" s="360" t="s">
        <v>147</v>
      </c>
      <c r="J190" s="364" t="str">
        <f>IFERROR(VLOOKUP(I190,Map!$F$18:$G$56,2,0),"Add in Map")</f>
        <v>3P</v>
      </c>
      <c r="K190" s="364" t="str">
        <f>VLOOKUP(L190,Map!$C$18:$D$29,2,0)</f>
        <v>GLT</v>
      </c>
      <c r="L190" s="360" t="s">
        <v>44</v>
      </c>
      <c r="M190" s="365">
        <v>10585988</v>
      </c>
      <c r="N190" s="366">
        <f t="shared" si="56"/>
        <v>0</v>
      </c>
      <c r="O190" s="366">
        <f t="shared" si="57"/>
        <v>12597325.719999999</v>
      </c>
      <c r="P190" s="367">
        <f t="shared" si="58"/>
        <v>11469.109425785482</v>
      </c>
      <c r="Q190" s="367">
        <f t="shared" si="59"/>
        <v>0</v>
      </c>
      <c r="R190" s="368">
        <f t="shared" si="45"/>
        <v>13648.240216684722</v>
      </c>
      <c r="S190" s="384">
        <f>INDEX(FX!$D$3:$O$19,MATCH(B190,FX!$B$3:$B$32,0),MATCH(D190,FX!$D$2:$O$2,0))</f>
        <v>923</v>
      </c>
      <c r="T190" s="360" t="s">
        <v>144</v>
      </c>
      <c r="U190" s="360" t="s">
        <v>32</v>
      </c>
      <c r="V190" s="360" t="s">
        <v>83</v>
      </c>
      <c r="W190" s="364" t="str">
        <f>VLOOKUP(I190,Map!$F$18:$H$51,3,0)</f>
        <v>Variable</v>
      </c>
      <c r="X190" s="370" t="s">
        <v>149</v>
      </c>
      <c r="Y190" s="364" t="str">
        <f>VLOOKUP(L190,Map!$C$18:$D$29,2,0)</f>
        <v>GLT</v>
      </c>
      <c r="Z190" s="365">
        <v>9889401.0582665373</v>
      </c>
      <c r="AA190" s="366">
        <f t="shared" si="42"/>
        <v>0</v>
      </c>
      <c r="AB190" s="366">
        <f t="shared" si="46"/>
        <v>11768387.259337179</v>
      </c>
      <c r="AC190" s="367">
        <f t="shared" si="43"/>
        <v>10714.410680678806</v>
      </c>
      <c r="AD190" s="367">
        <f t="shared" si="44"/>
        <v>0</v>
      </c>
      <c r="AE190" s="368">
        <f t="shared" si="47"/>
        <v>12750.148710007779</v>
      </c>
      <c r="AF190" s="385"/>
    </row>
    <row r="191" spans="2:32" s="1" customFormat="1" ht="13" hidden="1" x14ac:dyDescent="0.3">
      <c r="B191" s="383">
        <v>2026</v>
      </c>
      <c r="C191" s="361" t="s">
        <v>413</v>
      </c>
      <c r="D191" s="361" t="s">
        <v>162</v>
      </c>
      <c r="E191" s="360" t="s">
        <v>88</v>
      </c>
      <c r="F191" s="360" t="s">
        <v>80</v>
      </c>
      <c r="G191" s="362">
        <v>46218</v>
      </c>
      <c r="H191" s="363">
        <v>3865</v>
      </c>
      <c r="I191" s="360" t="s">
        <v>147</v>
      </c>
      <c r="J191" s="364" t="str">
        <f>IFERROR(VLOOKUP(I191,Map!$F$18:$G$56,2,0),"Add in Map")</f>
        <v>3P</v>
      </c>
      <c r="K191" s="364" t="str">
        <f>VLOOKUP(L191,Map!$C$18:$D$29,2,0)</f>
        <v>PNT</v>
      </c>
      <c r="L191" s="360" t="s">
        <v>46</v>
      </c>
      <c r="M191" s="365">
        <v>333751</v>
      </c>
      <c r="N191" s="366">
        <f t="shared" si="56"/>
        <v>0</v>
      </c>
      <c r="O191" s="366">
        <f t="shared" si="57"/>
        <v>397163.69</v>
      </c>
      <c r="P191" s="367">
        <f t="shared" si="58"/>
        <v>361.59371614301193</v>
      </c>
      <c r="Q191" s="367">
        <f t="shared" si="59"/>
        <v>0</v>
      </c>
      <c r="R191" s="368">
        <f t="shared" si="45"/>
        <v>430.29652221018421</v>
      </c>
      <c r="S191" s="384">
        <f>INDEX(FX!$D$3:$O$19,MATCH(B191,FX!$B$3:$B$32,0),MATCH(D191,FX!$D$2:$O$2,0))</f>
        <v>923</v>
      </c>
      <c r="T191" s="360" t="s">
        <v>144</v>
      </c>
      <c r="U191" s="360" t="s">
        <v>32</v>
      </c>
      <c r="V191" s="360" t="s">
        <v>83</v>
      </c>
      <c r="W191" s="364" t="str">
        <f>VLOOKUP(I191,Map!$F$18:$H$51,3,0)</f>
        <v>Variable</v>
      </c>
      <c r="X191" s="370" t="s">
        <v>149</v>
      </c>
      <c r="Y191" s="364" t="str">
        <f>VLOOKUP(L191,Map!$C$18:$D$29,2,0)</f>
        <v>PNT</v>
      </c>
      <c r="Z191" s="365">
        <v>311789.6952255927</v>
      </c>
      <c r="AA191" s="366">
        <f t="shared" si="42"/>
        <v>0</v>
      </c>
      <c r="AB191" s="366">
        <f t="shared" si="46"/>
        <v>371029.7373184553</v>
      </c>
      <c r="AC191" s="367">
        <f t="shared" si="43"/>
        <v>337.80031985437995</v>
      </c>
      <c r="AD191" s="367">
        <f t="shared" si="44"/>
        <v>0</v>
      </c>
      <c r="AE191" s="368">
        <f t="shared" si="47"/>
        <v>401.98238062671214</v>
      </c>
      <c r="AF191" s="385"/>
    </row>
    <row r="192" spans="2:32" s="1" customFormat="1" ht="13" hidden="1" x14ac:dyDescent="0.3">
      <c r="B192" s="383">
        <v>2026</v>
      </c>
      <c r="C192" s="361" t="s">
        <v>413</v>
      </c>
      <c r="D192" s="361" t="s">
        <v>162</v>
      </c>
      <c r="E192" s="360" t="s">
        <v>88</v>
      </c>
      <c r="F192" s="360" t="s">
        <v>80</v>
      </c>
      <c r="G192" s="362">
        <v>46218</v>
      </c>
      <c r="H192" s="363">
        <v>3865</v>
      </c>
      <c r="I192" s="360" t="s">
        <v>147</v>
      </c>
      <c r="J192" s="364" t="str">
        <f>IFERROR(VLOOKUP(I192,Map!$F$18:$G$56,2,0),"Add in Map")</f>
        <v>3P</v>
      </c>
      <c r="K192" s="364" t="str">
        <f>VLOOKUP(L192,Map!$C$18:$D$29,2,0)</f>
        <v>GTT</v>
      </c>
      <c r="L192" s="360" t="s">
        <v>48</v>
      </c>
      <c r="M192" s="365">
        <v>460621</v>
      </c>
      <c r="N192" s="366">
        <f t="shared" si="56"/>
        <v>0</v>
      </c>
      <c r="O192" s="366">
        <f t="shared" si="57"/>
        <v>548138.99</v>
      </c>
      <c r="P192" s="367">
        <f t="shared" si="58"/>
        <v>499.04767063921992</v>
      </c>
      <c r="Q192" s="367">
        <f t="shared" si="59"/>
        <v>0</v>
      </c>
      <c r="R192" s="368">
        <f t="shared" si="45"/>
        <v>593.86672806067168</v>
      </c>
      <c r="S192" s="384">
        <f>INDEX(FX!$D$3:$O$19,MATCH(B192,FX!$B$3:$B$32,0),MATCH(D192,FX!$D$2:$O$2,0))</f>
        <v>923</v>
      </c>
      <c r="T192" s="360" t="s">
        <v>144</v>
      </c>
      <c r="U192" s="360" t="s">
        <v>32</v>
      </c>
      <c r="V192" s="360" t="s">
        <v>83</v>
      </c>
      <c r="W192" s="364" t="str">
        <f>VLOOKUP(I192,Map!$F$18:$H$51,3,0)</f>
        <v>Variable</v>
      </c>
      <c r="X192" s="370" t="s">
        <v>149</v>
      </c>
      <c r="Y192" s="364" t="str">
        <f>VLOOKUP(L192,Map!$C$18:$D$29,2,0)</f>
        <v>GTT</v>
      </c>
      <c r="Z192" s="365">
        <v>430311.27154398826</v>
      </c>
      <c r="AA192" s="366">
        <f t="shared" si="42"/>
        <v>0</v>
      </c>
      <c r="AB192" s="366">
        <f t="shared" si="46"/>
        <v>512070.41313734598</v>
      </c>
      <c r="AC192" s="367">
        <f t="shared" si="43"/>
        <v>466.20939495556689</v>
      </c>
      <c r="AD192" s="367">
        <f t="shared" si="44"/>
        <v>0</v>
      </c>
      <c r="AE192" s="368">
        <f t="shared" si="47"/>
        <v>554.78917999712462</v>
      </c>
      <c r="AF192" s="385"/>
    </row>
    <row r="193" spans="2:32" s="1" customFormat="1" ht="13" hidden="1" x14ac:dyDescent="0.3">
      <c r="B193" s="383">
        <v>2026</v>
      </c>
      <c r="C193" s="361" t="s">
        <v>413</v>
      </c>
      <c r="D193" s="361" t="s">
        <v>162</v>
      </c>
      <c r="E193" s="360" t="s">
        <v>88</v>
      </c>
      <c r="F193" s="360" t="s">
        <v>80</v>
      </c>
      <c r="G193" s="362">
        <v>46218</v>
      </c>
      <c r="H193" s="363">
        <v>3865</v>
      </c>
      <c r="I193" s="360" t="s">
        <v>147</v>
      </c>
      <c r="J193" s="364" t="str">
        <f>IFERROR(VLOOKUP(I193,Map!$F$18:$G$56,2,0),"Add in Map")</f>
        <v>3P</v>
      </c>
      <c r="K193" s="364" t="str">
        <f>VLOOKUP(L193,Map!$C$18:$D$29,2,0)</f>
        <v>DGT</v>
      </c>
      <c r="L193" s="360" t="s">
        <v>50</v>
      </c>
      <c r="M193" s="365">
        <v>271921</v>
      </c>
      <c r="N193" s="366">
        <f t="shared" si="56"/>
        <v>0</v>
      </c>
      <c r="O193" s="366">
        <f t="shared" si="57"/>
        <v>323585.99</v>
      </c>
      <c r="P193" s="367">
        <f t="shared" si="58"/>
        <v>294.6056338028169</v>
      </c>
      <c r="Q193" s="367">
        <f t="shared" si="59"/>
        <v>0</v>
      </c>
      <c r="R193" s="368">
        <f t="shared" si="45"/>
        <v>350.58070422535206</v>
      </c>
      <c r="S193" s="384">
        <f>INDEX(FX!$D$3:$O$19,MATCH(B193,FX!$B$3:$B$32,0),MATCH(D193,FX!$D$2:$O$2,0))</f>
        <v>923</v>
      </c>
      <c r="T193" s="360" t="s">
        <v>144</v>
      </c>
      <c r="U193" s="360" t="s">
        <v>32</v>
      </c>
      <c r="V193" s="360" t="s">
        <v>83</v>
      </c>
      <c r="W193" s="364" t="str">
        <f>VLOOKUP(I193,Map!$F$18:$H$51,3,0)</f>
        <v>Variable</v>
      </c>
      <c r="X193" s="370" t="s">
        <v>149</v>
      </c>
      <c r="Y193" s="364" t="str">
        <f>VLOOKUP(L193,Map!$C$18:$D$29,2,0)</f>
        <v>DGT</v>
      </c>
      <c r="Z193" s="365">
        <v>254028.11985087369</v>
      </c>
      <c r="AA193" s="366">
        <f t="shared" si="42"/>
        <v>0</v>
      </c>
      <c r="AB193" s="366">
        <f t="shared" si="46"/>
        <v>302293.46262253966</v>
      </c>
      <c r="AC193" s="367">
        <f t="shared" si="43"/>
        <v>275.22006484385014</v>
      </c>
      <c r="AD193" s="367">
        <f t="shared" si="44"/>
        <v>0</v>
      </c>
      <c r="AE193" s="368">
        <f t="shared" si="47"/>
        <v>327.51187716418167</v>
      </c>
      <c r="AF193" s="385"/>
    </row>
    <row r="194" spans="2:32" s="1" customFormat="1" ht="13" hidden="1" x14ac:dyDescent="0.3">
      <c r="B194" s="383">
        <v>2026</v>
      </c>
      <c r="C194" s="361" t="s">
        <v>413</v>
      </c>
      <c r="D194" s="361" t="s">
        <v>162</v>
      </c>
      <c r="E194" s="360" t="s">
        <v>88</v>
      </c>
      <c r="F194" s="360" t="s">
        <v>80</v>
      </c>
      <c r="G194" s="362">
        <v>46218</v>
      </c>
      <c r="H194" s="363">
        <v>3865</v>
      </c>
      <c r="I194" s="360" t="s">
        <v>147</v>
      </c>
      <c r="J194" s="364" t="str">
        <f>IFERROR(VLOOKUP(I194,Map!$F$18:$G$56,2,0),"Add in Map")</f>
        <v>3P</v>
      </c>
      <c r="K194" s="364" t="str">
        <f>VLOOKUP(L194,Map!$C$18:$D$29,2,0)</f>
        <v>DLT</v>
      </c>
      <c r="L194" s="360" t="s">
        <v>52</v>
      </c>
      <c r="M194" s="365">
        <v>107887</v>
      </c>
      <c r="N194" s="366">
        <f t="shared" si="56"/>
        <v>0</v>
      </c>
      <c r="O194" s="366">
        <f t="shared" si="57"/>
        <v>128385.53</v>
      </c>
      <c r="P194" s="367">
        <f t="shared" si="58"/>
        <v>116.88732394366197</v>
      </c>
      <c r="Q194" s="367">
        <f t="shared" si="59"/>
        <v>0</v>
      </c>
      <c r="R194" s="368">
        <f t="shared" si="45"/>
        <v>139.09591549295774</v>
      </c>
      <c r="S194" s="384">
        <f>INDEX(FX!$D$3:$O$19,MATCH(B194,FX!$B$3:$B$32,0),MATCH(D194,FX!$D$2:$O$2,0))</f>
        <v>923</v>
      </c>
      <c r="T194" s="360" t="s">
        <v>144</v>
      </c>
      <c r="U194" s="360" t="s">
        <v>32</v>
      </c>
      <c r="V194" s="360" t="s">
        <v>83</v>
      </c>
      <c r="W194" s="364" t="str">
        <f>VLOOKUP(I194,Map!$F$18:$H$51,3,0)</f>
        <v>Variable</v>
      </c>
      <c r="X194" s="370" t="s">
        <v>149</v>
      </c>
      <c r="Y194" s="364" t="str">
        <f>VLOOKUP(L194,Map!$C$18:$D$29,2,0)</f>
        <v>DLT</v>
      </c>
      <c r="Z194" s="365">
        <v>100787.73408295128</v>
      </c>
      <c r="AA194" s="366">
        <f t="shared" si="42"/>
        <v>0</v>
      </c>
      <c r="AB194" s="366">
        <f t="shared" si="46"/>
        <v>119937.40355871202</v>
      </c>
      <c r="AC194" s="367">
        <f t="shared" si="43"/>
        <v>109.19581157416174</v>
      </c>
      <c r="AD194" s="367">
        <f t="shared" si="44"/>
        <v>0</v>
      </c>
      <c r="AE194" s="368">
        <f t="shared" si="47"/>
        <v>129.94301577325245</v>
      </c>
      <c r="AF194" s="385"/>
    </row>
    <row r="195" spans="2:32" s="1" customFormat="1" ht="13" hidden="1" x14ac:dyDescent="0.3">
      <c r="B195" s="383">
        <v>2026</v>
      </c>
      <c r="C195" s="361" t="s">
        <v>413</v>
      </c>
      <c r="D195" s="361" t="s">
        <v>162</v>
      </c>
      <c r="E195" s="360" t="s">
        <v>88</v>
      </c>
      <c r="F195" s="360" t="s">
        <v>80</v>
      </c>
      <c r="G195" s="362">
        <v>46218</v>
      </c>
      <c r="H195" s="363">
        <v>3865</v>
      </c>
      <c r="I195" s="360" t="s">
        <v>147</v>
      </c>
      <c r="J195" s="364" t="str">
        <f>IFERROR(VLOOKUP(I195,Map!$F$18:$G$56,2,0),"Add in Map")</f>
        <v>3P</v>
      </c>
      <c r="K195" s="364" t="str">
        <f>VLOOKUP(L195,Map!$C$18:$D$29,2,0)</f>
        <v>DMT</v>
      </c>
      <c r="L195" s="360" t="s">
        <v>54</v>
      </c>
      <c r="M195" s="365">
        <v>0</v>
      </c>
      <c r="N195" s="366">
        <f t="shared" si="56"/>
        <v>0</v>
      </c>
      <c r="O195" s="366">
        <f t="shared" si="57"/>
        <v>0</v>
      </c>
      <c r="P195" s="386">
        <f t="shared" si="58"/>
        <v>0</v>
      </c>
      <c r="Q195" s="367">
        <f t="shared" si="59"/>
        <v>0</v>
      </c>
      <c r="R195" s="368">
        <f t="shared" si="45"/>
        <v>0</v>
      </c>
      <c r="S195" s="384">
        <f>INDEX(FX!$D$3:$O$19,MATCH(B195,FX!$B$3:$B$32,0),MATCH(D195,FX!$D$2:$O$2,0))</f>
        <v>923</v>
      </c>
      <c r="T195" s="360" t="s">
        <v>144</v>
      </c>
      <c r="U195" s="360" t="s">
        <v>32</v>
      </c>
      <c r="V195" s="360" t="s">
        <v>83</v>
      </c>
      <c r="W195" s="364" t="str">
        <f>VLOOKUP(I195,Map!$F$18:$H$51,3,0)</f>
        <v>Variable</v>
      </c>
      <c r="X195" s="370" t="s">
        <v>149</v>
      </c>
      <c r="Y195" s="364" t="str">
        <f>VLOOKUP(L195,Map!$C$18:$D$29,2,0)</f>
        <v>DMT</v>
      </c>
      <c r="Z195" s="365">
        <v>0</v>
      </c>
      <c r="AA195" s="366">
        <f t="shared" si="42"/>
        <v>0</v>
      </c>
      <c r="AB195" s="366">
        <f t="shared" si="46"/>
        <v>0</v>
      </c>
      <c r="AC195" s="386">
        <f t="shared" si="43"/>
        <v>0</v>
      </c>
      <c r="AD195" s="367">
        <f t="shared" si="44"/>
        <v>0</v>
      </c>
      <c r="AE195" s="368">
        <f t="shared" si="47"/>
        <v>0</v>
      </c>
      <c r="AF195" s="385"/>
    </row>
    <row r="196" spans="2:32" s="37" customFormat="1" hidden="1" x14ac:dyDescent="0.35">
      <c r="B196" s="387">
        <v>2026</v>
      </c>
      <c r="C196" s="389" t="s">
        <v>413</v>
      </c>
      <c r="D196" s="389" t="s">
        <v>162</v>
      </c>
      <c r="E196" s="388" t="s">
        <v>88</v>
      </c>
      <c r="F196" s="388" t="s">
        <v>80</v>
      </c>
      <c r="G196" s="390">
        <v>46218</v>
      </c>
      <c r="H196" s="391">
        <v>3865</v>
      </c>
      <c r="I196" s="388" t="s">
        <v>147</v>
      </c>
      <c r="J196" s="392" t="str">
        <f>IFERROR(VLOOKUP(I196,Map!$F$18:$G$56,2,0),"Add in Map")</f>
        <v>3P</v>
      </c>
      <c r="K196" s="392" t="str">
        <f>VLOOKUP(L196,Map!$C$18:$D$29,2,0)</f>
        <v>TOTAL</v>
      </c>
      <c r="L196" s="388" t="s">
        <v>56</v>
      </c>
      <c r="M196" s="393">
        <f>SUM(M185:M195)</f>
        <v>29182344.999999996</v>
      </c>
      <c r="N196" s="393">
        <f t="shared" si="56"/>
        <v>5544645.5499999998</v>
      </c>
      <c r="O196" s="393">
        <f t="shared" si="57"/>
        <v>34726990.549999997</v>
      </c>
      <c r="P196" s="394">
        <f t="shared" si="58"/>
        <v>31616.841820151676</v>
      </c>
      <c r="Q196" s="394">
        <f t="shared" si="59"/>
        <v>6007.1999458288183</v>
      </c>
      <c r="R196" s="395">
        <f t="shared" si="45"/>
        <v>37624.041765980495</v>
      </c>
      <c r="S196" s="396">
        <f>INDEX(FX!$D$3:$O$19,MATCH(B196,FX!$B$3:$B$32,0),MATCH(D196,FX!$D$2:$O$2,0))</f>
        <v>923</v>
      </c>
      <c r="T196" s="388" t="s">
        <v>144</v>
      </c>
      <c r="U196" s="388" t="s">
        <v>32</v>
      </c>
      <c r="V196" s="388" t="s">
        <v>83</v>
      </c>
      <c r="W196" s="392" t="str">
        <f>VLOOKUP(I196,Map!$F$18:$H$51,3,0)</f>
        <v>Variable</v>
      </c>
      <c r="X196" s="397" t="s">
        <v>149</v>
      </c>
      <c r="Y196" s="392" t="str">
        <f>VLOOKUP(L196,Map!$C$18:$D$29,2,0)</f>
        <v>TOTAL</v>
      </c>
      <c r="Z196" s="393">
        <f>SUM(Z185:Z195)</f>
        <v>27262067.243586499</v>
      </c>
      <c r="AA196" s="393">
        <f t="shared" si="42"/>
        <v>5179792.776281435</v>
      </c>
      <c r="AB196" s="393">
        <f t="shared" si="46"/>
        <v>32441860.019867934</v>
      </c>
      <c r="AC196" s="394">
        <f t="shared" si="43"/>
        <v>29536.367544514083</v>
      </c>
      <c r="AD196" s="394">
        <f t="shared" si="44"/>
        <v>5611.9098334576756</v>
      </c>
      <c r="AE196" s="395">
        <f t="shared" si="47"/>
        <v>35148.277377971761</v>
      </c>
      <c r="AF196" s="398"/>
    </row>
    <row r="197" spans="2:32" s="1" customFormat="1" ht="13" hidden="1" x14ac:dyDescent="0.3">
      <c r="B197" s="383">
        <v>2026</v>
      </c>
      <c r="C197" s="361" t="s">
        <v>413</v>
      </c>
      <c r="D197" s="361" t="s">
        <v>162</v>
      </c>
      <c r="E197" s="360" t="s">
        <v>88</v>
      </c>
      <c r="F197" s="360" t="s">
        <v>80</v>
      </c>
      <c r="G197" s="362">
        <v>46218</v>
      </c>
      <c r="H197" s="363">
        <v>3865</v>
      </c>
      <c r="I197" s="360" t="s">
        <v>147</v>
      </c>
      <c r="J197" s="364" t="str">
        <f>IFERROR(VLOOKUP(I197,Map!$F$18:$G$56,2,0),"Add in Map")</f>
        <v>3P</v>
      </c>
      <c r="K197" s="364" t="str">
        <f>VLOOKUP(L197,Map!$C$18:$D$29,2,0)</f>
        <v>CNT</v>
      </c>
      <c r="L197" s="360" t="s">
        <v>31</v>
      </c>
      <c r="M197" s="365"/>
      <c r="N197" s="366">
        <f t="shared" si="56"/>
        <v>0</v>
      </c>
      <c r="O197" s="366">
        <f t="shared" si="57"/>
        <v>0</v>
      </c>
      <c r="P197" s="367">
        <f t="shared" si="58"/>
        <v>0</v>
      </c>
      <c r="Q197" s="367">
        <f t="shared" si="59"/>
        <v>0</v>
      </c>
      <c r="R197" s="368">
        <f t="shared" si="45"/>
        <v>0</v>
      </c>
      <c r="S197" s="384">
        <f>INDEX(FX!$D$3:$O$19,MATCH(B197,FX!$B$3:$B$32,0),MATCH(D197,FX!$D$2:$O$2,0))</f>
        <v>923</v>
      </c>
      <c r="T197" s="360" t="s">
        <v>142</v>
      </c>
      <c r="U197" s="360" t="s">
        <v>32</v>
      </c>
      <c r="V197" s="360" t="s">
        <v>83</v>
      </c>
      <c r="W197" s="364" t="str">
        <f>VLOOKUP(I197,Map!$F$18:$H$51,3,0)</f>
        <v>Variable</v>
      </c>
      <c r="X197" s="370" t="s">
        <v>149</v>
      </c>
      <c r="Y197" s="364" t="str">
        <f>VLOOKUP(L197,Map!$C$18:$D$29,2,0)</f>
        <v>CNT</v>
      </c>
      <c r="Z197" s="365">
        <v>1667877.4898939773</v>
      </c>
      <c r="AA197" s="366">
        <f t="shared" si="42"/>
        <v>0</v>
      </c>
      <c r="AB197" s="366">
        <f t="shared" si="46"/>
        <v>1984774.2129738329</v>
      </c>
      <c r="AC197" s="367">
        <f t="shared" si="43"/>
        <v>1807.0178655406037</v>
      </c>
      <c r="AD197" s="367">
        <f t="shared" si="44"/>
        <v>0</v>
      </c>
      <c r="AE197" s="368">
        <f t="shared" si="47"/>
        <v>2150.3512599933183</v>
      </c>
      <c r="AF197" s="385"/>
    </row>
    <row r="198" spans="2:32" s="1" customFormat="1" ht="13" hidden="1" x14ac:dyDescent="0.3">
      <c r="B198" s="383">
        <v>2026</v>
      </c>
      <c r="C198" s="361" t="s">
        <v>413</v>
      </c>
      <c r="D198" s="361" t="s">
        <v>162</v>
      </c>
      <c r="E198" s="360" t="s">
        <v>88</v>
      </c>
      <c r="F198" s="360" t="s">
        <v>80</v>
      </c>
      <c r="G198" s="362">
        <v>46218</v>
      </c>
      <c r="H198" s="363">
        <v>3865</v>
      </c>
      <c r="I198" s="360" t="s">
        <v>147</v>
      </c>
      <c r="J198" s="364" t="str">
        <f>IFERROR(VLOOKUP(I198,Map!$F$18:$G$56,2,0),"Add in Map")</f>
        <v>3P</v>
      </c>
      <c r="K198" s="364" t="str">
        <f>VLOOKUP(L198,Map!$C$18:$D$29,2,0)</f>
        <v>CVT</v>
      </c>
      <c r="L198" s="360" t="s">
        <v>36</v>
      </c>
      <c r="M198" s="365"/>
      <c r="N198" s="366">
        <f t="shared" si="56"/>
        <v>0</v>
      </c>
      <c r="O198" s="366">
        <f t="shared" si="57"/>
        <v>0</v>
      </c>
      <c r="P198" s="367">
        <f t="shared" si="58"/>
        <v>0</v>
      </c>
      <c r="Q198" s="367">
        <f t="shared" si="59"/>
        <v>0</v>
      </c>
      <c r="R198" s="368">
        <f t="shared" si="45"/>
        <v>0</v>
      </c>
      <c r="S198" s="384">
        <f>INDEX(FX!$D$3:$O$19,MATCH(B198,FX!$B$3:$B$32,0),MATCH(D198,FX!$D$2:$O$2,0))</f>
        <v>923</v>
      </c>
      <c r="T198" s="360" t="s">
        <v>142</v>
      </c>
      <c r="U198" s="360" t="s">
        <v>32</v>
      </c>
      <c r="V198" s="360" t="s">
        <v>83</v>
      </c>
      <c r="W198" s="364" t="str">
        <f>VLOOKUP(I198,Map!$F$18:$H$51,3,0)</f>
        <v>Variable</v>
      </c>
      <c r="X198" s="370" t="s">
        <v>149</v>
      </c>
      <c r="Y198" s="364" t="str">
        <f>VLOOKUP(L198,Map!$C$18:$D$29,2,0)</f>
        <v>CVT</v>
      </c>
      <c r="Z198" s="365">
        <v>32216.30198704527</v>
      </c>
      <c r="AA198" s="366">
        <f t="shared" si="42"/>
        <v>0</v>
      </c>
      <c r="AB198" s="366">
        <f t="shared" si="46"/>
        <v>38337.399364583871</v>
      </c>
      <c r="AC198" s="367">
        <f t="shared" si="43"/>
        <v>34.903902477838862</v>
      </c>
      <c r="AD198" s="367">
        <f t="shared" si="44"/>
        <v>0</v>
      </c>
      <c r="AE198" s="368">
        <f t="shared" si="47"/>
        <v>41.535643948628241</v>
      </c>
      <c r="AF198" s="385"/>
    </row>
    <row r="199" spans="2:32" s="1" customFormat="1" ht="13" hidden="1" x14ac:dyDescent="0.3">
      <c r="B199" s="383">
        <v>2026</v>
      </c>
      <c r="C199" s="361" t="s">
        <v>413</v>
      </c>
      <c r="D199" s="361" t="s">
        <v>162</v>
      </c>
      <c r="E199" s="360" t="s">
        <v>88</v>
      </c>
      <c r="F199" s="360" t="s">
        <v>80</v>
      </c>
      <c r="G199" s="362">
        <v>46218</v>
      </c>
      <c r="H199" s="363">
        <v>3865</v>
      </c>
      <c r="I199" s="360" t="s">
        <v>147</v>
      </c>
      <c r="J199" s="364" t="str">
        <f>IFERROR(VLOOKUP(I199,Map!$F$18:$G$56,2,0),"Add in Map")</f>
        <v>3P</v>
      </c>
      <c r="K199" s="364" t="str">
        <f>VLOOKUP(L199,Map!$C$18:$D$29,2,0)</f>
        <v>CDT</v>
      </c>
      <c r="L199" s="360" t="s">
        <v>38</v>
      </c>
      <c r="M199" s="365"/>
      <c r="N199" s="366">
        <f t="shared" si="56"/>
        <v>0</v>
      </c>
      <c r="O199" s="366">
        <f t="shared" si="57"/>
        <v>0</v>
      </c>
      <c r="P199" s="367">
        <f t="shared" si="58"/>
        <v>0</v>
      </c>
      <c r="Q199" s="367">
        <f t="shared" si="59"/>
        <v>0</v>
      </c>
      <c r="R199" s="368">
        <f t="shared" si="45"/>
        <v>0</v>
      </c>
      <c r="S199" s="384">
        <f>INDEX(FX!$D$3:$O$19,MATCH(B199,FX!$B$3:$B$32,0),MATCH(D199,FX!$D$2:$O$2,0))</f>
        <v>923</v>
      </c>
      <c r="T199" s="360" t="s">
        <v>142</v>
      </c>
      <c r="U199" s="360" t="s">
        <v>32</v>
      </c>
      <c r="V199" s="360" t="s">
        <v>83</v>
      </c>
      <c r="W199" s="364" t="str">
        <f>VLOOKUP(I199,Map!$F$18:$H$51,3,0)</f>
        <v>Variable</v>
      </c>
      <c r="X199" s="370" t="s">
        <v>149</v>
      </c>
      <c r="Y199" s="364" t="str">
        <f>VLOOKUP(L199,Map!$C$18:$D$29,2,0)</f>
        <v>CDT</v>
      </c>
      <c r="Z199" s="365">
        <v>55921.375426216655</v>
      </c>
      <c r="AA199" s="366">
        <f t="shared" si="42"/>
        <v>0</v>
      </c>
      <c r="AB199" s="366">
        <f t="shared" si="46"/>
        <v>66546.436757197822</v>
      </c>
      <c r="AC199" s="367">
        <f t="shared" si="43"/>
        <v>60.58653892331165</v>
      </c>
      <c r="AD199" s="367">
        <f t="shared" si="44"/>
        <v>0</v>
      </c>
      <c r="AE199" s="368">
        <f t="shared" si="47"/>
        <v>72.097981318740864</v>
      </c>
      <c r="AF199" s="385"/>
    </row>
    <row r="200" spans="2:32" s="1" customFormat="1" ht="13" hidden="1" x14ac:dyDescent="0.3">
      <c r="B200" s="383">
        <v>2026</v>
      </c>
      <c r="C200" s="361" t="s">
        <v>413</v>
      </c>
      <c r="D200" s="361" t="s">
        <v>162</v>
      </c>
      <c r="E200" s="360" t="s">
        <v>88</v>
      </c>
      <c r="F200" s="360" t="s">
        <v>80</v>
      </c>
      <c r="G200" s="362">
        <v>46218</v>
      </c>
      <c r="H200" s="363">
        <v>3865</v>
      </c>
      <c r="I200" s="360" t="s">
        <v>147</v>
      </c>
      <c r="J200" s="364" t="str">
        <f>IFERROR(VLOOKUP(I200,Map!$F$18:$G$56,2,0),"Add in Map")</f>
        <v>3P</v>
      </c>
      <c r="K200" s="364" t="str">
        <f>VLOOKUP(L200,Map!$C$18:$D$29,2,0)</f>
        <v>DFT</v>
      </c>
      <c r="L200" s="360" t="s">
        <v>40</v>
      </c>
      <c r="M200" s="365"/>
      <c r="N200" s="366">
        <f t="shared" si="56"/>
        <v>0</v>
      </c>
      <c r="O200" s="366">
        <f t="shared" si="57"/>
        <v>0</v>
      </c>
      <c r="P200" s="367">
        <f t="shared" si="58"/>
        <v>0</v>
      </c>
      <c r="Q200" s="367">
        <f t="shared" si="59"/>
        <v>0</v>
      </c>
      <c r="R200" s="368">
        <f t="shared" si="45"/>
        <v>0</v>
      </c>
      <c r="S200" s="384">
        <f>INDEX(FX!$D$3:$O$19,MATCH(B200,FX!$B$3:$B$32,0),MATCH(D200,FX!$D$2:$O$2,0))</f>
        <v>923</v>
      </c>
      <c r="T200" s="360" t="s">
        <v>142</v>
      </c>
      <c r="U200" s="360" t="s">
        <v>32</v>
      </c>
      <c r="V200" s="360" t="s">
        <v>83</v>
      </c>
      <c r="W200" s="364" t="str">
        <f>VLOOKUP(I200,Map!$F$18:$H$51,3,0)</f>
        <v>Variable</v>
      </c>
      <c r="X200" s="370" t="s">
        <v>149</v>
      </c>
      <c r="Y200" s="364" t="str">
        <f>VLOOKUP(L200,Map!$C$18:$D$29,2,0)</f>
        <v>DFT</v>
      </c>
      <c r="Z200" s="365">
        <v>3130438.3950084583</v>
      </c>
      <c r="AA200" s="366">
        <f t="shared" si="42"/>
        <v>0</v>
      </c>
      <c r="AB200" s="366">
        <f t="shared" si="46"/>
        <v>3725221.6900600651</v>
      </c>
      <c r="AC200" s="367">
        <f t="shared" si="43"/>
        <v>3391.5908938336493</v>
      </c>
      <c r="AD200" s="367">
        <f t="shared" si="44"/>
        <v>0</v>
      </c>
      <c r="AE200" s="368">
        <f t="shared" si="47"/>
        <v>4035.9931636620427</v>
      </c>
      <c r="AF200" s="385"/>
    </row>
    <row r="201" spans="2:32" s="1" customFormat="1" ht="13" hidden="1" x14ac:dyDescent="0.3">
      <c r="B201" s="383">
        <v>2026</v>
      </c>
      <c r="C201" s="361" t="s">
        <v>413</v>
      </c>
      <c r="D201" s="361" t="s">
        <v>162</v>
      </c>
      <c r="E201" s="360" t="s">
        <v>88</v>
      </c>
      <c r="F201" s="360" t="s">
        <v>80</v>
      </c>
      <c r="G201" s="362">
        <v>46218</v>
      </c>
      <c r="H201" s="363">
        <v>3865</v>
      </c>
      <c r="I201" s="360" t="s">
        <v>147</v>
      </c>
      <c r="J201" s="364" t="str">
        <f>IFERROR(VLOOKUP(I201,Map!$F$18:$G$56,2,0),"Add in Map")</f>
        <v>3P</v>
      </c>
      <c r="K201" s="364" t="str">
        <f>VLOOKUP(L201,Map!$C$18:$D$29,2,0)</f>
        <v>DVT</v>
      </c>
      <c r="L201" s="360" t="s">
        <v>42</v>
      </c>
      <c r="M201" s="365"/>
      <c r="N201" s="366">
        <f t="shared" si="56"/>
        <v>0</v>
      </c>
      <c r="O201" s="366">
        <f t="shared" si="57"/>
        <v>0</v>
      </c>
      <c r="P201" s="367">
        <f t="shared" si="58"/>
        <v>0</v>
      </c>
      <c r="Q201" s="367">
        <f t="shared" si="59"/>
        <v>0</v>
      </c>
      <c r="R201" s="368">
        <f t="shared" si="45"/>
        <v>0</v>
      </c>
      <c r="S201" s="384">
        <f>INDEX(FX!$D$3:$O$19,MATCH(B201,FX!$B$3:$B$32,0),MATCH(D201,FX!$D$2:$O$2,0))</f>
        <v>923</v>
      </c>
      <c r="T201" s="360" t="s">
        <v>142</v>
      </c>
      <c r="U201" s="360" t="s">
        <v>32</v>
      </c>
      <c r="V201" s="360" t="s">
        <v>83</v>
      </c>
      <c r="W201" s="364" t="str">
        <f>VLOOKUP(I201,Map!$F$18:$H$51,3,0)</f>
        <v>Variable</v>
      </c>
      <c r="X201" s="370" t="s">
        <v>149</v>
      </c>
      <c r="Y201" s="364" t="str">
        <f>VLOOKUP(L201,Map!$C$18:$D$29,2,0)</f>
        <v>DVT</v>
      </c>
      <c r="Z201" s="365">
        <v>17282.535266555577</v>
      </c>
      <c r="AA201" s="366">
        <f t="shared" si="42"/>
        <v>0</v>
      </c>
      <c r="AB201" s="366">
        <f t="shared" si="46"/>
        <v>20566.216967201137</v>
      </c>
      <c r="AC201" s="367">
        <f t="shared" si="43"/>
        <v>18.72430689767668</v>
      </c>
      <c r="AD201" s="367">
        <f t="shared" si="44"/>
        <v>0</v>
      </c>
      <c r="AE201" s="368">
        <f t="shared" si="47"/>
        <v>22.281925208235247</v>
      </c>
      <c r="AF201" s="385"/>
    </row>
    <row r="202" spans="2:32" s="1" customFormat="1" ht="13" hidden="1" x14ac:dyDescent="0.3">
      <c r="B202" s="383">
        <v>2026</v>
      </c>
      <c r="C202" s="361" t="s">
        <v>413</v>
      </c>
      <c r="D202" s="361" t="s">
        <v>162</v>
      </c>
      <c r="E202" s="360" t="s">
        <v>88</v>
      </c>
      <c r="F202" s="360" t="s">
        <v>80</v>
      </c>
      <c r="G202" s="362">
        <v>46218</v>
      </c>
      <c r="H202" s="363">
        <v>3865</v>
      </c>
      <c r="I202" s="360" t="s">
        <v>147</v>
      </c>
      <c r="J202" s="364" t="str">
        <f>IFERROR(VLOOKUP(I202,Map!$F$18:$G$56,2,0),"Add in Map")</f>
        <v>3P</v>
      </c>
      <c r="K202" s="364" t="str">
        <f>VLOOKUP(L202,Map!$C$18:$D$29,2,0)</f>
        <v>GLT</v>
      </c>
      <c r="L202" s="360" t="s">
        <v>44</v>
      </c>
      <c r="M202" s="365"/>
      <c r="N202" s="366">
        <f t="shared" si="56"/>
        <v>0</v>
      </c>
      <c r="O202" s="366">
        <f t="shared" si="57"/>
        <v>0</v>
      </c>
      <c r="P202" s="367">
        <f t="shared" si="58"/>
        <v>0</v>
      </c>
      <c r="Q202" s="367">
        <f t="shared" si="59"/>
        <v>0</v>
      </c>
      <c r="R202" s="368">
        <f t="shared" si="45"/>
        <v>0</v>
      </c>
      <c r="S202" s="384">
        <f>INDEX(FX!$D$3:$O$19,MATCH(B202,FX!$B$3:$B$32,0),MATCH(D202,FX!$D$2:$O$2,0))</f>
        <v>923</v>
      </c>
      <c r="T202" s="360" t="s">
        <v>142</v>
      </c>
      <c r="U202" s="360" t="s">
        <v>32</v>
      </c>
      <c r="V202" s="360" t="s">
        <v>83</v>
      </c>
      <c r="W202" s="364" t="str">
        <f>VLOOKUP(I202,Map!$F$18:$H$51,3,0)</f>
        <v>Variable</v>
      </c>
      <c r="X202" s="370" t="s">
        <v>149</v>
      </c>
      <c r="Y202" s="364" t="str">
        <f>VLOOKUP(L202,Map!$C$18:$D$29,2,0)</f>
        <v>GLT</v>
      </c>
      <c r="Z202" s="365">
        <v>2979587.1063434905</v>
      </c>
      <c r="AA202" s="366">
        <f t="shared" si="42"/>
        <v>0</v>
      </c>
      <c r="AB202" s="366">
        <f t="shared" si="46"/>
        <v>3545708.6565487534</v>
      </c>
      <c r="AC202" s="367">
        <f t="shared" si="43"/>
        <v>3228.1550447925142</v>
      </c>
      <c r="AD202" s="367">
        <f t="shared" si="44"/>
        <v>0</v>
      </c>
      <c r="AE202" s="368">
        <f t="shared" si="47"/>
        <v>3841.504503303092</v>
      </c>
      <c r="AF202" s="385"/>
    </row>
    <row r="203" spans="2:32" s="1" customFormat="1" ht="13" hidden="1" x14ac:dyDescent="0.3">
      <c r="B203" s="383">
        <v>2026</v>
      </c>
      <c r="C203" s="361" t="s">
        <v>413</v>
      </c>
      <c r="D203" s="361" t="s">
        <v>162</v>
      </c>
      <c r="E203" s="360" t="s">
        <v>88</v>
      </c>
      <c r="F203" s="360" t="s">
        <v>80</v>
      </c>
      <c r="G203" s="362">
        <v>46218</v>
      </c>
      <c r="H203" s="363">
        <v>3865</v>
      </c>
      <c r="I203" s="360" t="s">
        <v>147</v>
      </c>
      <c r="J203" s="364" t="str">
        <f>IFERROR(VLOOKUP(I203,Map!$F$18:$G$56,2,0),"Add in Map")</f>
        <v>3P</v>
      </c>
      <c r="K203" s="364" t="str">
        <f>VLOOKUP(L203,Map!$C$18:$D$29,2,0)</f>
        <v>PNT</v>
      </c>
      <c r="L203" s="360" t="s">
        <v>46</v>
      </c>
      <c r="M203" s="365"/>
      <c r="N203" s="366">
        <f t="shared" si="56"/>
        <v>0</v>
      </c>
      <c r="O203" s="366">
        <f t="shared" si="57"/>
        <v>0</v>
      </c>
      <c r="P203" s="367">
        <f t="shared" si="58"/>
        <v>0</v>
      </c>
      <c r="Q203" s="367">
        <f t="shared" si="59"/>
        <v>0</v>
      </c>
      <c r="R203" s="368">
        <f t="shared" si="45"/>
        <v>0</v>
      </c>
      <c r="S203" s="384">
        <f>INDEX(FX!$D$3:$O$19,MATCH(B203,FX!$B$3:$B$32,0),MATCH(D203,FX!$D$2:$O$2,0))</f>
        <v>923</v>
      </c>
      <c r="T203" s="360" t="s">
        <v>142</v>
      </c>
      <c r="U203" s="360" t="s">
        <v>32</v>
      </c>
      <c r="V203" s="360" t="s">
        <v>83</v>
      </c>
      <c r="W203" s="364" t="str">
        <f>VLOOKUP(I203,Map!$F$18:$H$51,3,0)</f>
        <v>Variable</v>
      </c>
      <c r="X203" s="370" t="s">
        <v>149</v>
      </c>
      <c r="Y203" s="364" t="str">
        <f>VLOOKUP(L203,Map!$C$18:$D$29,2,0)</f>
        <v>PNT</v>
      </c>
      <c r="Z203" s="365">
        <v>93939.415573442544</v>
      </c>
      <c r="AA203" s="366">
        <f t="shared" si="42"/>
        <v>0</v>
      </c>
      <c r="AB203" s="366">
        <f t="shared" si="46"/>
        <v>111787.90453239663</v>
      </c>
      <c r="AC203" s="367">
        <f t="shared" si="43"/>
        <v>101.77618155302551</v>
      </c>
      <c r="AD203" s="367">
        <f t="shared" si="44"/>
        <v>0</v>
      </c>
      <c r="AE203" s="368">
        <f t="shared" si="47"/>
        <v>121.11365604810035</v>
      </c>
      <c r="AF203" s="385"/>
    </row>
    <row r="204" spans="2:32" s="1" customFormat="1" ht="13" hidden="1" x14ac:dyDescent="0.3">
      <c r="B204" s="383">
        <v>2026</v>
      </c>
      <c r="C204" s="361" t="s">
        <v>413</v>
      </c>
      <c r="D204" s="361" t="s">
        <v>162</v>
      </c>
      <c r="E204" s="360" t="s">
        <v>88</v>
      </c>
      <c r="F204" s="360" t="s">
        <v>80</v>
      </c>
      <c r="G204" s="362">
        <v>46218</v>
      </c>
      <c r="H204" s="363">
        <v>3865</v>
      </c>
      <c r="I204" s="360" t="s">
        <v>147</v>
      </c>
      <c r="J204" s="364" t="str">
        <f>IFERROR(VLOOKUP(I204,Map!$F$18:$G$56,2,0),"Add in Map")</f>
        <v>3P</v>
      </c>
      <c r="K204" s="364" t="str">
        <f>VLOOKUP(L204,Map!$C$18:$D$29,2,0)</f>
        <v>GTT</v>
      </c>
      <c r="L204" s="360" t="s">
        <v>48</v>
      </c>
      <c r="M204" s="365"/>
      <c r="N204" s="366">
        <f t="shared" si="56"/>
        <v>0</v>
      </c>
      <c r="O204" s="366">
        <f t="shared" si="57"/>
        <v>0</v>
      </c>
      <c r="P204" s="367">
        <f t="shared" si="58"/>
        <v>0</v>
      </c>
      <c r="Q204" s="367">
        <f t="shared" si="59"/>
        <v>0</v>
      </c>
      <c r="R204" s="368">
        <f t="shared" si="45"/>
        <v>0</v>
      </c>
      <c r="S204" s="384">
        <f>INDEX(FX!$D$3:$O$19,MATCH(B204,FX!$B$3:$B$32,0),MATCH(D204,FX!$D$2:$O$2,0))</f>
        <v>923</v>
      </c>
      <c r="T204" s="360" t="s">
        <v>142</v>
      </c>
      <c r="U204" s="360" t="s">
        <v>32</v>
      </c>
      <c r="V204" s="360" t="s">
        <v>83</v>
      </c>
      <c r="W204" s="364" t="str">
        <f>VLOOKUP(I204,Map!$F$18:$H$51,3,0)</f>
        <v>Variable</v>
      </c>
      <c r="X204" s="370" t="s">
        <v>149</v>
      </c>
      <c r="Y204" s="364" t="str">
        <f>VLOOKUP(L204,Map!$C$18:$D$29,2,0)</f>
        <v>GTT</v>
      </c>
      <c r="Z204" s="365">
        <v>129648.89469569977</v>
      </c>
      <c r="AA204" s="366">
        <f t="shared" si="42"/>
        <v>0</v>
      </c>
      <c r="AB204" s="366">
        <f t="shared" si="46"/>
        <v>154282.18468788272</v>
      </c>
      <c r="AC204" s="367">
        <f t="shared" si="43"/>
        <v>140.46467464322836</v>
      </c>
      <c r="AD204" s="367">
        <f t="shared" si="44"/>
        <v>0</v>
      </c>
      <c r="AE204" s="368">
        <f t="shared" si="47"/>
        <v>167.15296282544173</v>
      </c>
      <c r="AF204" s="385"/>
    </row>
    <row r="205" spans="2:32" s="1" customFormat="1" ht="13" hidden="1" x14ac:dyDescent="0.3">
      <c r="B205" s="383">
        <v>2026</v>
      </c>
      <c r="C205" s="361" t="s">
        <v>413</v>
      </c>
      <c r="D205" s="361" t="s">
        <v>162</v>
      </c>
      <c r="E205" s="360" t="s">
        <v>88</v>
      </c>
      <c r="F205" s="360" t="s">
        <v>80</v>
      </c>
      <c r="G205" s="362">
        <v>46218</v>
      </c>
      <c r="H205" s="363">
        <v>3865</v>
      </c>
      <c r="I205" s="360" t="s">
        <v>147</v>
      </c>
      <c r="J205" s="364" t="str">
        <f>IFERROR(VLOOKUP(I205,Map!$F$18:$G$56,2,0),"Add in Map")</f>
        <v>3P</v>
      </c>
      <c r="K205" s="364" t="str">
        <f>VLOOKUP(L205,Map!$C$18:$D$29,2,0)</f>
        <v>DGT</v>
      </c>
      <c r="L205" s="360" t="s">
        <v>50</v>
      </c>
      <c r="M205" s="365"/>
      <c r="N205" s="366">
        <f t="shared" si="56"/>
        <v>0</v>
      </c>
      <c r="O205" s="366">
        <f t="shared" si="57"/>
        <v>0</v>
      </c>
      <c r="P205" s="367">
        <f t="shared" si="58"/>
        <v>0</v>
      </c>
      <c r="Q205" s="367">
        <f t="shared" si="59"/>
        <v>0</v>
      </c>
      <c r="R205" s="368">
        <f t="shared" si="45"/>
        <v>0</v>
      </c>
      <c r="S205" s="384">
        <f>INDEX(FX!$D$3:$O$19,MATCH(B205,FX!$B$3:$B$32,0),MATCH(D205,FX!$D$2:$O$2,0))</f>
        <v>923</v>
      </c>
      <c r="T205" s="360" t="s">
        <v>142</v>
      </c>
      <c r="U205" s="360" t="s">
        <v>32</v>
      </c>
      <c r="V205" s="360" t="s">
        <v>83</v>
      </c>
      <c r="W205" s="364" t="str">
        <f>VLOOKUP(I205,Map!$F$18:$H$51,3,0)</f>
        <v>Variable</v>
      </c>
      <c r="X205" s="370" t="s">
        <v>149</v>
      </c>
      <c r="Y205" s="364" t="str">
        <f>VLOOKUP(L205,Map!$C$18:$D$29,2,0)</f>
        <v>DGT</v>
      </c>
      <c r="Z205" s="365">
        <v>76536.375266493153</v>
      </c>
      <c r="AA205" s="366">
        <f t="shared" si="42"/>
        <v>0</v>
      </c>
      <c r="AB205" s="366">
        <f t="shared" si="46"/>
        <v>91078.286567126852</v>
      </c>
      <c r="AC205" s="367">
        <f t="shared" si="43"/>
        <v>82.921316648421623</v>
      </c>
      <c r="AD205" s="367">
        <f t="shared" si="44"/>
        <v>0</v>
      </c>
      <c r="AE205" s="368">
        <f t="shared" si="47"/>
        <v>98.676366811621733</v>
      </c>
      <c r="AF205" s="385"/>
    </row>
    <row r="206" spans="2:32" s="1" customFormat="1" ht="13" hidden="1" x14ac:dyDescent="0.3">
      <c r="B206" s="383">
        <v>2026</v>
      </c>
      <c r="C206" s="361" t="s">
        <v>413</v>
      </c>
      <c r="D206" s="361" t="s">
        <v>162</v>
      </c>
      <c r="E206" s="360" t="s">
        <v>88</v>
      </c>
      <c r="F206" s="360" t="s">
        <v>80</v>
      </c>
      <c r="G206" s="362">
        <v>46218</v>
      </c>
      <c r="H206" s="363">
        <v>3865</v>
      </c>
      <c r="I206" s="360" t="s">
        <v>147</v>
      </c>
      <c r="J206" s="364" t="str">
        <f>IFERROR(VLOOKUP(I206,Map!$F$18:$G$56,2,0),"Add in Map")</f>
        <v>3P</v>
      </c>
      <c r="K206" s="364" t="str">
        <f>VLOOKUP(L206,Map!$C$18:$D$29,2,0)</f>
        <v>DLT</v>
      </c>
      <c r="L206" s="360" t="s">
        <v>52</v>
      </c>
      <c r="M206" s="365"/>
      <c r="N206" s="366">
        <f t="shared" si="56"/>
        <v>0</v>
      </c>
      <c r="O206" s="366">
        <f t="shared" si="57"/>
        <v>0</v>
      </c>
      <c r="P206" s="367">
        <f t="shared" si="58"/>
        <v>0</v>
      </c>
      <c r="Q206" s="367">
        <f t="shared" si="59"/>
        <v>0</v>
      </c>
      <c r="R206" s="368">
        <f t="shared" si="45"/>
        <v>0</v>
      </c>
      <c r="S206" s="384">
        <f>INDEX(FX!$D$3:$O$19,MATCH(B206,FX!$B$3:$B$32,0),MATCH(D206,FX!$D$2:$O$2,0))</f>
        <v>923</v>
      </c>
      <c r="T206" s="360" t="s">
        <v>142</v>
      </c>
      <c r="U206" s="360" t="s">
        <v>32</v>
      </c>
      <c r="V206" s="360" t="s">
        <v>83</v>
      </c>
      <c r="W206" s="364" t="str">
        <f>VLOOKUP(I206,Map!$F$18:$H$51,3,0)</f>
        <v>Variable</v>
      </c>
      <c r="X206" s="370" t="s">
        <v>149</v>
      </c>
      <c r="Y206" s="364" t="str">
        <f>VLOOKUP(L206,Map!$C$18:$D$29,2,0)</f>
        <v>DLT</v>
      </c>
      <c r="Z206" s="365">
        <v>30366.432828620374</v>
      </c>
      <c r="AA206" s="366">
        <f t="shared" si="42"/>
        <v>0</v>
      </c>
      <c r="AB206" s="366">
        <f t="shared" si="46"/>
        <v>36136.055066058245</v>
      </c>
      <c r="AC206" s="367">
        <f t="shared" si="43"/>
        <v>32.899710540217093</v>
      </c>
      <c r="AD206" s="367">
        <f t="shared" si="44"/>
        <v>0</v>
      </c>
      <c r="AE206" s="368">
        <f t="shared" si="47"/>
        <v>39.150655542858338</v>
      </c>
      <c r="AF206" s="385"/>
    </row>
    <row r="207" spans="2:32" s="1" customFormat="1" ht="13" hidden="1" x14ac:dyDescent="0.3">
      <c r="B207" s="383">
        <v>2026</v>
      </c>
      <c r="C207" s="361" t="s">
        <v>413</v>
      </c>
      <c r="D207" s="361" t="s">
        <v>162</v>
      </c>
      <c r="E207" s="360" t="s">
        <v>88</v>
      </c>
      <c r="F207" s="360" t="s">
        <v>80</v>
      </c>
      <c r="G207" s="362">
        <v>46218</v>
      </c>
      <c r="H207" s="363">
        <v>3865</v>
      </c>
      <c r="I207" s="360" t="s">
        <v>147</v>
      </c>
      <c r="J207" s="364" t="str">
        <f>IFERROR(VLOOKUP(I207,Map!$F$18:$G$56,2,0),"Add in Map")</f>
        <v>3P</v>
      </c>
      <c r="K207" s="364" t="str">
        <f>VLOOKUP(L207,Map!$C$18:$D$29,2,0)</f>
        <v>DMT</v>
      </c>
      <c r="L207" s="360" t="s">
        <v>54</v>
      </c>
      <c r="M207" s="365"/>
      <c r="N207" s="366">
        <f t="shared" si="56"/>
        <v>0</v>
      </c>
      <c r="O207" s="366">
        <f t="shared" si="57"/>
        <v>0</v>
      </c>
      <c r="P207" s="386">
        <f t="shared" si="58"/>
        <v>0</v>
      </c>
      <c r="Q207" s="367">
        <f t="shared" si="59"/>
        <v>0</v>
      </c>
      <c r="R207" s="368">
        <f t="shared" si="45"/>
        <v>0</v>
      </c>
      <c r="S207" s="384">
        <f>INDEX(FX!$D$3:$O$19,MATCH(B207,FX!$B$3:$B$32,0),MATCH(D207,FX!$D$2:$O$2,0))</f>
        <v>923</v>
      </c>
      <c r="T207" s="360" t="s">
        <v>142</v>
      </c>
      <c r="U207" s="360" t="s">
        <v>32</v>
      </c>
      <c r="V207" s="360" t="s">
        <v>83</v>
      </c>
      <c r="W207" s="364" t="str">
        <f>VLOOKUP(I207,Map!$F$18:$H$51,3,0)</f>
        <v>Variable</v>
      </c>
      <c r="X207" s="370" t="s">
        <v>149</v>
      </c>
      <c r="Y207" s="364" t="str">
        <f>VLOOKUP(L207,Map!$C$18:$D$29,2,0)</f>
        <v>DMT</v>
      </c>
      <c r="Z207" s="365">
        <v>0</v>
      </c>
      <c r="AA207" s="366">
        <f t="shared" si="42"/>
        <v>0</v>
      </c>
      <c r="AB207" s="366">
        <f t="shared" si="46"/>
        <v>0</v>
      </c>
      <c r="AC207" s="386">
        <f t="shared" si="43"/>
        <v>0</v>
      </c>
      <c r="AD207" s="367">
        <f t="shared" si="44"/>
        <v>0</v>
      </c>
      <c r="AE207" s="368">
        <f t="shared" si="47"/>
        <v>0</v>
      </c>
      <c r="AF207" s="385"/>
    </row>
    <row r="208" spans="2:32" s="37" customFormat="1" hidden="1" x14ac:dyDescent="0.35">
      <c r="B208" s="387">
        <v>2026</v>
      </c>
      <c r="C208" s="389" t="s">
        <v>413</v>
      </c>
      <c r="D208" s="389" t="s">
        <v>162</v>
      </c>
      <c r="E208" s="388" t="s">
        <v>88</v>
      </c>
      <c r="F208" s="388" t="s">
        <v>80</v>
      </c>
      <c r="G208" s="390">
        <v>46218</v>
      </c>
      <c r="H208" s="391">
        <v>3865</v>
      </c>
      <c r="I208" s="388" t="s">
        <v>147</v>
      </c>
      <c r="J208" s="392" t="str">
        <f>IFERROR(VLOOKUP(I208,Map!$F$18:$G$56,2,0),"Add in Map")</f>
        <v>3P</v>
      </c>
      <c r="K208" s="392" t="str">
        <f>VLOOKUP(L208,Map!$C$18:$D$29,2,0)</f>
        <v>TOTAL</v>
      </c>
      <c r="L208" s="388" t="s">
        <v>56</v>
      </c>
      <c r="M208" s="393">
        <f>SUM(M197:M207)</f>
        <v>0</v>
      </c>
      <c r="N208" s="393">
        <f t="shared" si="56"/>
        <v>0</v>
      </c>
      <c r="O208" s="393">
        <f t="shared" si="57"/>
        <v>0</v>
      </c>
      <c r="P208" s="394">
        <f t="shared" si="58"/>
        <v>0</v>
      </c>
      <c r="Q208" s="394">
        <f t="shared" si="59"/>
        <v>0</v>
      </c>
      <c r="R208" s="395">
        <f t="shared" si="45"/>
        <v>0</v>
      </c>
      <c r="S208" s="396">
        <f>INDEX(FX!$D$3:$O$19,MATCH(B208,FX!$B$3:$B$32,0),MATCH(D208,FX!$D$2:$O$2,0))</f>
        <v>923</v>
      </c>
      <c r="T208" s="388" t="s">
        <v>142</v>
      </c>
      <c r="U208" s="388" t="s">
        <v>32</v>
      </c>
      <c r="V208" s="388" t="s">
        <v>83</v>
      </c>
      <c r="W208" s="392" t="str">
        <f>VLOOKUP(I208,Map!$F$18:$H$51,3,0)</f>
        <v>Variable</v>
      </c>
      <c r="X208" s="397" t="s">
        <v>149</v>
      </c>
      <c r="Y208" s="392" t="str">
        <f>VLOOKUP(L208,Map!$C$18:$D$29,2,0)</f>
        <v>TOTAL</v>
      </c>
      <c r="Z208" s="393">
        <f>SUM(Z197:Z207)</f>
        <v>8213814.3222899996</v>
      </c>
      <c r="AA208" s="393">
        <f t="shared" si="42"/>
        <v>1560624.7212350999</v>
      </c>
      <c r="AB208" s="393">
        <f t="shared" si="46"/>
        <v>9774439.0435250998</v>
      </c>
      <c r="AC208" s="394">
        <f t="shared" si="43"/>
        <v>8899.0404358504875</v>
      </c>
      <c r="AD208" s="394">
        <f t="shared" si="44"/>
        <v>1690.8176828115927</v>
      </c>
      <c r="AE208" s="395">
        <f t="shared" si="47"/>
        <v>10589.85811866208</v>
      </c>
      <c r="AF208" s="398"/>
    </row>
    <row r="209" spans="2:32" s="1" customFormat="1" ht="13" hidden="1" x14ac:dyDescent="0.3">
      <c r="B209" s="383">
        <v>2026</v>
      </c>
      <c r="C209" s="361" t="s">
        <v>408</v>
      </c>
      <c r="D209" s="361" t="s">
        <v>162</v>
      </c>
      <c r="E209" s="360" t="s">
        <v>88</v>
      </c>
      <c r="F209" s="360" t="s">
        <v>80</v>
      </c>
      <c r="G209" s="362">
        <v>46218</v>
      </c>
      <c r="H209" s="363">
        <v>3868</v>
      </c>
      <c r="I209" s="360" t="s">
        <v>147</v>
      </c>
      <c r="J209" s="364" t="str">
        <f>IFERROR(VLOOKUP(I209,Map!$F$18:$G$56,2,0),"Add in Map")</f>
        <v>3P</v>
      </c>
      <c r="K209" s="364" t="str">
        <f>VLOOKUP(L209,Map!$C$18:$D$29,2,0)</f>
        <v>CNT</v>
      </c>
      <c r="L209" s="360" t="s">
        <v>31</v>
      </c>
      <c r="M209" s="365">
        <v>1371493.930453686</v>
      </c>
      <c r="N209" s="366">
        <f t="shared" si="56"/>
        <v>0</v>
      </c>
      <c r="O209" s="366">
        <f t="shared" si="57"/>
        <v>1632077.7772398863</v>
      </c>
      <c r="P209" s="367">
        <f t="shared" si="58"/>
        <v>1485.9089170679156</v>
      </c>
      <c r="Q209" s="367">
        <f t="shared" si="59"/>
        <v>0</v>
      </c>
      <c r="R209" s="368">
        <f t="shared" si="45"/>
        <v>1768.2316113108195</v>
      </c>
      <c r="S209" s="384">
        <f>INDEX(FX!$D$3:$O$19,MATCH(B209,FX!$B$3:$B$32,0),MATCH(D209,FX!$D$2:$O$2,0))</f>
        <v>923</v>
      </c>
      <c r="T209" s="360" t="s">
        <v>143</v>
      </c>
      <c r="U209" s="360" t="s">
        <v>155</v>
      </c>
      <c r="V209" s="360" t="s">
        <v>83</v>
      </c>
      <c r="W209" s="364" t="str">
        <f>VLOOKUP(I209,Map!$F$18:$H$51,3,0)</f>
        <v>Variable</v>
      </c>
      <c r="X209" s="370" t="s">
        <v>149</v>
      </c>
      <c r="Y209" s="364" t="str">
        <f>VLOOKUP(L209,Map!$C$18:$D$29,2,0)</f>
        <v>CNT</v>
      </c>
      <c r="Z209" s="365">
        <v>1393215.8490377492</v>
      </c>
      <c r="AA209" s="366">
        <f t="shared" ref="AA209:AA272" si="60">IF(Y209="TOTAL",(Z209*0.19),0)</f>
        <v>0</v>
      </c>
      <c r="AB209" s="366">
        <f t="shared" si="46"/>
        <v>1657926.8603549215</v>
      </c>
      <c r="AC209" s="367">
        <f t="shared" ref="AC209:AC272" si="61">Z209/S209</f>
        <v>1509.4429567039538</v>
      </c>
      <c r="AD209" s="367">
        <f t="shared" ref="AD209:AD272" si="62">IF(Y209="TOTAL",(AC209*0.19),0)</f>
        <v>0</v>
      </c>
      <c r="AE209" s="368">
        <f t="shared" si="47"/>
        <v>1796.2371184777048</v>
      </c>
      <c r="AF209" s="385"/>
    </row>
    <row r="210" spans="2:32" s="1" customFormat="1" ht="13" hidden="1" x14ac:dyDescent="0.3">
      <c r="B210" s="383">
        <v>2026</v>
      </c>
      <c r="C210" s="361" t="s">
        <v>408</v>
      </c>
      <c r="D210" s="361" t="s">
        <v>162</v>
      </c>
      <c r="E210" s="360" t="s">
        <v>88</v>
      </c>
      <c r="F210" s="360" t="s">
        <v>80</v>
      </c>
      <c r="G210" s="362">
        <v>46218</v>
      </c>
      <c r="H210" s="363">
        <v>3868</v>
      </c>
      <c r="I210" s="360" t="s">
        <v>147</v>
      </c>
      <c r="J210" s="364" t="str">
        <f>IFERROR(VLOOKUP(I210,Map!$F$18:$G$56,2,0),"Add in Map")</f>
        <v>3P</v>
      </c>
      <c r="K210" s="364" t="str">
        <f>VLOOKUP(L210,Map!$C$18:$D$29,2,0)</f>
        <v>CVT</v>
      </c>
      <c r="L210" s="360" t="s">
        <v>36</v>
      </c>
      <c r="M210" s="365">
        <v>26491.431717628315</v>
      </c>
      <c r="N210" s="366">
        <f t="shared" si="56"/>
        <v>0</v>
      </c>
      <c r="O210" s="366">
        <f t="shared" si="57"/>
        <v>31524.803743977693</v>
      </c>
      <c r="P210" s="367">
        <f t="shared" si="58"/>
        <v>28.70144281433187</v>
      </c>
      <c r="Q210" s="367">
        <f t="shared" si="59"/>
        <v>0</v>
      </c>
      <c r="R210" s="368">
        <f t="shared" ref="R210:R273" si="63">P210*1.19</f>
        <v>34.154716949054922</v>
      </c>
      <c r="S210" s="384">
        <f>INDEX(FX!$D$3:$O$19,MATCH(B210,FX!$B$3:$B$32,0),MATCH(D210,FX!$D$2:$O$2,0))</f>
        <v>923</v>
      </c>
      <c r="T210" s="360" t="s">
        <v>143</v>
      </c>
      <c r="U210" s="360" t="s">
        <v>155</v>
      </c>
      <c r="V210" s="360" t="s">
        <v>83</v>
      </c>
      <c r="W210" s="364" t="str">
        <f>VLOOKUP(I210,Map!$F$18:$H$51,3,0)</f>
        <v>Variable</v>
      </c>
      <c r="X210" s="370" t="s">
        <v>149</v>
      </c>
      <c r="Y210" s="364" t="str">
        <f>VLOOKUP(L210,Map!$C$18:$D$29,2,0)</f>
        <v>CVT</v>
      </c>
      <c r="Z210" s="365">
        <v>26911.006832157069</v>
      </c>
      <c r="AA210" s="366">
        <f t="shared" si="60"/>
        <v>0</v>
      </c>
      <c r="AB210" s="366">
        <f t="shared" ref="AB210:AB273" si="64">Z210*1.19</f>
        <v>32024.09813026691</v>
      </c>
      <c r="AC210" s="367">
        <f t="shared" si="61"/>
        <v>29.156020403203758</v>
      </c>
      <c r="AD210" s="367">
        <f t="shared" si="62"/>
        <v>0</v>
      </c>
      <c r="AE210" s="368">
        <f t="shared" ref="AE210:AE273" si="65">AC210*1.19</f>
        <v>34.695664279812469</v>
      </c>
      <c r="AF210" s="385"/>
    </row>
    <row r="211" spans="2:32" s="1" customFormat="1" ht="13" hidden="1" x14ac:dyDescent="0.3">
      <c r="B211" s="383">
        <v>2026</v>
      </c>
      <c r="C211" s="361" t="s">
        <v>408</v>
      </c>
      <c r="D211" s="361" t="s">
        <v>162</v>
      </c>
      <c r="E211" s="360" t="s">
        <v>88</v>
      </c>
      <c r="F211" s="360" t="s">
        <v>80</v>
      </c>
      <c r="G211" s="362">
        <v>46218</v>
      </c>
      <c r="H211" s="363">
        <v>3868</v>
      </c>
      <c r="I211" s="360" t="s">
        <v>147</v>
      </c>
      <c r="J211" s="364" t="str">
        <f>IFERROR(VLOOKUP(I211,Map!$F$18:$G$56,2,0),"Add in Map")</f>
        <v>3P</v>
      </c>
      <c r="K211" s="364" t="str">
        <f>VLOOKUP(L211,Map!$C$18:$D$29,2,0)</f>
        <v>CDT</v>
      </c>
      <c r="L211" s="360" t="s">
        <v>38</v>
      </c>
      <c r="M211" s="365">
        <v>45984.089025959212</v>
      </c>
      <c r="N211" s="366">
        <f t="shared" si="56"/>
        <v>0</v>
      </c>
      <c r="O211" s="366">
        <f t="shared" si="57"/>
        <v>54721.065940891458</v>
      </c>
      <c r="P211" s="367">
        <f t="shared" si="58"/>
        <v>49.820248132133493</v>
      </c>
      <c r="Q211" s="367">
        <f t="shared" si="59"/>
        <v>0</v>
      </c>
      <c r="R211" s="368">
        <f t="shared" si="63"/>
        <v>59.286095277238857</v>
      </c>
      <c r="S211" s="384">
        <f>INDEX(FX!$D$3:$O$19,MATCH(B211,FX!$B$3:$B$32,0),MATCH(D211,FX!$D$2:$O$2,0))</f>
        <v>923</v>
      </c>
      <c r="T211" s="360" t="s">
        <v>143</v>
      </c>
      <c r="U211" s="360" t="s">
        <v>155</v>
      </c>
      <c r="V211" s="360" t="s">
        <v>83</v>
      </c>
      <c r="W211" s="364" t="str">
        <f>VLOOKUP(I211,Map!$F$18:$H$51,3,0)</f>
        <v>Variable</v>
      </c>
      <c r="X211" s="370" t="s">
        <v>149</v>
      </c>
      <c r="Y211" s="364" t="str">
        <f>VLOOKUP(L211,Map!$C$18:$D$29,2,0)</f>
        <v>CDT</v>
      </c>
      <c r="Z211" s="365">
        <v>46712.391656984197</v>
      </c>
      <c r="AA211" s="366">
        <f t="shared" si="60"/>
        <v>0</v>
      </c>
      <c r="AB211" s="366">
        <f t="shared" si="64"/>
        <v>55587.746071811191</v>
      </c>
      <c r="AC211" s="367">
        <f t="shared" si="61"/>
        <v>50.609308404099885</v>
      </c>
      <c r="AD211" s="367">
        <f t="shared" si="62"/>
        <v>0</v>
      </c>
      <c r="AE211" s="368">
        <f t="shared" si="65"/>
        <v>60.225077000878862</v>
      </c>
      <c r="AF211" s="385"/>
    </row>
    <row r="212" spans="2:32" s="1" customFormat="1" ht="13" hidden="1" x14ac:dyDescent="0.3">
      <c r="B212" s="383">
        <v>2026</v>
      </c>
      <c r="C212" s="361" t="s">
        <v>408</v>
      </c>
      <c r="D212" s="361" t="s">
        <v>162</v>
      </c>
      <c r="E212" s="360" t="s">
        <v>88</v>
      </c>
      <c r="F212" s="360" t="s">
        <v>80</v>
      </c>
      <c r="G212" s="362">
        <v>46218</v>
      </c>
      <c r="H212" s="363">
        <v>3868</v>
      </c>
      <c r="I212" s="360" t="s">
        <v>147</v>
      </c>
      <c r="J212" s="364" t="str">
        <f>IFERROR(VLOOKUP(I212,Map!$F$18:$G$56,2,0),"Add in Map")</f>
        <v>3P</v>
      </c>
      <c r="K212" s="364" t="str">
        <f>VLOOKUP(L212,Map!$C$18:$D$29,2,0)</f>
        <v>DFT</v>
      </c>
      <c r="L212" s="360" t="s">
        <v>40</v>
      </c>
      <c r="M212" s="365">
        <v>2574156.2461438323</v>
      </c>
      <c r="N212" s="366">
        <f t="shared" si="56"/>
        <v>0</v>
      </c>
      <c r="O212" s="366">
        <f t="shared" si="57"/>
        <v>3063245.9329111604</v>
      </c>
      <c r="P212" s="367">
        <f t="shared" si="58"/>
        <v>2788.9016751287459</v>
      </c>
      <c r="Q212" s="367">
        <f t="shared" si="59"/>
        <v>0</v>
      </c>
      <c r="R212" s="368">
        <f t="shared" si="63"/>
        <v>3318.7929934032072</v>
      </c>
      <c r="S212" s="384">
        <f>INDEX(FX!$D$3:$O$19,MATCH(B212,FX!$B$3:$B$32,0),MATCH(D212,FX!$D$2:$O$2,0))</f>
        <v>923</v>
      </c>
      <c r="T212" s="360" t="s">
        <v>143</v>
      </c>
      <c r="U212" s="360" t="s">
        <v>155</v>
      </c>
      <c r="V212" s="360" t="s">
        <v>83</v>
      </c>
      <c r="W212" s="364" t="str">
        <f>VLOOKUP(I212,Map!$F$18:$H$51,3,0)</f>
        <v>Variable</v>
      </c>
      <c r="X212" s="370" t="s">
        <v>149</v>
      </c>
      <c r="Y212" s="364" t="str">
        <f>VLOOKUP(L212,Map!$C$18:$D$29,2,0)</f>
        <v>DFT</v>
      </c>
      <c r="Z212" s="365">
        <v>2614926.1038586954</v>
      </c>
      <c r="AA212" s="366">
        <f t="shared" si="60"/>
        <v>0</v>
      </c>
      <c r="AB212" s="366">
        <f t="shared" si="64"/>
        <v>3111762.0635918472</v>
      </c>
      <c r="AC212" s="367">
        <f t="shared" si="61"/>
        <v>2833.072701905412</v>
      </c>
      <c r="AD212" s="367">
        <f t="shared" si="62"/>
        <v>0</v>
      </c>
      <c r="AE212" s="368">
        <f t="shared" si="65"/>
        <v>3371.35651526744</v>
      </c>
      <c r="AF212" s="385"/>
    </row>
    <row r="213" spans="2:32" s="1" customFormat="1" ht="13" hidden="1" x14ac:dyDescent="0.3">
      <c r="B213" s="383">
        <v>2026</v>
      </c>
      <c r="C213" s="361" t="s">
        <v>408</v>
      </c>
      <c r="D213" s="361" t="s">
        <v>162</v>
      </c>
      <c r="E213" s="360" t="s">
        <v>88</v>
      </c>
      <c r="F213" s="360" t="s">
        <v>80</v>
      </c>
      <c r="G213" s="362">
        <v>46218</v>
      </c>
      <c r="H213" s="363">
        <v>3868</v>
      </c>
      <c r="I213" s="360" t="s">
        <v>147</v>
      </c>
      <c r="J213" s="364" t="str">
        <f>IFERROR(VLOOKUP(I213,Map!$F$18:$G$56,2,0),"Add in Map")</f>
        <v>3P</v>
      </c>
      <c r="K213" s="364" t="str">
        <f>VLOOKUP(L213,Map!$C$18:$D$29,2,0)</f>
        <v>DVT</v>
      </c>
      <c r="L213" s="360" t="s">
        <v>42</v>
      </c>
      <c r="M213" s="365">
        <v>14211.410828765056</v>
      </c>
      <c r="N213" s="366">
        <f t="shared" si="56"/>
        <v>0</v>
      </c>
      <c r="O213" s="366">
        <f t="shared" si="57"/>
        <v>16911.578886230414</v>
      </c>
      <c r="P213" s="367">
        <f t="shared" si="58"/>
        <v>15.396978146007644</v>
      </c>
      <c r="Q213" s="367">
        <f t="shared" si="59"/>
        <v>0</v>
      </c>
      <c r="R213" s="368">
        <f t="shared" si="63"/>
        <v>18.322403993749095</v>
      </c>
      <c r="S213" s="384">
        <f>INDEX(FX!$D$3:$O$19,MATCH(B213,FX!$B$3:$B$32,0),MATCH(D213,FX!$D$2:$O$2,0))</f>
        <v>923</v>
      </c>
      <c r="T213" s="360" t="s">
        <v>143</v>
      </c>
      <c r="U213" s="360" t="s">
        <v>155</v>
      </c>
      <c r="V213" s="360" t="s">
        <v>83</v>
      </c>
      <c r="W213" s="364" t="str">
        <f>VLOOKUP(I213,Map!$F$18:$H$51,3,0)</f>
        <v>Variable</v>
      </c>
      <c r="X213" s="370" t="s">
        <v>149</v>
      </c>
      <c r="Y213" s="364" t="str">
        <f>VLOOKUP(L213,Map!$C$18:$D$29,2,0)</f>
        <v>DVT</v>
      </c>
      <c r="Z213" s="365">
        <v>14436.49320217738</v>
      </c>
      <c r="AA213" s="366">
        <f t="shared" si="60"/>
        <v>0</v>
      </c>
      <c r="AB213" s="366">
        <f t="shared" si="64"/>
        <v>17179.426910591083</v>
      </c>
      <c r="AC213" s="367">
        <f t="shared" si="61"/>
        <v>15.640837705500953</v>
      </c>
      <c r="AD213" s="367">
        <f t="shared" si="62"/>
        <v>0</v>
      </c>
      <c r="AE213" s="368">
        <f t="shared" si="65"/>
        <v>18.612596869546135</v>
      </c>
      <c r="AF213" s="385"/>
    </row>
    <row r="214" spans="2:32" s="1" customFormat="1" ht="13" hidden="1" x14ac:dyDescent="0.3">
      <c r="B214" s="383">
        <v>2026</v>
      </c>
      <c r="C214" s="361" t="s">
        <v>408</v>
      </c>
      <c r="D214" s="361" t="s">
        <v>162</v>
      </c>
      <c r="E214" s="360" t="s">
        <v>88</v>
      </c>
      <c r="F214" s="360" t="s">
        <v>80</v>
      </c>
      <c r="G214" s="362">
        <v>46218</v>
      </c>
      <c r="H214" s="363">
        <v>3868</v>
      </c>
      <c r="I214" s="360" t="s">
        <v>147</v>
      </c>
      <c r="J214" s="364" t="str">
        <f>IFERROR(VLOOKUP(I214,Map!$F$18:$G$56,2,0),"Add in Map")</f>
        <v>3P</v>
      </c>
      <c r="K214" s="364" t="str">
        <f>VLOOKUP(L214,Map!$C$18:$D$29,2,0)</f>
        <v>GLT</v>
      </c>
      <c r="L214" s="360" t="s">
        <v>44</v>
      </c>
      <c r="M214" s="365">
        <v>2450111.3878981159</v>
      </c>
      <c r="N214" s="366">
        <f t="shared" si="56"/>
        <v>0</v>
      </c>
      <c r="O214" s="366">
        <f t="shared" si="57"/>
        <v>2915632.551598758</v>
      </c>
      <c r="P214" s="367">
        <f t="shared" si="58"/>
        <v>2654.5085459351203</v>
      </c>
      <c r="Q214" s="367">
        <f t="shared" si="59"/>
        <v>0</v>
      </c>
      <c r="R214" s="368">
        <f t="shared" si="63"/>
        <v>3158.8651696627931</v>
      </c>
      <c r="S214" s="384">
        <f>INDEX(FX!$D$3:$O$19,MATCH(B214,FX!$B$3:$B$32,0),MATCH(D214,FX!$D$2:$O$2,0))</f>
        <v>923</v>
      </c>
      <c r="T214" s="360" t="s">
        <v>143</v>
      </c>
      <c r="U214" s="360" t="s">
        <v>155</v>
      </c>
      <c r="V214" s="360" t="s">
        <v>83</v>
      </c>
      <c r="W214" s="364" t="str">
        <f>VLOOKUP(I214,Map!$F$18:$H$51,3,0)</f>
        <v>Variable</v>
      </c>
      <c r="X214" s="370" t="s">
        <v>149</v>
      </c>
      <c r="Y214" s="364" t="str">
        <f>VLOOKUP(L214,Map!$C$18:$D$29,2,0)</f>
        <v>GLT</v>
      </c>
      <c r="Z214" s="365">
        <v>2488916.6052658693</v>
      </c>
      <c r="AA214" s="366">
        <f t="shared" si="60"/>
        <v>0</v>
      </c>
      <c r="AB214" s="366">
        <f t="shared" si="64"/>
        <v>2961810.7602663841</v>
      </c>
      <c r="AC214" s="367">
        <f t="shared" si="61"/>
        <v>2696.5510349576048</v>
      </c>
      <c r="AD214" s="367">
        <f t="shared" si="62"/>
        <v>0</v>
      </c>
      <c r="AE214" s="368">
        <f t="shared" si="65"/>
        <v>3208.8957315995494</v>
      </c>
      <c r="AF214" s="385"/>
    </row>
    <row r="215" spans="2:32" s="1" customFormat="1" ht="13" hidden="1" x14ac:dyDescent="0.3">
      <c r="B215" s="383">
        <v>2026</v>
      </c>
      <c r="C215" s="361" t="s">
        <v>408</v>
      </c>
      <c r="D215" s="361" t="s">
        <v>162</v>
      </c>
      <c r="E215" s="360" t="s">
        <v>88</v>
      </c>
      <c r="F215" s="360" t="s">
        <v>80</v>
      </c>
      <c r="G215" s="362">
        <v>46218</v>
      </c>
      <c r="H215" s="363">
        <v>3868</v>
      </c>
      <c r="I215" s="360" t="s">
        <v>147</v>
      </c>
      <c r="J215" s="364" t="str">
        <f>IFERROR(VLOOKUP(I215,Map!$F$18:$G$56,2,0),"Add in Map")</f>
        <v>3P</v>
      </c>
      <c r="K215" s="364" t="str">
        <f>VLOOKUP(L215,Map!$C$18:$D$29,2,0)</f>
        <v>PNT</v>
      </c>
      <c r="L215" s="360" t="s">
        <v>46</v>
      </c>
      <c r="M215" s="365">
        <v>77246.284016659265</v>
      </c>
      <c r="N215" s="366">
        <f t="shared" si="56"/>
        <v>0</v>
      </c>
      <c r="O215" s="366">
        <f t="shared" si="57"/>
        <v>91923.07797982452</v>
      </c>
      <c r="P215" s="367">
        <f t="shared" si="58"/>
        <v>83.690448555427153</v>
      </c>
      <c r="Q215" s="367">
        <f t="shared" si="59"/>
        <v>0</v>
      </c>
      <c r="R215" s="368">
        <f t="shared" si="63"/>
        <v>99.591633780958304</v>
      </c>
      <c r="S215" s="384">
        <f>INDEX(FX!$D$3:$O$19,MATCH(B215,FX!$B$3:$B$32,0),MATCH(D215,FX!$D$2:$O$2,0))</f>
        <v>923</v>
      </c>
      <c r="T215" s="360" t="s">
        <v>143</v>
      </c>
      <c r="U215" s="360" t="s">
        <v>155</v>
      </c>
      <c r="V215" s="360" t="s">
        <v>83</v>
      </c>
      <c r="W215" s="364" t="str">
        <f>VLOOKUP(I215,Map!$F$18:$H$51,3,0)</f>
        <v>Variable</v>
      </c>
      <c r="X215" s="370" t="s">
        <v>149</v>
      </c>
      <c r="Y215" s="364" t="str">
        <f>VLOOKUP(L215,Map!$C$18:$D$29,2,0)</f>
        <v>PNT</v>
      </c>
      <c r="Z215" s="365">
        <v>78469.721798681567</v>
      </c>
      <c r="AA215" s="366">
        <f t="shared" si="60"/>
        <v>0</v>
      </c>
      <c r="AB215" s="366">
        <f t="shared" si="64"/>
        <v>93378.968940431063</v>
      </c>
      <c r="AC215" s="367">
        <f t="shared" si="61"/>
        <v>85.015949944400404</v>
      </c>
      <c r="AD215" s="367">
        <f t="shared" si="62"/>
        <v>0</v>
      </c>
      <c r="AE215" s="368">
        <f t="shared" si="65"/>
        <v>101.16898043383648</v>
      </c>
      <c r="AF215" s="385"/>
    </row>
    <row r="216" spans="2:32" s="1" customFormat="1" ht="13" hidden="1" x14ac:dyDescent="0.3">
      <c r="B216" s="383">
        <v>2026</v>
      </c>
      <c r="C216" s="361" t="s">
        <v>408</v>
      </c>
      <c r="D216" s="361" t="s">
        <v>162</v>
      </c>
      <c r="E216" s="360" t="s">
        <v>88</v>
      </c>
      <c r="F216" s="360" t="s">
        <v>80</v>
      </c>
      <c r="G216" s="362">
        <v>46218</v>
      </c>
      <c r="H216" s="363">
        <v>3868</v>
      </c>
      <c r="I216" s="360" t="s">
        <v>147</v>
      </c>
      <c r="J216" s="364" t="str">
        <f>IFERROR(VLOOKUP(I216,Map!$F$18:$G$56,2,0),"Add in Map")</f>
        <v>3P</v>
      </c>
      <c r="K216" s="364" t="str">
        <f>VLOOKUP(L216,Map!$C$18:$D$29,2,0)</f>
        <v>GTT</v>
      </c>
      <c r="L216" s="360" t="s">
        <v>48</v>
      </c>
      <c r="M216" s="365">
        <v>106610.15167036303</v>
      </c>
      <c r="N216" s="366">
        <f t="shared" si="56"/>
        <v>0</v>
      </c>
      <c r="O216" s="366">
        <f t="shared" si="57"/>
        <v>126866.080487732</v>
      </c>
      <c r="P216" s="367">
        <f t="shared" si="58"/>
        <v>115.50395630591878</v>
      </c>
      <c r="Q216" s="367">
        <f t="shared" si="59"/>
        <v>0</v>
      </c>
      <c r="R216" s="368">
        <f t="shared" si="63"/>
        <v>137.44970800404334</v>
      </c>
      <c r="S216" s="384">
        <f>INDEX(FX!$D$3:$O$19,MATCH(B216,FX!$B$3:$B$32,0),MATCH(D216,FX!$D$2:$O$2,0))</f>
        <v>923</v>
      </c>
      <c r="T216" s="360" t="s">
        <v>143</v>
      </c>
      <c r="U216" s="360" t="s">
        <v>155</v>
      </c>
      <c r="V216" s="360" t="s">
        <v>83</v>
      </c>
      <c r="W216" s="364" t="str">
        <f>VLOOKUP(I216,Map!$F$18:$H$51,3,0)</f>
        <v>Variable</v>
      </c>
      <c r="X216" s="370" t="s">
        <v>149</v>
      </c>
      <c r="Y216" s="364" t="str">
        <f>VLOOKUP(L216,Map!$C$18:$D$29,2,0)</f>
        <v>GTT</v>
      </c>
      <c r="Z216" s="365">
        <v>108298.65862135787</v>
      </c>
      <c r="AA216" s="366">
        <f t="shared" si="60"/>
        <v>0</v>
      </c>
      <c r="AB216" s="366">
        <f t="shared" si="64"/>
        <v>128875.40375941586</v>
      </c>
      <c r="AC216" s="367">
        <f t="shared" si="61"/>
        <v>117.33332461685576</v>
      </c>
      <c r="AD216" s="367">
        <f t="shared" si="62"/>
        <v>0</v>
      </c>
      <c r="AE216" s="368">
        <f t="shared" si="65"/>
        <v>139.62665629405836</v>
      </c>
      <c r="AF216" s="385"/>
    </row>
    <row r="217" spans="2:32" s="1" customFormat="1" ht="13" hidden="1" x14ac:dyDescent="0.3">
      <c r="B217" s="383">
        <v>2026</v>
      </c>
      <c r="C217" s="361" t="s">
        <v>408</v>
      </c>
      <c r="D217" s="361" t="s">
        <v>162</v>
      </c>
      <c r="E217" s="360" t="s">
        <v>88</v>
      </c>
      <c r="F217" s="360" t="s">
        <v>80</v>
      </c>
      <c r="G217" s="362">
        <v>46218</v>
      </c>
      <c r="H217" s="363">
        <v>3868</v>
      </c>
      <c r="I217" s="360" t="s">
        <v>147</v>
      </c>
      <c r="J217" s="364" t="str">
        <f>IFERROR(VLOOKUP(I217,Map!$F$18:$G$56,2,0),"Add in Map")</f>
        <v>3P</v>
      </c>
      <c r="K217" s="364" t="str">
        <f>VLOOKUP(L217,Map!$C$18:$D$29,2,0)</f>
        <v>DGT</v>
      </c>
      <c r="L217" s="360" t="s">
        <v>50</v>
      </c>
      <c r="M217" s="365">
        <v>62935.782018134669</v>
      </c>
      <c r="N217" s="366">
        <f t="shared" si="56"/>
        <v>0</v>
      </c>
      <c r="O217" s="366">
        <f t="shared" si="57"/>
        <v>74893.580601580252</v>
      </c>
      <c r="P217" s="367">
        <f t="shared" si="58"/>
        <v>68.186112695703869</v>
      </c>
      <c r="Q217" s="367">
        <f t="shared" si="59"/>
        <v>0</v>
      </c>
      <c r="R217" s="368">
        <f t="shared" si="63"/>
        <v>81.141474107887603</v>
      </c>
      <c r="S217" s="384">
        <f>INDEX(FX!$D$3:$O$19,MATCH(B217,FX!$B$3:$B$32,0),MATCH(D217,FX!$D$2:$O$2,0))</f>
        <v>923</v>
      </c>
      <c r="T217" s="360" t="s">
        <v>143</v>
      </c>
      <c r="U217" s="360" t="s">
        <v>155</v>
      </c>
      <c r="V217" s="360" t="s">
        <v>83</v>
      </c>
      <c r="W217" s="364" t="str">
        <f>VLOOKUP(I217,Map!$F$18:$H$51,3,0)</f>
        <v>Variable</v>
      </c>
      <c r="X217" s="370" t="s">
        <v>149</v>
      </c>
      <c r="Y217" s="364" t="str">
        <f>VLOOKUP(L217,Map!$C$18:$D$29,2,0)</f>
        <v>DGT</v>
      </c>
      <c r="Z217" s="365">
        <v>63932.568006513087</v>
      </c>
      <c r="AA217" s="366">
        <f t="shared" si="60"/>
        <v>0</v>
      </c>
      <c r="AB217" s="366">
        <f t="shared" si="64"/>
        <v>76079.755927750564</v>
      </c>
      <c r="AC217" s="367">
        <f t="shared" si="61"/>
        <v>69.266054178237368</v>
      </c>
      <c r="AD217" s="367">
        <f t="shared" si="62"/>
        <v>0</v>
      </c>
      <c r="AE217" s="368">
        <f t="shared" si="65"/>
        <v>82.426604472102468</v>
      </c>
      <c r="AF217" s="385"/>
    </row>
    <row r="218" spans="2:32" s="1" customFormat="1" ht="13" hidden="1" x14ac:dyDescent="0.3">
      <c r="B218" s="383">
        <v>2026</v>
      </c>
      <c r="C218" s="361" t="s">
        <v>408</v>
      </c>
      <c r="D218" s="361" t="s">
        <v>162</v>
      </c>
      <c r="E218" s="360" t="s">
        <v>88</v>
      </c>
      <c r="F218" s="360" t="s">
        <v>80</v>
      </c>
      <c r="G218" s="362">
        <v>46218</v>
      </c>
      <c r="H218" s="363">
        <v>3868</v>
      </c>
      <c r="I218" s="360" t="s">
        <v>147</v>
      </c>
      <c r="J218" s="364" t="str">
        <f>IFERROR(VLOOKUP(I218,Map!$F$18:$G$56,2,0),"Add in Map")</f>
        <v>3P</v>
      </c>
      <c r="K218" s="364" t="str">
        <f>VLOOKUP(L218,Map!$C$18:$D$29,2,0)</f>
        <v>DLT</v>
      </c>
      <c r="L218" s="360" t="s">
        <v>52</v>
      </c>
      <c r="M218" s="365">
        <v>24970.286226855795</v>
      </c>
      <c r="N218" s="366">
        <f t="shared" si="56"/>
        <v>0</v>
      </c>
      <c r="O218" s="366">
        <f t="shared" si="57"/>
        <v>29714.640609958395</v>
      </c>
      <c r="P218" s="367">
        <f t="shared" si="58"/>
        <v>27.053397862248964</v>
      </c>
      <c r="Q218" s="367">
        <f t="shared" si="59"/>
        <v>0</v>
      </c>
      <c r="R218" s="368">
        <f t="shared" si="63"/>
        <v>32.193543456076263</v>
      </c>
      <c r="S218" s="384">
        <f>INDEX(FX!$D$3:$O$19,MATCH(B218,FX!$B$3:$B$32,0),MATCH(D218,FX!$D$2:$O$2,0))</f>
        <v>923</v>
      </c>
      <c r="T218" s="360" t="s">
        <v>143</v>
      </c>
      <c r="U218" s="360" t="s">
        <v>155</v>
      </c>
      <c r="V218" s="360" t="s">
        <v>83</v>
      </c>
      <c r="W218" s="364" t="str">
        <f>VLOOKUP(I218,Map!$F$18:$H$51,3,0)</f>
        <v>Variable</v>
      </c>
      <c r="X218" s="370" t="s">
        <v>149</v>
      </c>
      <c r="Y218" s="364" t="str">
        <f>VLOOKUP(L218,Map!$C$18:$D$29,2,0)</f>
        <v>DLT</v>
      </c>
      <c r="Z218" s="365">
        <v>25365.769219814498</v>
      </c>
      <c r="AA218" s="366">
        <f t="shared" si="60"/>
        <v>0</v>
      </c>
      <c r="AB218" s="366">
        <f t="shared" si="64"/>
        <v>30185.265371579251</v>
      </c>
      <c r="AC218" s="367">
        <f t="shared" si="61"/>
        <v>27.481873477588838</v>
      </c>
      <c r="AD218" s="367">
        <f t="shared" si="62"/>
        <v>0</v>
      </c>
      <c r="AE218" s="368">
        <f t="shared" si="65"/>
        <v>32.703429438330716</v>
      </c>
      <c r="AF218" s="385"/>
    </row>
    <row r="219" spans="2:32" s="1" customFormat="1" ht="13" hidden="1" x14ac:dyDescent="0.3">
      <c r="B219" s="383">
        <v>2026</v>
      </c>
      <c r="C219" s="361" t="s">
        <v>408</v>
      </c>
      <c r="D219" s="361" t="s">
        <v>162</v>
      </c>
      <c r="E219" s="360" t="s">
        <v>88</v>
      </c>
      <c r="F219" s="360" t="s">
        <v>80</v>
      </c>
      <c r="G219" s="362">
        <v>46218</v>
      </c>
      <c r="H219" s="363">
        <v>3868</v>
      </c>
      <c r="I219" s="360" t="s">
        <v>147</v>
      </c>
      <c r="J219" s="364" t="str">
        <f>IFERROR(VLOOKUP(I219,Map!$F$18:$G$56,2,0),"Add in Map")</f>
        <v>3P</v>
      </c>
      <c r="K219" s="364" t="str">
        <f>VLOOKUP(L219,Map!$C$18:$D$29,2,0)</f>
        <v>DMT</v>
      </c>
      <c r="L219" s="360" t="s">
        <v>54</v>
      </c>
      <c r="M219" s="365"/>
      <c r="N219" s="366">
        <f t="shared" si="56"/>
        <v>0</v>
      </c>
      <c r="O219" s="366">
        <f t="shared" si="57"/>
        <v>0</v>
      </c>
      <c r="P219" s="386">
        <f t="shared" si="58"/>
        <v>0</v>
      </c>
      <c r="Q219" s="367">
        <f t="shared" si="59"/>
        <v>0</v>
      </c>
      <c r="R219" s="368">
        <f t="shared" si="63"/>
        <v>0</v>
      </c>
      <c r="S219" s="384">
        <f>INDEX(FX!$D$3:$O$19,MATCH(B219,FX!$B$3:$B$32,0),MATCH(D219,FX!$D$2:$O$2,0))</f>
        <v>923</v>
      </c>
      <c r="T219" s="360" t="s">
        <v>143</v>
      </c>
      <c r="U219" s="360" t="s">
        <v>155</v>
      </c>
      <c r="V219" s="360" t="s">
        <v>83</v>
      </c>
      <c r="W219" s="364" t="str">
        <f>VLOOKUP(I219,Map!$F$18:$H$51,3,0)</f>
        <v>Variable</v>
      </c>
      <c r="X219" s="370" t="s">
        <v>149</v>
      </c>
      <c r="Y219" s="364" t="str">
        <f>VLOOKUP(L219,Map!$C$18:$D$29,2,0)</f>
        <v>DMT</v>
      </c>
      <c r="Z219" s="365">
        <v>0</v>
      </c>
      <c r="AA219" s="366">
        <f t="shared" si="60"/>
        <v>0</v>
      </c>
      <c r="AB219" s="366">
        <f t="shared" si="64"/>
        <v>0</v>
      </c>
      <c r="AC219" s="386">
        <f t="shared" si="61"/>
        <v>0</v>
      </c>
      <c r="AD219" s="367">
        <f t="shared" si="62"/>
        <v>0</v>
      </c>
      <c r="AE219" s="368">
        <f t="shared" si="65"/>
        <v>0</v>
      </c>
      <c r="AF219" s="385"/>
    </row>
    <row r="220" spans="2:32" s="37" customFormat="1" hidden="1" x14ac:dyDescent="0.35">
      <c r="B220" s="387">
        <v>2026</v>
      </c>
      <c r="C220" s="389" t="s">
        <v>408</v>
      </c>
      <c r="D220" s="389" t="s">
        <v>162</v>
      </c>
      <c r="E220" s="388" t="s">
        <v>88</v>
      </c>
      <c r="F220" s="388" t="s">
        <v>80</v>
      </c>
      <c r="G220" s="390">
        <v>46218</v>
      </c>
      <c r="H220" s="391">
        <v>3868</v>
      </c>
      <c r="I220" s="388" t="s">
        <v>147</v>
      </c>
      <c r="J220" s="392" t="str">
        <f>IFERROR(VLOOKUP(I220,Map!$F$18:$G$56,2,0),"Add in Map")</f>
        <v>3P</v>
      </c>
      <c r="K220" s="392" t="str">
        <f>VLOOKUP(L220,Map!$C$18:$D$29,2,0)</f>
        <v>TOTAL</v>
      </c>
      <c r="L220" s="388" t="s">
        <v>56</v>
      </c>
      <c r="M220" s="393">
        <f>SUM(M209:M219)</f>
        <v>6754210.9999999991</v>
      </c>
      <c r="N220" s="393">
        <f t="shared" si="56"/>
        <v>1283300.0899999999</v>
      </c>
      <c r="O220" s="393">
        <f t="shared" si="57"/>
        <v>8037511.0899999989</v>
      </c>
      <c r="P220" s="394">
        <f t="shared" si="58"/>
        <v>7317.671722643553</v>
      </c>
      <c r="Q220" s="394">
        <f t="shared" si="59"/>
        <v>1390.3576273022752</v>
      </c>
      <c r="R220" s="395">
        <f t="shared" si="63"/>
        <v>8708.0293499458276</v>
      </c>
      <c r="S220" s="396">
        <f>INDEX(FX!$D$3:$O$19,MATCH(B220,FX!$B$3:$B$32,0),MATCH(D220,FX!$D$2:$O$2,0))</f>
        <v>923</v>
      </c>
      <c r="T220" s="388" t="s">
        <v>143</v>
      </c>
      <c r="U220" s="388" t="s">
        <v>155</v>
      </c>
      <c r="V220" s="388" t="s">
        <v>83</v>
      </c>
      <c r="W220" s="392" t="str">
        <f>VLOOKUP(I220,Map!$F$18:$H$51,3,0)</f>
        <v>Variable</v>
      </c>
      <c r="X220" s="397" t="s">
        <v>149</v>
      </c>
      <c r="Y220" s="392" t="str">
        <f>VLOOKUP(L220,Map!$C$18:$D$29,2,0)</f>
        <v>TOTAL</v>
      </c>
      <c r="Z220" s="393">
        <f>SUM(Z209:Z219)</f>
        <v>6861185.1674999995</v>
      </c>
      <c r="AA220" s="393">
        <f t="shared" si="60"/>
        <v>1303625.1818249999</v>
      </c>
      <c r="AB220" s="393">
        <f t="shared" si="64"/>
        <v>8164810.3493249994</v>
      </c>
      <c r="AC220" s="394">
        <f t="shared" si="61"/>
        <v>7433.5700622968579</v>
      </c>
      <c r="AD220" s="394">
        <f t="shared" si="62"/>
        <v>1412.3783118364031</v>
      </c>
      <c r="AE220" s="395">
        <f t="shared" si="65"/>
        <v>8845.9483741332606</v>
      </c>
      <c r="AF220" s="398"/>
    </row>
    <row r="221" spans="2:32" s="5" customFormat="1" ht="13" hidden="1" x14ac:dyDescent="0.3">
      <c r="B221" s="400">
        <v>2026</v>
      </c>
      <c r="C221" s="402" t="s">
        <v>458</v>
      </c>
      <c r="D221" s="402" t="s">
        <v>80</v>
      </c>
      <c r="E221" s="401" t="s">
        <v>88</v>
      </c>
      <c r="F221" s="401" t="s">
        <v>172</v>
      </c>
      <c r="G221" s="403"/>
      <c r="H221" s="404"/>
      <c r="I221" s="401" t="s">
        <v>147</v>
      </c>
      <c r="J221" s="405" t="str">
        <f>IFERROR(VLOOKUP(I221,Map!$F$18:$G$56,2,0),"Add in Map")</f>
        <v>3P</v>
      </c>
      <c r="K221" s="405" t="str">
        <f>VLOOKUP(L221,Map!$C$18:$D$29,2,0)</f>
        <v>CNT</v>
      </c>
      <c r="L221" s="401" t="s">
        <v>31</v>
      </c>
      <c r="M221" s="406">
        <v>1478313.9149305087</v>
      </c>
      <c r="N221" s="407">
        <f t="shared" ref="N221:N284" si="66">IF(L221="TOTAL",(M221*0.19),0)</f>
        <v>0</v>
      </c>
      <c r="O221" s="407">
        <f t="shared" ref="O221:O284" si="67">M221*1.19</f>
        <v>1759193.5587673052</v>
      </c>
      <c r="P221" s="408">
        <f t="shared" ref="P221:P284" si="68">M221/S221</f>
        <v>1599.9068343403774</v>
      </c>
      <c r="Q221" s="408">
        <f t="shared" ref="Q221:Q284" si="69">IF(L221="TOTAL",(P221*0.19),0)</f>
        <v>0</v>
      </c>
      <c r="R221" s="409">
        <f t="shared" si="63"/>
        <v>1903.8891328650491</v>
      </c>
      <c r="S221" s="410">
        <f>INDEX(FX!$D$3:$O$19,MATCH(B221,FX!$B$3:$B$32,0),MATCH(D221,FX!$D$2:$O$2,0))</f>
        <v>924</v>
      </c>
      <c r="T221" s="401" t="s">
        <v>144</v>
      </c>
      <c r="U221" s="401" t="s">
        <v>155</v>
      </c>
      <c r="V221" s="401" t="s">
        <v>83</v>
      </c>
      <c r="W221" s="405" t="str">
        <f>VLOOKUP(I221,Map!$F$18:$H$51,3,0)</f>
        <v>Variable</v>
      </c>
      <c r="X221" s="411" t="s">
        <v>172</v>
      </c>
      <c r="Y221" s="405" t="str">
        <f>VLOOKUP(L221,Map!$C$18:$D$29,2,0)</f>
        <v>CNT</v>
      </c>
      <c r="Z221" s="406"/>
      <c r="AA221" s="407">
        <f t="shared" si="60"/>
        <v>0</v>
      </c>
      <c r="AB221" s="407">
        <f t="shared" si="64"/>
        <v>0</v>
      </c>
      <c r="AC221" s="408">
        <f t="shared" si="61"/>
        <v>0</v>
      </c>
      <c r="AD221" s="408">
        <f t="shared" si="62"/>
        <v>0</v>
      </c>
      <c r="AE221" s="409">
        <f t="shared" si="65"/>
        <v>0</v>
      </c>
      <c r="AF221" s="412"/>
    </row>
    <row r="222" spans="2:32" s="1" customFormat="1" ht="13" hidden="1" x14ac:dyDescent="0.3">
      <c r="B222" s="383">
        <v>2026</v>
      </c>
      <c r="C222" s="361" t="s">
        <v>458</v>
      </c>
      <c r="D222" s="361" t="s">
        <v>80</v>
      </c>
      <c r="E222" s="360" t="s">
        <v>88</v>
      </c>
      <c r="F222" s="360" t="s">
        <v>172</v>
      </c>
      <c r="G222" s="362"/>
      <c r="H222" s="363"/>
      <c r="I222" s="360" t="s">
        <v>147</v>
      </c>
      <c r="J222" s="364" t="str">
        <f>IFERROR(VLOOKUP(I222,Map!$F$18:$G$56,2,0),"Add in Map")</f>
        <v>3P</v>
      </c>
      <c r="K222" s="364" t="str">
        <f>VLOOKUP(L222,Map!$C$18:$D$29,2,0)</f>
        <v>CVT</v>
      </c>
      <c r="L222" s="360" t="s">
        <v>36</v>
      </c>
      <c r="M222" s="365">
        <v>0</v>
      </c>
      <c r="N222" s="366">
        <f t="shared" si="66"/>
        <v>0</v>
      </c>
      <c r="O222" s="366">
        <f t="shared" si="67"/>
        <v>0</v>
      </c>
      <c r="P222" s="367">
        <f t="shared" si="68"/>
        <v>0</v>
      </c>
      <c r="Q222" s="367">
        <f t="shared" si="69"/>
        <v>0</v>
      </c>
      <c r="R222" s="368">
        <f t="shared" si="63"/>
        <v>0</v>
      </c>
      <c r="S222" s="384">
        <f>INDEX(FX!$D$3:$O$19,MATCH(B222,FX!$B$3:$B$32,0),MATCH(D222,FX!$D$2:$O$2,0))</f>
        <v>924</v>
      </c>
      <c r="T222" s="360" t="s">
        <v>144</v>
      </c>
      <c r="U222" s="360" t="s">
        <v>155</v>
      </c>
      <c r="V222" s="360" t="s">
        <v>83</v>
      </c>
      <c r="W222" s="364" t="str">
        <f>VLOOKUP(I222,Map!$F$18:$H$51,3,0)</f>
        <v>Variable</v>
      </c>
      <c r="X222" s="370" t="s">
        <v>172</v>
      </c>
      <c r="Y222" s="364" t="str">
        <f>VLOOKUP(L222,Map!$C$18:$D$29,2,0)</f>
        <v>CVT</v>
      </c>
      <c r="Z222" s="365"/>
      <c r="AA222" s="366">
        <f t="shared" si="60"/>
        <v>0</v>
      </c>
      <c r="AB222" s="366">
        <f t="shared" si="64"/>
        <v>0</v>
      </c>
      <c r="AC222" s="367">
        <f t="shared" si="61"/>
        <v>0</v>
      </c>
      <c r="AD222" s="367">
        <f t="shared" si="62"/>
        <v>0</v>
      </c>
      <c r="AE222" s="368">
        <f t="shared" si="65"/>
        <v>0</v>
      </c>
      <c r="AF222" s="385"/>
    </row>
    <row r="223" spans="2:32" s="1" customFormat="1" ht="13" hidden="1" x14ac:dyDescent="0.3">
      <c r="B223" s="383">
        <v>2026</v>
      </c>
      <c r="C223" s="361" t="s">
        <v>458</v>
      </c>
      <c r="D223" s="361" t="s">
        <v>80</v>
      </c>
      <c r="E223" s="360" t="s">
        <v>88</v>
      </c>
      <c r="F223" s="360" t="s">
        <v>172</v>
      </c>
      <c r="G223" s="362"/>
      <c r="H223" s="363"/>
      <c r="I223" s="360" t="s">
        <v>147</v>
      </c>
      <c r="J223" s="364" t="str">
        <f>IFERROR(VLOOKUP(I223,Map!$F$18:$G$56,2,0),"Add in Map")</f>
        <v>3P</v>
      </c>
      <c r="K223" s="364" t="str">
        <f>VLOOKUP(L223,Map!$C$18:$D$29,2,0)</f>
        <v>CDT</v>
      </c>
      <c r="L223" s="360" t="s">
        <v>38</v>
      </c>
      <c r="M223" s="365">
        <v>0</v>
      </c>
      <c r="N223" s="366">
        <f t="shared" si="66"/>
        <v>0</v>
      </c>
      <c r="O223" s="366">
        <f t="shared" si="67"/>
        <v>0</v>
      </c>
      <c r="P223" s="367">
        <f t="shared" si="68"/>
        <v>0</v>
      </c>
      <c r="Q223" s="367">
        <f t="shared" si="69"/>
        <v>0</v>
      </c>
      <c r="R223" s="368">
        <f t="shared" si="63"/>
        <v>0</v>
      </c>
      <c r="S223" s="384">
        <f>INDEX(FX!$D$3:$O$19,MATCH(B223,FX!$B$3:$B$32,0),MATCH(D223,FX!$D$2:$O$2,0))</f>
        <v>924</v>
      </c>
      <c r="T223" s="360" t="s">
        <v>144</v>
      </c>
      <c r="U223" s="360" t="s">
        <v>155</v>
      </c>
      <c r="V223" s="360" t="s">
        <v>83</v>
      </c>
      <c r="W223" s="364" t="str">
        <f>VLOOKUP(I223,Map!$F$18:$H$51,3,0)</f>
        <v>Variable</v>
      </c>
      <c r="X223" s="370" t="s">
        <v>172</v>
      </c>
      <c r="Y223" s="364" t="str">
        <f>VLOOKUP(L223,Map!$C$18:$D$29,2,0)</f>
        <v>CDT</v>
      </c>
      <c r="Z223" s="365"/>
      <c r="AA223" s="366">
        <f t="shared" si="60"/>
        <v>0</v>
      </c>
      <c r="AB223" s="366">
        <f t="shared" si="64"/>
        <v>0</v>
      </c>
      <c r="AC223" s="367">
        <f t="shared" si="61"/>
        <v>0</v>
      </c>
      <c r="AD223" s="367">
        <f t="shared" si="62"/>
        <v>0</v>
      </c>
      <c r="AE223" s="368">
        <f t="shared" si="65"/>
        <v>0</v>
      </c>
      <c r="AF223" s="385"/>
    </row>
    <row r="224" spans="2:32" s="1" customFormat="1" ht="13" hidden="1" x14ac:dyDescent="0.3">
      <c r="B224" s="383">
        <v>2026</v>
      </c>
      <c r="C224" s="361" t="s">
        <v>458</v>
      </c>
      <c r="D224" s="361" t="s">
        <v>80</v>
      </c>
      <c r="E224" s="360" t="s">
        <v>88</v>
      </c>
      <c r="F224" s="360" t="s">
        <v>172</v>
      </c>
      <c r="G224" s="362"/>
      <c r="H224" s="363"/>
      <c r="I224" s="360" t="s">
        <v>147</v>
      </c>
      <c r="J224" s="364" t="str">
        <f>IFERROR(VLOOKUP(I224,Map!$F$18:$G$56,2,0),"Add in Map")</f>
        <v>3P</v>
      </c>
      <c r="K224" s="364" t="str">
        <f>VLOOKUP(L224,Map!$C$18:$D$29,2,0)</f>
        <v>DFT</v>
      </c>
      <c r="L224" s="360" t="s">
        <v>40</v>
      </c>
      <c r="M224" s="365">
        <v>4619730.9841578398</v>
      </c>
      <c r="N224" s="366">
        <f t="shared" si="66"/>
        <v>0</v>
      </c>
      <c r="O224" s="366">
        <f t="shared" si="67"/>
        <v>5497479.8711478291</v>
      </c>
      <c r="P224" s="367">
        <f t="shared" si="68"/>
        <v>4999.7088573136798</v>
      </c>
      <c r="Q224" s="367">
        <f t="shared" si="69"/>
        <v>0</v>
      </c>
      <c r="R224" s="368">
        <f t="shared" si="63"/>
        <v>5949.6535402032787</v>
      </c>
      <c r="S224" s="384">
        <f>INDEX(FX!$D$3:$O$19,MATCH(B224,FX!$B$3:$B$32,0),MATCH(D224,FX!$D$2:$O$2,0))</f>
        <v>924</v>
      </c>
      <c r="T224" s="360" t="s">
        <v>144</v>
      </c>
      <c r="U224" s="360" t="s">
        <v>155</v>
      </c>
      <c r="V224" s="360" t="s">
        <v>83</v>
      </c>
      <c r="W224" s="364" t="str">
        <f>VLOOKUP(I224,Map!$F$18:$H$51,3,0)</f>
        <v>Variable</v>
      </c>
      <c r="X224" s="370" t="s">
        <v>172</v>
      </c>
      <c r="Y224" s="364" t="str">
        <f>VLOOKUP(L224,Map!$C$18:$D$29,2,0)</f>
        <v>DFT</v>
      </c>
      <c r="Z224" s="365"/>
      <c r="AA224" s="366">
        <f t="shared" si="60"/>
        <v>0</v>
      </c>
      <c r="AB224" s="366">
        <f t="shared" si="64"/>
        <v>0</v>
      </c>
      <c r="AC224" s="367">
        <f t="shared" si="61"/>
        <v>0</v>
      </c>
      <c r="AD224" s="367">
        <f t="shared" si="62"/>
        <v>0</v>
      </c>
      <c r="AE224" s="368">
        <f t="shared" si="65"/>
        <v>0</v>
      </c>
      <c r="AF224" s="385"/>
    </row>
    <row r="225" spans="2:32" s="1" customFormat="1" ht="13" hidden="1" x14ac:dyDescent="0.3">
      <c r="B225" s="383">
        <v>2026</v>
      </c>
      <c r="C225" s="361" t="s">
        <v>458</v>
      </c>
      <c r="D225" s="361" t="s">
        <v>80</v>
      </c>
      <c r="E225" s="360" t="s">
        <v>88</v>
      </c>
      <c r="F225" s="360" t="s">
        <v>172</v>
      </c>
      <c r="G225" s="362"/>
      <c r="H225" s="363"/>
      <c r="I225" s="360" t="s">
        <v>147</v>
      </c>
      <c r="J225" s="364" t="str">
        <f>IFERROR(VLOOKUP(I225,Map!$F$18:$G$56,2,0),"Add in Map")</f>
        <v>3P</v>
      </c>
      <c r="K225" s="364" t="str">
        <f>VLOOKUP(L225,Map!$C$18:$D$29,2,0)</f>
        <v>DVT</v>
      </c>
      <c r="L225" s="360" t="s">
        <v>42</v>
      </c>
      <c r="M225" s="365">
        <v>0</v>
      </c>
      <c r="N225" s="366">
        <f t="shared" si="66"/>
        <v>0</v>
      </c>
      <c r="O225" s="366">
        <f t="shared" si="67"/>
        <v>0</v>
      </c>
      <c r="P225" s="367">
        <f t="shared" si="68"/>
        <v>0</v>
      </c>
      <c r="Q225" s="367">
        <f t="shared" si="69"/>
        <v>0</v>
      </c>
      <c r="R225" s="368">
        <f t="shared" si="63"/>
        <v>0</v>
      </c>
      <c r="S225" s="384">
        <f>INDEX(FX!$D$3:$O$19,MATCH(B225,FX!$B$3:$B$32,0),MATCH(D225,FX!$D$2:$O$2,0))</f>
        <v>924</v>
      </c>
      <c r="T225" s="360" t="s">
        <v>144</v>
      </c>
      <c r="U225" s="360" t="s">
        <v>155</v>
      </c>
      <c r="V225" s="360" t="s">
        <v>83</v>
      </c>
      <c r="W225" s="364" t="str">
        <f>VLOOKUP(I225,Map!$F$18:$H$51,3,0)</f>
        <v>Variable</v>
      </c>
      <c r="X225" s="370" t="s">
        <v>172</v>
      </c>
      <c r="Y225" s="364" t="str">
        <f>VLOOKUP(L225,Map!$C$18:$D$29,2,0)</f>
        <v>DVT</v>
      </c>
      <c r="Z225" s="365"/>
      <c r="AA225" s="366">
        <f t="shared" si="60"/>
        <v>0</v>
      </c>
      <c r="AB225" s="366">
        <f t="shared" si="64"/>
        <v>0</v>
      </c>
      <c r="AC225" s="367">
        <f t="shared" si="61"/>
        <v>0</v>
      </c>
      <c r="AD225" s="367">
        <f t="shared" si="62"/>
        <v>0</v>
      </c>
      <c r="AE225" s="368">
        <f t="shared" si="65"/>
        <v>0</v>
      </c>
      <c r="AF225" s="385"/>
    </row>
    <row r="226" spans="2:32" s="1" customFormat="1" ht="13" hidden="1" x14ac:dyDescent="0.3">
      <c r="B226" s="383">
        <v>2026</v>
      </c>
      <c r="C226" s="361" t="s">
        <v>458</v>
      </c>
      <c r="D226" s="361" t="s">
        <v>80</v>
      </c>
      <c r="E226" s="360" t="s">
        <v>88</v>
      </c>
      <c r="F226" s="360" t="s">
        <v>172</v>
      </c>
      <c r="G226" s="362"/>
      <c r="H226" s="363"/>
      <c r="I226" s="360" t="s">
        <v>147</v>
      </c>
      <c r="J226" s="364" t="str">
        <f>IFERROR(VLOOKUP(I226,Map!$F$18:$G$56,2,0),"Add in Map")</f>
        <v>3P</v>
      </c>
      <c r="K226" s="364" t="str">
        <f>VLOOKUP(L226,Map!$C$18:$D$29,2,0)</f>
        <v>GLT</v>
      </c>
      <c r="L226" s="360" t="s">
        <v>44</v>
      </c>
      <c r="M226" s="365">
        <v>2808796.4383679666</v>
      </c>
      <c r="N226" s="366">
        <f t="shared" si="66"/>
        <v>0</v>
      </c>
      <c r="O226" s="366">
        <f t="shared" si="67"/>
        <v>3342467.7616578802</v>
      </c>
      <c r="P226" s="367">
        <f t="shared" si="68"/>
        <v>3039.8229852467171</v>
      </c>
      <c r="Q226" s="367">
        <f t="shared" si="69"/>
        <v>0</v>
      </c>
      <c r="R226" s="368">
        <f t="shared" si="63"/>
        <v>3617.389352443593</v>
      </c>
      <c r="S226" s="384">
        <f>INDEX(FX!$D$3:$O$19,MATCH(B226,FX!$B$3:$B$32,0),MATCH(D226,FX!$D$2:$O$2,0))</f>
        <v>924</v>
      </c>
      <c r="T226" s="360" t="s">
        <v>144</v>
      </c>
      <c r="U226" s="360" t="s">
        <v>155</v>
      </c>
      <c r="V226" s="360" t="s">
        <v>83</v>
      </c>
      <c r="W226" s="364" t="str">
        <f>VLOOKUP(I226,Map!$F$18:$H$51,3,0)</f>
        <v>Variable</v>
      </c>
      <c r="X226" s="370" t="s">
        <v>172</v>
      </c>
      <c r="Y226" s="364" t="str">
        <f>VLOOKUP(L226,Map!$C$18:$D$29,2,0)</f>
        <v>GLT</v>
      </c>
      <c r="Z226" s="365"/>
      <c r="AA226" s="366">
        <f t="shared" si="60"/>
        <v>0</v>
      </c>
      <c r="AB226" s="366">
        <f t="shared" si="64"/>
        <v>0</v>
      </c>
      <c r="AC226" s="367">
        <f t="shared" si="61"/>
        <v>0</v>
      </c>
      <c r="AD226" s="367">
        <f t="shared" si="62"/>
        <v>0</v>
      </c>
      <c r="AE226" s="368">
        <f t="shared" si="65"/>
        <v>0</v>
      </c>
      <c r="AF226" s="385"/>
    </row>
    <row r="227" spans="2:32" s="1" customFormat="1" ht="13" hidden="1" x14ac:dyDescent="0.3">
      <c r="B227" s="383">
        <v>2026</v>
      </c>
      <c r="C227" s="361" t="s">
        <v>458</v>
      </c>
      <c r="D227" s="361" t="s">
        <v>80</v>
      </c>
      <c r="E227" s="360" t="s">
        <v>88</v>
      </c>
      <c r="F227" s="360" t="s">
        <v>172</v>
      </c>
      <c r="G227" s="362"/>
      <c r="H227" s="363"/>
      <c r="I227" s="360" t="s">
        <v>147</v>
      </c>
      <c r="J227" s="364" t="str">
        <f>IFERROR(VLOOKUP(I227,Map!$F$18:$G$56,2,0),"Add in Map")</f>
        <v>3P</v>
      </c>
      <c r="K227" s="364" t="str">
        <f>VLOOKUP(L227,Map!$C$18:$D$29,2,0)</f>
        <v>PNT</v>
      </c>
      <c r="L227" s="360" t="s">
        <v>46</v>
      </c>
      <c r="M227" s="365">
        <v>147831.39149305085</v>
      </c>
      <c r="N227" s="366">
        <f t="shared" si="66"/>
        <v>0</v>
      </c>
      <c r="O227" s="366">
        <f t="shared" si="67"/>
        <v>175919.35587673049</v>
      </c>
      <c r="P227" s="367">
        <f t="shared" si="68"/>
        <v>159.99068343403772</v>
      </c>
      <c r="Q227" s="367">
        <f t="shared" si="69"/>
        <v>0</v>
      </c>
      <c r="R227" s="368">
        <f t="shared" si="63"/>
        <v>190.38891328650487</v>
      </c>
      <c r="S227" s="384">
        <f>INDEX(FX!$D$3:$O$19,MATCH(B227,FX!$B$3:$B$32,0),MATCH(D227,FX!$D$2:$O$2,0))</f>
        <v>924</v>
      </c>
      <c r="T227" s="360" t="s">
        <v>144</v>
      </c>
      <c r="U227" s="360" t="s">
        <v>155</v>
      </c>
      <c r="V227" s="360" t="s">
        <v>83</v>
      </c>
      <c r="W227" s="364" t="str">
        <f>VLOOKUP(I227,Map!$F$18:$H$51,3,0)</f>
        <v>Variable</v>
      </c>
      <c r="X227" s="370" t="s">
        <v>172</v>
      </c>
      <c r="Y227" s="364" t="str">
        <f>VLOOKUP(L227,Map!$C$18:$D$29,2,0)</f>
        <v>PNT</v>
      </c>
      <c r="Z227" s="365"/>
      <c r="AA227" s="366">
        <f t="shared" si="60"/>
        <v>0</v>
      </c>
      <c r="AB227" s="366">
        <f t="shared" si="64"/>
        <v>0</v>
      </c>
      <c r="AC227" s="367">
        <f t="shared" si="61"/>
        <v>0</v>
      </c>
      <c r="AD227" s="367">
        <f t="shared" si="62"/>
        <v>0</v>
      </c>
      <c r="AE227" s="368">
        <f t="shared" si="65"/>
        <v>0</v>
      </c>
      <c r="AF227" s="385"/>
    </row>
    <row r="228" spans="2:32" s="1" customFormat="1" ht="13" hidden="1" x14ac:dyDescent="0.3">
      <c r="B228" s="383">
        <v>2026</v>
      </c>
      <c r="C228" s="361" t="s">
        <v>458</v>
      </c>
      <c r="D228" s="361" t="s">
        <v>80</v>
      </c>
      <c r="E228" s="360" t="s">
        <v>88</v>
      </c>
      <c r="F228" s="360" t="s">
        <v>172</v>
      </c>
      <c r="G228" s="362"/>
      <c r="H228" s="363"/>
      <c r="I228" s="360" t="s">
        <v>147</v>
      </c>
      <c r="J228" s="364" t="str">
        <f>IFERROR(VLOOKUP(I228,Map!$F$18:$G$56,2,0),"Add in Map")</f>
        <v>3P</v>
      </c>
      <c r="K228" s="364" t="str">
        <f>VLOOKUP(L228,Map!$C$18:$D$29,2,0)</f>
        <v>GTT</v>
      </c>
      <c r="L228" s="360" t="s">
        <v>48</v>
      </c>
      <c r="M228" s="365">
        <v>147831.39149305085</v>
      </c>
      <c r="N228" s="366">
        <f t="shared" si="66"/>
        <v>0</v>
      </c>
      <c r="O228" s="366">
        <f t="shared" si="67"/>
        <v>175919.35587673049</v>
      </c>
      <c r="P228" s="367">
        <f t="shared" si="68"/>
        <v>159.99068343403772</v>
      </c>
      <c r="Q228" s="367">
        <f t="shared" si="69"/>
        <v>0</v>
      </c>
      <c r="R228" s="368">
        <f t="shared" si="63"/>
        <v>190.38891328650487</v>
      </c>
      <c r="S228" s="384">
        <f>INDEX(FX!$D$3:$O$19,MATCH(B228,FX!$B$3:$B$32,0),MATCH(D228,FX!$D$2:$O$2,0))</f>
        <v>924</v>
      </c>
      <c r="T228" s="360" t="s">
        <v>144</v>
      </c>
      <c r="U228" s="360" t="s">
        <v>155</v>
      </c>
      <c r="V228" s="360" t="s">
        <v>83</v>
      </c>
      <c r="W228" s="364" t="str">
        <f>VLOOKUP(I228,Map!$F$18:$H$51,3,0)</f>
        <v>Variable</v>
      </c>
      <c r="X228" s="370" t="s">
        <v>172</v>
      </c>
      <c r="Y228" s="364" t="str">
        <f>VLOOKUP(L228,Map!$C$18:$D$29,2,0)</f>
        <v>GTT</v>
      </c>
      <c r="Z228" s="365"/>
      <c r="AA228" s="366">
        <f t="shared" si="60"/>
        <v>0</v>
      </c>
      <c r="AB228" s="366">
        <f t="shared" si="64"/>
        <v>0</v>
      </c>
      <c r="AC228" s="367">
        <f t="shared" si="61"/>
        <v>0</v>
      </c>
      <c r="AD228" s="367">
        <f t="shared" si="62"/>
        <v>0</v>
      </c>
      <c r="AE228" s="368">
        <f t="shared" si="65"/>
        <v>0</v>
      </c>
      <c r="AF228" s="385"/>
    </row>
    <row r="229" spans="2:32" s="1" customFormat="1" ht="13" hidden="1" x14ac:dyDescent="0.3">
      <c r="B229" s="383">
        <v>2026</v>
      </c>
      <c r="C229" s="361" t="s">
        <v>458</v>
      </c>
      <c r="D229" s="361" t="s">
        <v>80</v>
      </c>
      <c r="E229" s="360" t="s">
        <v>88</v>
      </c>
      <c r="F229" s="360" t="s">
        <v>172</v>
      </c>
      <c r="G229" s="362"/>
      <c r="H229" s="363"/>
      <c r="I229" s="360" t="s">
        <v>147</v>
      </c>
      <c r="J229" s="364" t="str">
        <f>IFERROR(VLOOKUP(I229,Map!$F$18:$G$56,2,0),"Add in Map")</f>
        <v>3P</v>
      </c>
      <c r="K229" s="364" t="str">
        <f>VLOOKUP(L229,Map!$C$18:$D$29,2,0)</f>
        <v>DGT</v>
      </c>
      <c r="L229" s="360" t="s">
        <v>50</v>
      </c>
      <c r="M229" s="365">
        <v>0</v>
      </c>
      <c r="N229" s="366">
        <f t="shared" si="66"/>
        <v>0</v>
      </c>
      <c r="O229" s="366">
        <f t="shared" si="67"/>
        <v>0</v>
      </c>
      <c r="P229" s="367">
        <f t="shared" si="68"/>
        <v>0</v>
      </c>
      <c r="Q229" s="367">
        <f t="shared" si="69"/>
        <v>0</v>
      </c>
      <c r="R229" s="368">
        <f t="shared" si="63"/>
        <v>0</v>
      </c>
      <c r="S229" s="384">
        <f>INDEX(FX!$D$3:$O$19,MATCH(B229,FX!$B$3:$B$32,0),MATCH(D229,FX!$D$2:$O$2,0))</f>
        <v>924</v>
      </c>
      <c r="T229" s="360" t="s">
        <v>144</v>
      </c>
      <c r="U229" s="360" t="s">
        <v>155</v>
      </c>
      <c r="V229" s="360" t="s">
        <v>83</v>
      </c>
      <c r="W229" s="364" t="str">
        <f>VLOOKUP(I229,Map!$F$18:$H$51,3,0)</f>
        <v>Variable</v>
      </c>
      <c r="X229" s="370" t="s">
        <v>172</v>
      </c>
      <c r="Y229" s="364" t="str">
        <f>VLOOKUP(L229,Map!$C$18:$D$29,2,0)</f>
        <v>DGT</v>
      </c>
      <c r="Z229" s="365"/>
      <c r="AA229" s="366">
        <f t="shared" si="60"/>
        <v>0</v>
      </c>
      <c r="AB229" s="366">
        <f t="shared" si="64"/>
        <v>0</v>
      </c>
      <c r="AC229" s="367">
        <f t="shared" si="61"/>
        <v>0</v>
      </c>
      <c r="AD229" s="367">
        <f t="shared" si="62"/>
        <v>0</v>
      </c>
      <c r="AE229" s="368">
        <f t="shared" si="65"/>
        <v>0</v>
      </c>
      <c r="AF229" s="385"/>
    </row>
    <row r="230" spans="2:32" s="1" customFormat="1" ht="13" hidden="1" x14ac:dyDescent="0.3">
      <c r="B230" s="383">
        <v>2026</v>
      </c>
      <c r="C230" s="361" t="s">
        <v>458</v>
      </c>
      <c r="D230" s="361" t="s">
        <v>80</v>
      </c>
      <c r="E230" s="360" t="s">
        <v>88</v>
      </c>
      <c r="F230" s="360" t="s">
        <v>172</v>
      </c>
      <c r="G230" s="362"/>
      <c r="H230" s="363"/>
      <c r="I230" s="360" t="s">
        <v>147</v>
      </c>
      <c r="J230" s="364" t="str">
        <f>IFERROR(VLOOKUP(I230,Map!$F$18:$G$56,2,0),"Add in Map")</f>
        <v>3P</v>
      </c>
      <c r="K230" s="364" t="str">
        <f>VLOOKUP(L230,Map!$C$18:$D$29,2,0)</f>
        <v>DLT</v>
      </c>
      <c r="L230" s="360" t="s">
        <v>52</v>
      </c>
      <c r="M230" s="365">
        <v>0</v>
      </c>
      <c r="N230" s="366">
        <f t="shared" si="66"/>
        <v>0</v>
      </c>
      <c r="O230" s="366">
        <f t="shared" si="67"/>
        <v>0</v>
      </c>
      <c r="P230" s="367">
        <f t="shared" si="68"/>
        <v>0</v>
      </c>
      <c r="Q230" s="367">
        <f t="shared" si="69"/>
        <v>0</v>
      </c>
      <c r="R230" s="368">
        <f t="shared" si="63"/>
        <v>0</v>
      </c>
      <c r="S230" s="384">
        <f>INDEX(FX!$D$3:$O$19,MATCH(B230,FX!$B$3:$B$32,0),MATCH(D230,FX!$D$2:$O$2,0))</f>
        <v>924</v>
      </c>
      <c r="T230" s="360" t="s">
        <v>144</v>
      </c>
      <c r="U230" s="360" t="s">
        <v>155</v>
      </c>
      <c r="V230" s="360" t="s">
        <v>83</v>
      </c>
      <c r="W230" s="364" t="str">
        <f>VLOOKUP(I230,Map!$F$18:$H$51,3,0)</f>
        <v>Variable</v>
      </c>
      <c r="X230" s="370" t="s">
        <v>172</v>
      </c>
      <c r="Y230" s="364" t="str">
        <f>VLOOKUP(L230,Map!$C$18:$D$29,2,0)</f>
        <v>DLT</v>
      </c>
      <c r="Z230" s="365"/>
      <c r="AA230" s="366">
        <f t="shared" si="60"/>
        <v>0</v>
      </c>
      <c r="AB230" s="366">
        <f t="shared" si="64"/>
        <v>0</v>
      </c>
      <c r="AC230" s="367">
        <f t="shared" si="61"/>
        <v>0</v>
      </c>
      <c r="AD230" s="367">
        <f t="shared" si="62"/>
        <v>0</v>
      </c>
      <c r="AE230" s="368">
        <f t="shared" si="65"/>
        <v>0</v>
      </c>
      <c r="AF230" s="385"/>
    </row>
    <row r="231" spans="2:32" s="1" customFormat="1" ht="13" hidden="1" x14ac:dyDescent="0.3">
      <c r="B231" s="383">
        <v>2026</v>
      </c>
      <c r="C231" s="361" t="s">
        <v>458</v>
      </c>
      <c r="D231" s="361" t="s">
        <v>80</v>
      </c>
      <c r="E231" s="360" t="s">
        <v>88</v>
      </c>
      <c r="F231" s="360" t="s">
        <v>172</v>
      </c>
      <c r="G231" s="362"/>
      <c r="H231" s="363"/>
      <c r="I231" s="360" t="s">
        <v>147</v>
      </c>
      <c r="J231" s="364" t="str">
        <f>IFERROR(VLOOKUP(I231,Map!$F$18:$G$56,2,0),"Add in Map")</f>
        <v>3P</v>
      </c>
      <c r="K231" s="364" t="str">
        <f>VLOOKUP(L231,Map!$C$18:$D$29,2,0)</f>
        <v>DMT</v>
      </c>
      <c r="L231" s="360" t="s">
        <v>54</v>
      </c>
      <c r="M231" s="365">
        <v>0</v>
      </c>
      <c r="N231" s="366">
        <f t="shared" si="66"/>
        <v>0</v>
      </c>
      <c r="O231" s="366">
        <f t="shared" si="67"/>
        <v>0</v>
      </c>
      <c r="P231" s="386">
        <f t="shared" si="68"/>
        <v>0</v>
      </c>
      <c r="Q231" s="367">
        <f t="shared" si="69"/>
        <v>0</v>
      </c>
      <c r="R231" s="368">
        <f t="shared" si="63"/>
        <v>0</v>
      </c>
      <c r="S231" s="384">
        <f>INDEX(FX!$D$3:$O$19,MATCH(B231,FX!$B$3:$B$32,0),MATCH(D231,FX!$D$2:$O$2,0))</f>
        <v>924</v>
      </c>
      <c r="T231" s="360" t="s">
        <v>144</v>
      </c>
      <c r="U231" s="360" t="s">
        <v>155</v>
      </c>
      <c r="V231" s="360" t="s">
        <v>83</v>
      </c>
      <c r="W231" s="364" t="str">
        <f>VLOOKUP(I231,Map!$F$18:$H$51,3,0)</f>
        <v>Variable</v>
      </c>
      <c r="X231" s="370" t="s">
        <v>172</v>
      </c>
      <c r="Y231" s="364" t="str">
        <f>VLOOKUP(L231,Map!$C$18:$D$29,2,0)</f>
        <v>DMT</v>
      </c>
      <c r="Z231" s="365"/>
      <c r="AA231" s="366">
        <f t="shared" si="60"/>
        <v>0</v>
      </c>
      <c r="AB231" s="366">
        <f t="shared" si="64"/>
        <v>0</v>
      </c>
      <c r="AC231" s="386">
        <f t="shared" si="61"/>
        <v>0</v>
      </c>
      <c r="AD231" s="367">
        <f t="shared" si="62"/>
        <v>0</v>
      </c>
      <c r="AE231" s="368">
        <f t="shared" si="65"/>
        <v>0</v>
      </c>
      <c r="AF231" s="385"/>
    </row>
    <row r="232" spans="2:32" s="37" customFormat="1" hidden="1" x14ac:dyDescent="0.35">
      <c r="B232" s="387">
        <v>2026</v>
      </c>
      <c r="C232" s="389" t="s">
        <v>458</v>
      </c>
      <c r="D232" s="389" t="s">
        <v>80</v>
      </c>
      <c r="E232" s="388" t="s">
        <v>88</v>
      </c>
      <c r="F232" s="388" t="s">
        <v>172</v>
      </c>
      <c r="G232" s="390"/>
      <c r="H232" s="391"/>
      <c r="I232" s="388" t="s">
        <v>147</v>
      </c>
      <c r="J232" s="392" t="str">
        <f>IFERROR(VLOOKUP(I232,Map!$F$18:$G$56,2,0),"Add in Map")</f>
        <v>3P</v>
      </c>
      <c r="K232" s="392" t="str">
        <f>VLOOKUP(L232,Map!$C$18:$D$29,2,0)</f>
        <v>TOTAL</v>
      </c>
      <c r="L232" s="388" t="s">
        <v>56</v>
      </c>
      <c r="M232" s="393">
        <f>SUM(M221:M231)</f>
        <v>9202504.1204424165</v>
      </c>
      <c r="N232" s="393">
        <f t="shared" si="66"/>
        <v>1748475.7828840592</v>
      </c>
      <c r="O232" s="393">
        <f t="shared" si="67"/>
        <v>10950979.903326476</v>
      </c>
      <c r="P232" s="394">
        <f t="shared" si="68"/>
        <v>9959.4200437688487</v>
      </c>
      <c r="Q232" s="394">
        <f t="shared" si="69"/>
        <v>1892.2898083160812</v>
      </c>
      <c r="R232" s="395">
        <f t="shared" si="63"/>
        <v>11851.709852084929</v>
      </c>
      <c r="S232" s="396">
        <f>INDEX(FX!$D$3:$O$19,MATCH(B232,FX!$B$3:$B$32,0),MATCH(D232,FX!$D$2:$O$2,0))</f>
        <v>924</v>
      </c>
      <c r="T232" s="388" t="s">
        <v>144</v>
      </c>
      <c r="U232" s="388" t="s">
        <v>155</v>
      </c>
      <c r="V232" s="388" t="s">
        <v>83</v>
      </c>
      <c r="W232" s="392" t="str">
        <f>VLOOKUP(I232,Map!$F$18:$H$51,3,0)</f>
        <v>Variable</v>
      </c>
      <c r="X232" s="397" t="s">
        <v>172</v>
      </c>
      <c r="Y232" s="392" t="str">
        <f>VLOOKUP(L232,Map!$C$18:$D$29,2,0)</f>
        <v>TOTAL</v>
      </c>
      <c r="Z232" s="413"/>
      <c r="AA232" s="393">
        <f t="shared" si="60"/>
        <v>0</v>
      </c>
      <c r="AB232" s="393">
        <f t="shared" si="64"/>
        <v>0</v>
      </c>
      <c r="AC232" s="394">
        <f t="shared" si="61"/>
        <v>0</v>
      </c>
      <c r="AD232" s="394">
        <f t="shared" si="62"/>
        <v>0</v>
      </c>
      <c r="AE232" s="395">
        <f t="shared" si="65"/>
        <v>0</v>
      </c>
      <c r="AF232" s="398"/>
    </row>
    <row r="233" spans="2:32" s="5" customFormat="1" ht="13" hidden="1" x14ac:dyDescent="0.3">
      <c r="B233" s="400">
        <v>2026</v>
      </c>
      <c r="C233" s="402" t="s">
        <v>404</v>
      </c>
      <c r="D233" s="402" t="s">
        <v>80</v>
      </c>
      <c r="E233" s="401" t="s">
        <v>88</v>
      </c>
      <c r="F233" s="401" t="s">
        <v>172</v>
      </c>
      <c r="G233" s="403"/>
      <c r="H233" s="404"/>
      <c r="I233" s="401" t="s">
        <v>147</v>
      </c>
      <c r="J233" s="405" t="str">
        <f>IFERROR(VLOOKUP(I233,Map!$F$18:$G$56,2,0),"Add in Map")</f>
        <v>3P</v>
      </c>
      <c r="K233" s="405" t="str">
        <f>VLOOKUP(L233,Map!$C$18:$D$29,2,0)</f>
        <v>CNT</v>
      </c>
      <c r="L233" s="401" t="s">
        <v>31</v>
      </c>
      <c r="M233" s="406">
        <v>1472757.2515830637</v>
      </c>
      <c r="N233" s="407">
        <f t="shared" si="66"/>
        <v>0</v>
      </c>
      <c r="O233" s="407">
        <f t="shared" si="67"/>
        <v>1752581.1293838457</v>
      </c>
      <c r="P233" s="408">
        <f t="shared" si="68"/>
        <v>1593.8931294189001</v>
      </c>
      <c r="Q233" s="408">
        <f t="shared" si="69"/>
        <v>0</v>
      </c>
      <c r="R233" s="409">
        <f t="shared" si="63"/>
        <v>1896.732824008491</v>
      </c>
      <c r="S233" s="410">
        <f>INDEX(FX!$D$3:$O$19,MATCH(B233,FX!$B$3:$B$32,0),MATCH(D233,FX!$D$2:$O$2,0))</f>
        <v>924</v>
      </c>
      <c r="T233" s="401" t="s">
        <v>143</v>
      </c>
      <c r="U233" s="401" t="s">
        <v>155</v>
      </c>
      <c r="V233" s="401" t="s">
        <v>83</v>
      </c>
      <c r="W233" s="405" t="str">
        <f>VLOOKUP(I233,Map!$F$18:$H$51,3,0)</f>
        <v>Variable</v>
      </c>
      <c r="X233" s="411" t="s">
        <v>172</v>
      </c>
      <c r="Y233" s="405" t="str">
        <f>VLOOKUP(L233,Map!$C$18:$D$29,2,0)</f>
        <v>CNT</v>
      </c>
      <c r="Z233" s="406"/>
      <c r="AA233" s="407">
        <f t="shared" si="60"/>
        <v>0</v>
      </c>
      <c r="AB233" s="407">
        <f t="shared" si="64"/>
        <v>0</v>
      </c>
      <c r="AC233" s="408">
        <f t="shared" si="61"/>
        <v>0</v>
      </c>
      <c r="AD233" s="408">
        <f t="shared" si="62"/>
        <v>0</v>
      </c>
      <c r="AE233" s="409">
        <f t="shared" si="65"/>
        <v>0</v>
      </c>
      <c r="AF233" s="412"/>
    </row>
    <row r="234" spans="2:32" s="1" customFormat="1" ht="13" hidden="1" x14ac:dyDescent="0.3">
      <c r="B234" s="383">
        <v>2026</v>
      </c>
      <c r="C234" s="361" t="s">
        <v>404</v>
      </c>
      <c r="D234" s="361" t="s">
        <v>80</v>
      </c>
      <c r="E234" s="360" t="s">
        <v>88</v>
      </c>
      <c r="F234" s="360" t="s">
        <v>172</v>
      </c>
      <c r="G234" s="362"/>
      <c r="H234" s="363"/>
      <c r="I234" s="360" t="s">
        <v>147</v>
      </c>
      <c r="J234" s="364" t="str">
        <f>IFERROR(VLOOKUP(I234,Map!$F$18:$G$56,2,0),"Add in Map")</f>
        <v>3P</v>
      </c>
      <c r="K234" s="364" t="str">
        <f>VLOOKUP(L234,Map!$C$18:$D$29,2,0)</f>
        <v>CVT</v>
      </c>
      <c r="L234" s="360" t="s">
        <v>36</v>
      </c>
      <c r="M234" s="365">
        <v>0</v>
      </c>
      <c r="N234" s="366">
        <f t="shared" si="66"/>
        <v>0</v>
      </c>
      <c r="O234" s="366">
        <f t="shared" si="67"/>
        <v>0</v>
      </c>
      <c r="P234" s="367">
        <f t="shared" si="68"/>
        <v>0</v>
      </c>
      <c r="Q234" s="367">
        <f t="shared" si="69"/>
        <v>0</v>
      </c>
      <c r="R234" s="368">
        <f t="shared" si="63"/>
        <v>0</v>
      </c>
      <c r="S234" s="384">
        <f>INDEX(FX!$D$3:$O$19,MATCH(B234,FX!$B$3:$B$32,0),MATCH(D234,FX!$D$2:$O$2,0))</f>
        <v>924</v>
      </c>
      <c r="T234" s="360" t="s">
        <v>143</v>
      </c>
      <c r="U234" s="360" t="s">
        <v>155</v>
      </c>
      <c r="V234" s="360" t="s">
        <v>83</v>
      </c>
      <c r="W234" s="364" t="str">
        <f>VLOOKUP(I234,Map!$F$18:$H$51,3,0)</f>
        <v>Variable</v>
      </c>
      <c r="X234" s="370" t="s">
        <v>172</v>
      </c>
      <c r="Y234" s="364" t="str">
        <f>VLOOKUP(L234,Map!$C$18:$D$29,2,0)</f>
        <v>CVT</v>
      </c>
      <c r="Z234" s="365"/>
      <c r="AA234" s="366">
        <f t="shared" si="60"/>
        <v>0</v>
      </c>
      <c r="AB234" s="366">
        <f t="shared" si="64"/>
        <v>0</v>
      </c>
      <c r="AC234" s="367">
        <f t="shared" si="61"/>
        <v>0</v>
      </c>
      <c r="AD234" s="367">
        <f t="shared" si="62"/>
        <v>0</v>
      </c>
      <c r="AE234" s="368">
        <f t="shared" si="65"/>
        <v>0</v>
      </c>
      <c r="AF234" s="385"/>
    </row>
    <row r="235" spans="2:32" s="1" customFormat="1" ht="13" hidden="1" x14ac:dyDescent="0.3">
      <c r="B235" s="383">
        <v>2026</v>
      </c>
      <c r="C235" s="361" t="s">
        <v>404</v>
      </c>
      <c r="D235" s="361" t="s">
        <v>80</v>
      </c>
      <c r="E235" s="360" t="s">
        <v>88</v>
      </c>
      <c r="F235" s="360" t="s">
        <v>172</v>
      </c>
      <c r="G235" s="362"/>
      <c r="H235" s="363"/>
      <c r="I235" s="360" t="s">
        <v>147</v>
      </c>
      <c r="J235" s="364" t="str">
        <f>IFERROR(VLOOKUP(I235,Map!$F$18:$G$56,2,0),"Add in Map")</f>
        <v>3P</v>
      </c>
      <c r="K235" s="364" t="str">
        <f>VLOOKUP(L235,Map!$C$18:$D$29,2,0)</f>
        <v>CDT</v>
      </c>
      <c r="L235" s="360" t="s">
        <v>38</v>
      </c>
      <c r="M235" s="365">
        <v>0</v>
      </c>
      <c r="N235" s="366">
        <f t="shared" si="66"/>
        <v>0</v>
      </c>
      <c r="O235" s="366">
        <f t="shared" si="67"/>
        <v>0</v>
      </c>
      <c r="P235" s="367">
        <f t="shared" si="68"/>
        <v>0</v>
      </c>
      <c r="Q235" s="367">
        <f t="shared" si="69"/>
        <v>0</v>
      </c>
      <c r="R235" s="368">
        <f t="shared" si="63"/>
        <v>0</v>
      </c>
      <c r="S235" s="384">
        <f>INDEX(FX!$D$3:$O$19,MATCH(B235,FX!$B$3:$B$32,0),MATCH(D235,FX!$D$2:$O$2,0))</f>
        <v>924</v>
      </c>
      <c r="T235" s="360" t="s">
        <v>143</v>
      </c>
      <c r="U235" s="360" t="s">
        <v>155</v>
      </c>
      <c r="V235" s="360" t="s">
        <v>83</v>
      </c>
      <c r="W235" s="364" t="str">
        <f>VLOOKUP(I235,Map!$F$18:$H$51,3,0)</f>
        <v>Variable</v>
      </c>
      <c r="X235" s="370" t="s">
        <v>172</v>
      </c>
      <c r="Y235" s="364" t="str">
        <f>VLOOKUP(L235,Map!$C$18:$D$29,2,0)</f>
        <v>CDT</v>
      </c>
      <c r="Z235" s="365"/>
      <c r="AA235" s="366">
        <f t="shared" si="60"/>
        <v>0</v>
      </c>
      <c r="AB235" s="366">
        <f t="shared" si="64"/>
        <v>0</v>
      </c>
      <c r="AC235" s="367">
        <f t="shared" si="61"/>
        <v>0</v>
      </c>
      <c r="AD235" s="367">
        <f t="shared" si="62"/>
        <v>0</v>
      </c>
      <c r="AE235" s="368">
        <f t="shared" si="65"/>
        <v>0</v>
      </c>
      <c r="AF235" s="385"/>
    </row>
    <row r="236" spans="2:32" s="1" customFormat="1" ht="13" hidden="1" x14ac:dyDescent="0.3">
      <c r="B236" s="383">
        <v>2026</v>
      </c>
      <c r="C236" s="361" t="s">
        <v>404</v>
      </c>
      <c r="D236" s="361" t="s">
        <v>80</v>
      </c>
      <c r="E236" s="360" t="s">
        <v>88</v>
      </c>
      <c r="F236" s="360" t="s">
        <v>172</v>
      </c>
      <c r="G236" s="362"/>
      <c r="H236" s="363"/>
      <c r="I236" s="360" t="s">
        <v>147</v>
      </c>
      <c r="J236" s="364" t="str">
        <f>IFERROR(VLOOKUP(I236,Map!$F$18:$G$56,2,0),"Add in Map")</f>
        <v>3P</v>
      </c>
      <c r="K236" s="364" t="str">
        <f>VLOOKUP(L236,Map!$C$18:$D$29,2,0)</f>
        <v>DFT</v>
      </c>
      <c r="L236" s="360" t="s">
        <v>40</v>
      </c>
      <c r="M236" s="365">
        <v>4602366.4111970747</v>
      </c>
      <c r="N236" s="366">
        <f t="shared" si="66"/>
        <v>0</v>
      </c>
      <c r="O236" s="366">
        <f t="shared" si="67"/>
        <v>5476816.0293245185</v>
      </c>
      <c r="P236" s="367">
        <f t="shared" si="68"/>
        <v>4980.9160294340636</v>
      </c>
      <c r="Q236" s="367">
        <f t="shared" si="69"/>
        <v>0</v>
      </c>
      <c r="R236" s="368">
        <f t="shared" si="63"/>
        <v>5927.2900750265353</v>
      </c>
      <c r="S236" s="384">
        <f>INDEX(FX!$D$3:$O$19,MATCH(B236,FX!$B$3:$B$32,0),MATCH(D236,FX!$D$2:$O$2,0))</f>
        <v>924</v>
      </c>
      <c r="T236" s="360" t="s">
        <v>143</v>
      </c>
      <c r="U236" s="360" t="s">
        <v>155</v>
      </c>
      <c r="V236" s="360" t="s">
        <v>83</v>
      </c>
      <c r="W236" s="364" t="str">
        <f>VLOOKUP(I236,Map!$F$18:$H$51,3,0)</f>
        <v>Variable</v>
      </c>
      <c r="X236" s="370" t="s">
        <v>172</v>
      </c>
      <c r="Y236" s="364" t="str">
        <f>VLOOKUP(L236,Map!$C$18:$D$29,2,0)</f>
        <v>DFT</v>
      </c>
      <c r="Z236" s="365"/>
      <c r="AA236" s="366">
        <f t="shared" si="60"/>
        <v>0</v>
      </c>
      <c r="AB236" s="366">
        <f t="shared" si="64"/>
        <v>0</v>
      </c>
      <c r="AC236" s="367">
        <f t="shared" si="61"/>
        <v>0</v>
      </c>
      <c r="AD236" s="367">
        <f t="shared" si="62"/>
        <v>0</v>
      </c>
      <c r="AE236" s="368">
        <f t="shared" si="65"/>
        <v>0</v>
      </c>
      <c r="AF236" s="385"/>
    </row>
    <row r="237" spans="2:32" s="1" customFormat="1" ht="13" hidden="1" x14ac:dyDescent="0.3">
      <c r="B237" s="383">
        <v>2026</v>
      </c>
      <c r="C237" s="361" t="s">
        <v>404</v>
      </c>
      <c r="D237" s="361" t="s">
        <v>80</v>
      </c>
      <c r="E237" s="360" t="s">
        <v>88</v>
      </c>
      <c r="F237" s="360" t="s">
        <v>172</v>
      </c>
      <c r="G237" s="362"/>
      <c r="H237" s="363"/>
      <c r="I237" s="360" t="s">
        <v>147</v>
      </c>
      <c r="J237" s="364" t="str">
        <f>IFERROR(VLOOKUP(I237,Map!$F$18:$G$56,2,0),"Add in Map")</f>
        <v>3P</v>
      </c>
      <c r="K237" s="364" t="str">
        <f>VLOOKUP(L237,Map!$C$18:$D$29,2,0)</f>
        <v>DVT</v>
      </c>
      <c r="L237" s="360" t="s">
        <v>42</v>
      </c>
      <c r="M237" s="365">
        <v>0</v>
      </c>
      <c r="N237" s="366">
        <f t="shared" si="66"/>
        <v>0</v>
      </c>
      <c r="O237" s="366">
        <f t="shared" si="67"/>
        <v>0</v>
      </c>
      <c r="P237" s="367">
        <f t="shared" si="68"/>
        <v>0</v>
      </c>
      <c r="Q237" s="367">
        <f t="shared" si="69"/>
        <v>0</v>
      </c>
      <c r="R237" s="368">
        <f t="shared" si="63"/>
        <v>0</v>
      </c>
      <c r="S237" s="384">
        <f>INDEX(FX!$D$3:$O$19,MATCH(B237,FX!$B$3:$B$32,0),MATCH(D237,FX!$D$2:$O$2,0))</f>
        <v>924</v>
      </c>
      <c r="T237" s="360" t="s">
        <v>143</v>
      </c>
      <c r="U237" s="360" t="s">
        <v>155</v>
      </c>
      <c r="V237" s="360" t="s">
        <v>83</v>
      </c>
      <c r="W237" s="364" t="str">
        <f>VLOOKUP(I237,Map!$F$18:$H$51,3,0)</f>
        <v>Variable</v>
      </c>
      <c r="X237" s="370" t="s">
        <v>172</v>
      </c>
      <c r="Y237" s="364" t="str">
        <f>VLOOKUP(L237,Map!$C$18:$D$29,2,0)</f>
        <v>DVT</v>
      </c>
      <c r="Z237" s="365"/>
      <c r="AA237" s="366">
        <f t="shared" si="60"/>
        <v>0</v>
      </c>
      <c r="AB237" s="366">
        <f t="shared" si="64"/>
        <v>0</v>
      </c>
      <c r="AC237" s="367">
        <f t="shared" si="61"/>
        <v>0</v>
      </c>
      <c r="AD237" s="367">
        <f t="shared" si="62"/>
        <v>0</v>
      </c>
      <c r="AE237" s="368">
        <f t="shared" si="65"/>
        <v>0</v>
      </c>
      <c r="AF237" s="385"/>
    </row>
    <row r="238" spans="2:32" s="1" customFormat="1" ht="13" hidden="1" x14ac:dyDescent="0.3">
      <c r="B238" s="383">
        <v>2026</v>
      </c>
      <c r="C238" s="361" t="s">
        <v>404</v>
      </c>
      <c r="D238" s="361" t="s">
        <v>80</v>
      </c>
      <c r="E238" s="360" t="s">
        <v>88</v>
      </c>
      <c r="F238" s="360" t="s">
        <v>172</v>
      </c>
      <c r="G238" s="362"/>
      <c r="H238" s="363"/>
      <c r="I238" s="360" t="s">
        <v>147</v>
      </c>
      <c r="J238" s="364" t="str">
        <f>IFERROR(VLOOKUP(I238,Map!$F$18:$G$56,2,0),"Add in Map")</f>
        <v>3P</v>
      </c>
      <c r="K238" s="364" t="str">
        <f>VLOOKUP(L238,Map!$C$18:$D$29,2,0)</f>
        <v>GLT</v>
      </c>
      <c r="L238" s="360" t="s">
        <v>44</v>
      </c>
      <c r="M238" s="365">
        <v>2798238.7780078212</v>
      </c>
      <c r="N238" s="366">
        <f t="shared" si="66"/>
        <v>0</v>
      </c>
      <c r="O238" s="366">
        <f t="shared" si="67"/>
        <v>3329904.1458293069</v>
      </c>
      <c r="P238" s="367">
        <f t="shared" si="68"/>
        <v>3028.3969458959104</v>
      </c>
      <c r="Q238" s="367">
        <f t="shared" si="69"/>
        <v>0</v>
      </c>
      <c r="R238" s="368">
        <f t="shared" si="63"/>
        <v>3603.7923656161333</v>
      </c>
      <c r="S238" s="384">
        <f>INDEX(FX!$D$3:$O$19,MATCH(B238,FX!$B$3:$B$32,0),MATCH(D238,FX!$D$2:$O$2,0))</f>
        <v>924</v>
      </c>
      <c r="T238" s="360" t="s">
        <v>143</v>
      </c>
      <c r="U238" s="360" t="s">
        <v>155</v>
      </c>
      <c r="V238" s="360" t="s">
        <v>83</v>
      </c>
      <c r="W238" s="364" t="str">
        <f>VLOOKUP(I238,Map!$F$18:$H$51,3,0)</f>
        <v>Variable</v>
      </c>
      <c r="X238" s="370" t="s">
        <v>172</v>
      </c>
      <c r="Y238" s="364" t="str">
        <f>VLOOKUP(L238,Map!$C$18:$D$29,2,0)</f>
        <v>GLT</v>
      </c>
      <c r="Z238" s="365"/>
      <c r="AA238" s="366">
        <f t="shared" si="60"/>
        <v>0</v>
      </c>
      <c r="AB238" s="366">
        <f t="shared" si="64"/>
        <v>0</v>
      </c>
      <c r="AC238" s="367">
        <f t="shared" si="61"/>
        <v>0</v>
      </c>
      <c r="AD238" s="367">
        <f t="shared" si="62"/>
        <v>0</v>
      </c>
      <c r="AE238" s="368">
        <f t="shared" si="65"/>
        <v>0</v>
      </c>
      <c r="AF238" s="385"/>
    </row>
    <row r="239" spans="2:32" s="1" customFormat="1" ht="13" hidden="1" x14ac:dyDescent="0.3">
      <c r="B239" s="383">
        <v>2026</v>
      </c>
      <c r="C239" s="361" t="s">
        <v>404</v>
      </c>
      <c r="D239" s="361" t="s">
        <v>80</v>
      </c>
      <c r="E239" s="360" t="s">
        <v>88</v>
      </c>
      <c r="F239" s="360" t="s">
        <v>172</v>
      </c>
      <c r="G239" s="362"/>
      <c r="H239" s="363"/>
      <c r="I239" s="360" t="s">
        <v>147</v>
      </c>
      <c r="J239" s="364" t="str">
        <f>IFERROR(VLOOKUP(I239,Map!$F$18:$G$56,2,0),"Add in Map")</f>
        <v>3P</v>
      </c>
      <c r="K239" s="364" t="str">
        <f>VLOOKUP(L239,Map!$C$18:$D$29,2,0)</f>
        <v>PNT</v>
      </c>
      <c r="L239" s="360" t="s">
        <v>46</v>
      </c>
      <c r="M239" s="365">
        <v>147275.72515830636</v>
      </c>
      <c r="N239" s="366">
        <f t="shared" si="66"/>
        <v>0</v>
      </c>
      <c r="O239" s="366">
        <f t="shared" si="67"/>
        <v>175258.11293838455</v>
      </c>
      <c r="P239" s="367">
        <f t="shared" si="68"/>
        <v>159.38931294189001</v>
      </c>
      <c r="Q239" s="367">
        <f t="shared" si="69"/>
        <v>0</v>
      </c>
      <c r="R239" s="368">
        <f t="shared" si="63"/>
        <v>189.6732824008491</v>
      </c>
      <c r="S239" s="384">
        <f>INDEX(FX!$D$3:$O$19,MATCH(B239,FX!$B$3:$B$32,0),MATCH(D239,FX!$D$2:$O$2,0))</f>
        <v>924</v>
      </c>
      <c r="T239" s="360" t="s">
        <v>143</v>
      </c>
      <c r="U239" s="360" t="s">
        <v>155</v>
      </c>
      <c r="V239" s="360" t="s">
        <v>83</v>
      </c>
      <c r="W239" s="364" t="str">
        <f>VLOOKUP(I239,Map!$F$18:$H$51,3,0)</f>
        <v>Variable</v>
      </c>
      <c r="X239" s="370" t="s">
        <v>172</v>
      </c>
      <c r="Y239" s="364" t="str">
        <f>VLOOKUP(L239,Map!$C$18:$D$29,2,0)</f>
        <v>PNT</v>
      </c>
      <c r="Z239" s="365"/>
      <c r="AA239" s="366">
        <f t="shared" si="60"/>
        <v>0</v>
      </c>
      <c r="AB239" s="366">
        <f t="shared" si="64"/>
        <v>0</v>
      </c>
      <c r="AC239" s="367">
        <f t="shared" si="61"/>
        <v>0</v>
      </c>
      <c r="AD239" s="367">
        <f t="shared" si="62"/>
        <v>0</v>
      </c>
      <c r="AE239" s="368">
        <f t="shared" si="65"/>
        <v>0</v>
      </c>
      <c r="AF239" s="385"/>
    </row>
    <row r="240" spans="2:32" s="1" customFormat="1" ht="13" hidden="1" x14ac:dyDescent="0.3">
      <c r="B240" s="383">
        <v>2026</v>
      </c>
      <c r="C240" s="361" t="s">
        <v>404</v>
      </c>
      <c r="D240" s="361" t="s">
        <v>80</v>
      </c>
      <c r="E240" s="360" t="s">
        <v>88</v>
      </c>
      <c r="F240" s="360" t="s">
        <v>172</v>
      </c>
      <c r="G240" s="362"/>
      <c r="H240" s="363"/>
      <c r="I240" s="360" t="s">
        <v>147</v>
      </c>
      <c r="J240" s="364" t="str">
        <f>IFERROR(VLOOKUP(I240,Map!$F$18:$G$56,2,0),"Add in Map")</f>
        <v>3P</v>
      </c>
      <c r="K240" s="364" t="str">
        <f>VLOOKUP(L240,Map!$C$18:$D$29,2,0)</f>
        <v>GTT</v>
      </c>
      <c r="L240" s="360" t="s">
        <v>48</v>
      </c>
      <c r="M240" s="365">
        <v>147275.72515830636</v>
      </c>
      <c r="N240" s="366">
        <f t="shared" si="66"/>
        <v>0</v>
      </c>
      <c r="O240" s="366">
        <f t="shared" si="67"/>
        <v>175258.11293838455</v>
      </c>
      <c r="P240" s="367">
        <f t="shared" si="68"/>
        <v>159.38931294189001</v>
      </c>
      <c r="Q240" s="367">
        <f t="shared" si="69"/>
        <v>0</v>
      </c>
      <c r="R240" s="368">
        <f t="shared" si="63"/>
        <v>189.6732824008491</v>
      </c>
      <c r="S240" s="384">
        <f>INDEX(FX!$D$3:$O$19,MATCH(B240,FX!$B$3:$B$32,0),MATCH(D240,FX!$D$2:$O$2,0))</f>
        <v>924</v>
      </c>
      <c r="T240" s="360" t="s">
        <v>143</v>
      </c>
      <c r="U240" s="360" t="s">
        <v>155</v>
      </c>
      <c r="V240" s="360" t="s">
        <v>83</v>
      </c>
      <c r="W240" s="364" t="str">
        <f>VLOOKUP(I240,Map!$F$18:$H$51,3,0)</f>
        <v>Variable</v>
      </c>
      <c r="X240" s="370" t="s">
        <v>172</v>
      </c>
      <c r="Y240" s="364" t="str">
        <f>VLOOKUP(L240,Map!$C$18:$D$29,2,0)</f>
        <v>GTT</v>
      </c>
      <c r="Z240" s="365"/>
      <c r="AA240" s="366">
        <f t="shared" si="60"/>
        <v>0</v>
      </c>
      <c r="AB240" s="366">
        <f t="shared" si="64"/>
        <v>0</v>
      </c>
      <c r="AC240" s="367">
        <f t="shared" si="61"/>
        <v>0</v>
      </c>
      <c r="AD240" s="367">
        <f t="shared" si="62"/>
        <v>0</v>
      </c>
      <c r="AE240" s="368">
        <f t="shared" si="65"/>
        <v>0</v>
      </c>
      <c r="AF240" s="385"/>
    </row>
    <row r="241" spans="2:32" s="1" customFormat="1" ht="13" hidden="1" x14ac:dyDescent="0.3">
      <c r="B241" s="383">
        <v>2026</v>
      </c>
      <c r="C241" s="361" t="s">
        <v>404</v>
      </c>
      <c r="D241" s="361" t="s">
        <v>80</v>
      </c>
      <c r="E241" s="360" t="s">
        <v>88</v>
      </c>
      <c r="F241" s="360" t="s">
        <v>172</v>
      </c>
      <c r="G241" s="362"/>
      <c r="H241" s="363"/>
      <c r="I241" s="360" t="s">
        <v>147</v>
      </c>
      <c r="J241" s="364" t="str">
        <f>IFERROR(VLOOKUP(I241,Map!$F$18:$G$56,2,0),"Add in Map")</f>
        <v>3P</v>
      </c>
      <c r="K241" s="364" t="str">
        <f>VLOOKUP(L241,Map!$C$18:$D$29,2,0)</f>
        <v>DGT</v>
      </c>
      <c r="L241" s="360" t="s">
        <v>50</v>
      </c>
      <c r="M241" s="365">
        <v>0</v>
      </c>
      <c r="N241" s="366">
        <f t="shared" si="66"/>
        <v>0</v>
      </c>
      <c r="O241" s="366">
        <f t="shared" si="67"/>
        <v>0</v>
      </c>
      <c r="P241" s="367">
        <f t="shared" si="68"/>
        <v>0</v>
      </c>
      <c r="Q241" s="367">
        <f t="shared" si="69"/>
        <v>0</v>
      </c>
      <c r="R241" s="368">
        <f t="shared" si="63"/>
        <v>0</v>
      </c>
      <c r="S241" s="384">
        <f>INDEX(FX!$D$3:$O$19,MATCH(B241,FX!$B$3:$B$32,0),MATCH(D241,FX!$D$2:$O$2,0))</f>
        <v>924</v>
      </c>
      <c r="T241" s="360" t="s">
        <v>143</v>
      </c>
      <c r="U241" s="360" t="s">
        <v>155</v>
      </c>
      <c r="V241" s="360" t="s">
        <v>83</v>
      </c>
      <c r="W241" s="364" t="str">
        <f>VLOOKUP(I241,Map!$F$18:$H$51,3,0)</f>
        <v>Variable</v>
      </c>
      <c r="X241" s="370" t="s">
        <v>172</v>
      </c>
      <c r="Y241" s="364" t="str">
        <f>VLOOKUP(L241,Map!$C$18:$D$29,2,0)</f>
        <v>DGT</v>
      </c>
      <c r="Z241" s="365"/>
      <c r="AA241" s="366">
        <f t="shared" si="60"/>
        <v>0</v>
      </c>
      <c r="AB241" s="366">
        <f t="shared" si="64"/>
        <v>0</v>
      </c>
      <c r="AC241" s="367">
        <f t="shared" si="61"/>
        <v>0</v>
      </c>
      <c r="AD241" s="367">
        <f t="shared" si="62"/>
        <v>0</v>
      </c>
      <c r="AE241" s="368">
        <f t="shared" si="65"/>
        <v>0</v>
      </c>
      <c r="AF241" s="385"/>
    </row>
    <row r="242" spans="2:32" s="1" customFormat="1" ht="13" hidden="1" x14ac:dyDescent="0.3">
      <c r="B242" s="383">
        <v>2026</v>
      </c>
      <c r="C242" s="361" t="s">
        <v>404</v>
      </c>
      <c r="D242" s="361" t="s">
        <v>80</v>
      </c>
      <c r="E242" s="360" t="s">
        <v>88</v>
      </c>
      <c r="F242" s="360" t="s">
        <v>172</v>
      </c>
      <c r="G242" s="362"/>
      <c r="H242" s="363"/>
      <c r="I242" s="360" t="s">
        <v>147</v>
      </c>
      <c r="J242" s="364" t="str">
        <f>IFERROR(VLOOKUP(I242,Map!$F$18:$G$56,2,0),"Add in Map")</f>
        <v>3P</v>
      </c>
      <c r="K242" s="364" t="str">
        <f>VLOOKUP(L242,Map!$C$18:$D$29,2,0)</f>
        <v>DLT</v>
      </c>
      <c r="L242" s="360" t="s">
        <v>52</v>
      </c>
      <c r="M242" s="365">
        <v>0</v>
      </c>
      <c r="N242" s="366">
        <f t="shared" si="66"/>
        <v>0</v>
      </c>
      <c r="O242" s="366">
        <f t="shared" si="67"/>
        <v>0</v>
      </c>
      <c r="P242" s="367">
        <f t="shared" si="68"/>
        <v>0</v>
      </c>
      <c r="Q242" s="367">
        <f t="shared" si="69"/>
        <v>0</v>
      </c>
      <c r="R242" s="368">
        <f t="shared" si="63"/>
        <v>0</v>
      </c>
      <c r="S242" s="384">
        <f>INDEX(FX!$D$3:$O$19,MATCH(B242,FX!$B$3:$B$32,0),MATCH(D242,FX!$D$2:$O$2,0))</f>
        <v>924</v>
      </c>
      <c r="T242" s="360" t="s">
        <v>143</v>
      </c>
      <c r="U242" s="360" t="s">
        <v>155</v>
      </c>
      <c r="V242" s="360" t="s">
        <v>83</v>
      </c>
      <c r="W242" s="364" t="str">
        <f>VLOOKUP(I242,Map!$F$18:$H$51,3,0)</f>
        <v>Variable</v>
      </c>
      <c r="X242" s="370" t="s">
        <v>172</v>
      </c>
      <c r="Y242" s="364" t="str">
        <f>VLOOKUP(L242,Map!$C$18:$D$29,2,0)</f>
        <v>DLT</v>
      </c>
      <c r="Z242" s="365"/>
      <c r="AA242" s="366">
        <f t="shared" si="60"/>
        <v>0</v>
      </c>
      <c r="AB242" s="366">
        <f t="shared" si="64"/>
        <v>0</v>
      </c>
      <c r="AC242" s="367">
        <f t="shared" si="61"/>
        <v>0</v>
      </c>
      <c r="AD242" s="367">
        <f t="shared" si="62"/>
        <v>0</v>
      </c>
      <c r="AE242" s="368">
        <f t="shared" si="65"/>
        <v>0</v>
      </c>
      <c r="AF242" s="385"/>
    </row>
    <row r="243" spans="2:32" s="1" customFormat="1" ht="13" hidden="1" x14ac:dyDescent="0.3">
      <c r="B243" s="383">
        <v>2026</v>
      </c>
      <c r="C243" s="361" t="s">
        <v>404</v>
      </c>
      <c r="D243" s="361" t="s">
        <v>80</v>
      </c>
      <c r="E243" s="360" t="s">
        <v>88</v>
      </c>
      <c r="F243" s="360" t="s">
        <v>172</v>
      </c>
      <c r="G243" s="362"/>
      <c r="H243" s="363"/>
      <c r="I243" s="360" t="s">
        <v>147</v>
      </c>
      <c r="J243" s="364" t="str">
        <f>IFERROR(VLOOKUP(I243,Map!$F$18:$G$56,2,0),"Add in Map")</f>
        <v>3P</v>
      </c>
      <c r="K243" s="364" t="str">
        <f>VLOOKUP(L243,Map!$C$18:$D$29,2,0)</f>
        <v>DMT</v>
      </c>
      <c r="L243" s="360" t="s">
        <v>54</v>
      </c>
      <c r="M243" s="365">
        <v>0</v>
      </c>
      <c r="N243" s="366">
        <f t="shared" si="66"/>
        <v>0</v>
      </c>
      <c r="O243" s="366">
        <f t="shared" si="67"/>
        <v>0</v>
      </c>
      <c r="P243" s="386">
        <f t="shared" si="68"/>
        <v>0</v>
      </c>
      <c r="Q243" s="367">
        <f t="shared" si="69"/>
        <v>0</v>
      </c>
      <c r="R243" s="368">
        <f t="shared" si="63"/>
        <v>0</v>
      </c>
      <c r="S243" s="384">
        <f>INDEX(FX!$D$3:$O$19,MATCH(B243,FX!$B$3:$B$32,0),MATCH(D243,FX!$D$2:$O$2,0))</f>
        <v>924</v>
      </c>
      <c r="T243" s="360" t="s">
        <v>143</v>
      </c>
      <c r="U243" s="360" t="s">
        <v>155</v>
      </c>
      <c r="V243" s="360" t="s">
        <v>83</v>
      </c>
      <c r="W243" s="364" t="str">
        <f>VLOOKUP(I243,Map!$F$18:$H$51,3,0)</f>
        <v>Variable</v>
      </c>
      <c r="X243" s="370" t="s">
        <v>172</v>
      </c>
      <c r="Y243" s="364" t="str">
        <f>VLOOKUP(L243,Map!$C$18:$D$29,2,0)</f>
        <v>DMT</v>
      </c>
      <c r="Z243" s="365"/>
      <c r="AA243" s="366">
        <f t="shared" si="60"/>
        <v>0</v>
      </c>
      <c r="AB243" s="366">
        <f t="shared" si="64"/>
        <v>0</v>
      </c>
      <c r="AC243" s="386">
        <f t="shared" si="61"/>
        <v>0</v>
      </c>
      <c r="AD243" s="367">
        <f t="shared" si="62"/>
        <v>0</v>
      </c>
      <c r="AE243" s="368">
        <f t="shared" si="65"/>
        <v>0</v>
      </c>
      <c r="AF243" s="385"/>
    </row>
    <row r="244" spans="2:32" s="37" customFormat="1" hidden="1" x14ac:dyDescent="0.35">
      <c r="B244" s="387">
        <v>2026</v>
      </c>
      <c r="C244" s="389" t="s">
        <v>404</v>
      </c>
      <c r="D244" s="389" t="s">
        <v>80</v>
      </c>
      <c r="E244" s="388" t="s">
        <v>88</v>
      </c>
      <c r="F244" s="388" t="s">
        <v>172</v>
      </c>
      <c r="G244" s="390"/>
      <c r="H244" s="391"/>
      <c r="I244" s="388" t="s">
        <v>147</v>
      </c>
      <c r="J244" s="392" t="str">
        <f>IFERROR(VLOOKUP(I244,Map!$F$18:$G$56,2,0),"Add in Map")</f>
        <v>3P</v>
      </c>
      <c r="K244" s="392" t="str">
        <f>VLOOKUP(L244,Map!$C$18:$D$29,2,0)</f>
        <v>TOTAL</v>
      </c>
      <c r="L244" s="388" t="s">
        <v>56</v>
      </c>
      <c r="M244" s="393">
        <f>SUM(M233:M243)</f>
        <v>9167913.8911045715</v>
      </c>
      <c r="N244" s="393">
        <f t="shared" si="66"/>
        <v>1741903.6393098687</v>
      </c>
      <c r="O244" s="393">
        <f t="shared" si="67"/>
        <v>10909817.53041444</v>
      </c>
      <c r="P244" s="394">
        <f t="shared" si="68"/>
        <v>9921.9847306326537</v>
      </c>
      <c r="Q244" s="394">
        <f t="shared" si="69"/>
        <v>1885.1770988202043</v>
      </c>
      <c r="R244" s="395">
        <f t="shared" si="63"/>
        <v>11807.161829452858</v>
      </c>
      <c r="S244" s="396">
        <f>INDEX(FX!$D$3:$O$19,MATCH(B244,FX!$B$3:$B$32,0),MATCH(D244,FX!$D$2:$O$2,0))</f>
        <v>924</v>
      </c>
      <c r="T244" s="388" t="s">
        <v>143</v>
      </c>
      <c r="U244" s="388" t="s">
        <v>155</v>
      </c>
      <c r="V244" s="388" t="s">
        <v>83</v>
      </c>
      <c r="W244" s="392" t="str">
        <f>VLOOKUP(I244,Map!$F$18:$H$51,3,0)</f>
        <v>Variable</v>
      </c>
      <c r="X244" s="397" t="s">
        <v>172</v>
      </c>
      <c r="Y244" s="392" t="str">
        <f>VLOOKUP(L244,Map!$C$18:$D$29,2,0)</f>
        <v>TOTAL</v>
      </c>
      <c r="Z244" s="413"/>
      <c r="AA244" s="393">
        <f t="shared" si="60"/>
        <v>0</v>
      </c>
      <c r="AB244" s="393">
        <f t="shared" si="64"/>
        <v>0</v>
      </c>
      <c r="AC244" s="394">
        <f t="shared" si="61"/>
        <v>0</v>
      </c>
      <c r="AD244" s="394">
        <f t="shared" si="62"/>
        <v>0</v>
      </c>
      <c r="AE244" s="395">
        <f t="shared" si="65"/>
        <v>0</v>
      </c>
      <c r="AF244" s="398"/>
    </row>
    <row r="245" spans="2:32" s="5" customFormat="1" ht="13" hidden="1" x14ac:dyDescent="0.3">
      <c r="B245" s="400">
        <v>2026</v>
      </c>
      <c r="C245" s="402" t="s">
        <v>415</v>
      </c>
      <c r="D245" s="402" t="s">
        <v>159</v>
      </c>
      <c r="E245" s="401" t="s">
        <v>88</v>
      </c>
      <c r="F245" s="401" t="s">
        <v>80</v>
      </c>
      <c r="G245" s="403">
        <v>46177</v>
      </c>
      <c r="H245" s="404">
        <v>3721</v>
      </c>
      <c r="I245" s="401" t="s">
        <v>175</v>
      </c>
      <c r="J245" s="405" t="str">
        <f>IFERROR(VLOOKUP(I245,Map!$F$18:$G$56,2,0),"Add in Map")</f>
        <v>3P</v>
      </c>
      <c r="K245" s="405" t="str">
        <f>VLOOKUP(L245,Map!$C$18:$D$29,2,0)</f>
        <v>CNT</v>
      </c>
      <c r="L245" s="401" t="s">
        <v>31</v>
      </c>
      <c r="M245" s="406">
        <v>414117.40075180947</v>
      </c>
      <c r="N245" s="407">
        <f t="shared" si="66"/>
        <v>0</v>
      </c>
      <c r="O245" s="407">
        <f t="shared" si="67"/>
        <v>492799.70689465327</v>
      </c>
      <c r="P245" s="408">
        <f t="shared" si="68"/>
        <v>464.77822755534174</v>
      </c>
      <c r="Q245" s="408">
        <f t="shared" si="69"/>
        <v>0</v>
      </c>
      <c r="R245" s="409">
        <f t="shared" si="63"/>
        <v>553.0860907908567</v>
      </c>
      <c r="S245" s="410">
        <f>INDEX(FX!$D$3:$O$19,MATCH(B245,FX!$B$3:$B$32,0),MATCH(D245,FX!$D$2:$O$2,0))</f>
        <v>891</v>
      </c>
      <c r="T245" s="401" t="s">
        <v>143</v>
      </c>
      <c r="U245" s="401" t="s">
        <v>155</v>
      </c>
      <c r="V245" s="401" t="s">
        <v>83</v>
      </c>
      <c r="W245" s="405" t="str">
        <f>VLOOKUP(I245,Map!$F$18:$H$51,3,0)</f>
        <v>Variable</v>
      </c>
      <c r="X245" s="411" t="s">
        <v>149</v>
      </c>
      <c r="Y245" s="405" t="str">
        <f>VLOOKUP(L245,Map!$C$18:$D$29,2,0)</f>
        <v>CNT</v>
      </c>
      <c r="Z245" s="406"/>
      <c r="AA245" s="407">
        <f t="shared" si="60"/>
        <v>0</v>
      </c>
      <c r="AB245" s="407">
        <f t="shared" si="64"/>
        <v>0</v>
      </c>
      <c r="AC245" s="408">
        <f t="shared" si="61"/>
        <v>0</v>
      </c>
      <c r="AD245" s="408">
        <f t="shared" si="62"/>
        <v>0</v>
      </c>
      <c r="AE245" s="409">
        <f t="shared" si="65"/>
        <v>0</v>
      </c>
      <c r="AF245" s="412"/>
    </row>
    <row r="246" spans="2:32" s="1" customFormat="1" ht="13" hidden="1" x14ac:dyDescent="0.3">
      <c r="B246" s="383">
        <v>2026</v>
      </c>
      <c r="C246" s="361" t="s">
        <v>415</v>
      </c>
      <c r="D246" s="361" t="s">
        <v>159</v>
      </c>
      <c r="E246" s="360" t="s">
        <v>88</v>
      </c>
      <c r="F246" s="360" t="s">
        <v>80</v>
      </c>
      <c r="G246" s="362">
        <v>46177</v>
      </c>
      <c r="H246" s="363">
        <v>3721</v>
      </c>
      <c r="I246" s="360" t="s">
        <v>175</v>
      </c>
      <c r="J246" s="364" t="str">
        <f>IFERROR(VLOOKUP(I246,Map!$F$18:$G$56,2,0),"Add in Map")</f>
        <v>3P</v>
      </c>
      <c r="K246" s="364" t="str">
        <f>VLOOKUP(L246,Map!$C$18:$D$29,2,0)</f>
        <v>CVT</v>
      </c>
      <c r="L246" s="360" t="s">
        <v>36</v>
      </c>
      <c r="M246" s="365">
        <v>0</v>
      </c>
      <c r="N246" s="366">
        <f t="shared" si="66"/>
        <v>0</v>
      </c>
      <c r="O246" s="366">
        <f t="shared" si="67"/>
        <v>0</v>
      </c>
      <c r="P246" s="367">
        <f t="shared" si="68"/>
        <v>0</v>
      </c>
      <c r="Q246" s="367">
        <f t="shared" si="69"/>
        <v>0</v>
      </c>
      <c r="R246" s="368">
        <f t="shared" si="63"/>
        <v>0</v>
      </c>
      <c r="S246" s="384">
        <f>INDEX(FX!$D$3:$O$19,MATCH(B246,FX!$B$3:$B$32,0),MATCH(D246,FX!$D$2:$O$2,0))</f>
        <v>891</v>
      </c>
      <c r="T246" s="360" t="s">
        <v>143</v>
      </c>
      <c r="U246" s="360" t="s">
        <v>155</v>
      </c>
      <c r="V246" s="360" t="s">
        <v>83</v>
      </c>
      <c r="W246" s="364" t="str">
        <f>VLOOKUP(I246,Map!$F$18:$H$51,3,0)</f>
        <v>Variable</v>
      </c>
      <c r="X246" s="370" t="s">
        <v>149</v>
      </c>
      <c r="Y246" s="364" t="str">
        <f>VLOOKUP(L246,Map!$C$18:$D$29,2,0)</f>
        <v>CVT</v>
      </c>
      <c r="Z246" s="365"/>
      <c r="AA246" s="366">
        <f t="shared" si="60"/>
        <v>0</v>
      </c>
      <c r="AB246" s="366">
        <f t="shared" si="64"/>
        <v>0</v>
      </c>
      <c r="AC246" s="367">
        <f t="shared" si="61"/>
        <v>0</v>
      </c>
      <c r="AD246" s="367">
        <f t="shared" si="62"/>
        <v>0</v>
      </c>
      <c r="AE246" s="368">
        <f t="shared" si="65"/>
        <v>0</v>
      </c>
      <c r="AF246" s="385"/>
    </row>
    <row r="247" spans="2:32" s="1" customFormat="1" ht="13" hidden="1" x14ac:dyDescent="0.3">
      <c r="B247" s="383">
        <v>2026</v>
      </c>
      <c r="C247" s="361" t="s">
        <v>415</v>
      </c>
      <c r="D247" s="361" t="s">
        <v>159</v>
      </c>
      <c r="E247" s="360" t="s">
        <v>88</v>
      </c>
      <c r="F247" s="360" t="s">
        <v>80</v>
      </c>
      <c r="G247" s="362">
        <v>46177</v>
      </c>
      <c r="H247" s="363">
        <v>3721</v>
      </c>
      <c r="I247" s="360" t="s">
        <v>175</v>
      </c>
      <c r="J247" s="364" t="str">
        <f>IFERROR(VLOOKUP(I247,Map!$F$18:$G$56,2,0),"Add in Map")</f>
        <v>3P</v>
      </c>
      <c r="K247" s="364" t="str">
        <f>VLOOKUP(L247,Map!$C$18:$D$29,2,0)</f>
        <v>CDT</v>
      </c>
      <c r="L247" s="360" t="s">
        <v>38</v>
      </c>
      <c r="M247" s="365">
        <v>0</v>
      </c>
      <c r="N247" s="366">
        <f t="shared" si="66"/>
        <v>0</v>
      </c>
      <c r="O247" s="366">
        <f t="shared" si="67"/>
        <v>0</v>
      </c>
      <c r="P247" s="367">
        <f t="shared" si="68"/>
        <v>0</v>
      </c>
      <c r="Q247" s="367">
        <f t="shared" si="69"/>
        <v>0</v>
      </c>
      <c r="R247" s="368">
        <f t="shared" si="63"/>
        <v>0</v>
      </c>
      <c r="S247" s="384">
        <f>INDEX(FX!$D$3:$O$19,MATCH(B247,FX!$B$3:$B$32,0),MATCH(D247,FX!$D$2:$O$2,0))</f>
        <v>891</v>
      </c>
      <c r="T247" s="360" t="s">
        <v>143</v>
      </c>
      <c r="U247" s="360" t="s">
        <v>155</v>
      </c>
      <c r="V247" s="360" t="s">
        <v>83</v>
      </c>
      <c r="W247" s="364" t="str">
        <f>VLOOKUP(I247,Map!$F$18:$H$51,3,0)</f>
        <v>Variable</v>
      </c>
      <c r="X247" s="370" t="s">
        <v>149</v>
      </c>
      <c r="Y247" s="364" t="str">
        <f>VLOOKUP(L247,Map!$C$18:$D$29,2,0)</f>
        <v>CDT</v>
      </c>
      <c r="Z247" s="365"/>
      <c r="AA247" s="366">
        <f t="shared" si="60"/>
        <v>0</v>
      </c>
      <c r="AB247" s="366">
        <f t="shared" si="64"/>
        <v>0</v>
      </c>
      <c r="AC247" s="367">
        <f t="shared" si="61"/>
        <v>0</v>
      </c>
      <c r="AD247" s="367">
        <f t="shared" si="62"/>
        <v>0</v>
      </c>
      <c r="AE247" s="368">
        <f t="shared" si="65"/>
        <v>0</v>
      </c>
      <c r="AF247" s="385"/>
    </row>
    <row r="248" spans="2:32" s="1" customFormat="1" ht="13" hidden="1" x14ac:dyDescent="0.3">
      <c r="B248" s="383">
        <v>2026</v>
      </c>
      <c r="C248" s="361" t="s">
        <v>415</v>
      </c>
      <c r="D248" s="361" t="s">
        <v>159</v>
      </c>
      <c r="E248" s="360" t="s">
        <v>88</v>
      </c>
      <c r="F248" s="360" t="s">
        <v>80</v>
      </c>
      <c r="G248" s="362">
        <v>46177</v>
      </c>
      <c r="H248" s="363">
        <v>3721</v>
      </c>
      <c r="I248" s="360" t="s">
        <v>175</v>
      </c>
      <c r="J248" s="364" t="str">
        <f>IFERROR(VLOOKUP(I248,Map!$F$18:$G$56,2,0),"Add in Map")</f>
        <v>3P</v>
      </c>
      <c r="K248" s="364" t="str">
        <f>VLOOKUP(L248,Map!$C$18:$D$29,2,0)</f>
        <v>DFT</v>
      </c>
      <c r="L248" s="360" t="s">
        <v>40</v>
      </c>
      <c r="M248" s="365">
        <v>490365.70400647318</v>
      </c>
      <c r="N248" s="366">
        <f t="shared" si="66"/>
        <v>0</v>
      </c>
      <c r="O248" s="366">
        <f t="shared" si="67"/>
        <v>583535.18776770309</v>
      </c>
      <c r="P248" s="367">
        <f t="shared" si="68"/>
        <v>550.35432548425717</v>
      </c>
      <c r="Q248" s="367">
        <f t="shared" si="69"/>
        <v>0</v>
      </c>
      <c r="R248" s="368">
        <f t="shared" si="63"/>
        <v>654.921647326266</v>
      </c>
      <c r="S248" s="384">
        <f>INDEX(FX!$D$3:$O$19,MATCH(B248,FX!$B$3:$B$32,0),MATCH(D248,FX!$D$2:$O$2,0))</f>
        <v>891</v>
      </c>
      <c r="T248" s="360" t="s">
        <v>143</v>
      </c>
      <c r="U248" s="360" t="s">
        <v>155</v>
      </c>
      <c r="V248" s="360" t="s">
        <v>83</v>
      </c>
      <c r="W248" s="364" t="str">
        <f>VLOOKUP(I248,Map!$F$18:$H$51,3,0)</f>
        <v>Variable</v>
      </c>
      <c r="X248" s="370" t="s">
        <v>149</v>
      </c>
      <c r="Y248" s="364" t="str">
        <f>VLOOKUP(L248,Map!$C$18:$D$29,2,0)</f>
        <v>DFT</v>
      </c>
      <c r="Z248" s="365"/>
      <c r="AA248" s="366">
        <f t="shared" si="60"/>
        <v>0</v>
      </c>
      <c r="AB248" s="366">
        <f t="shared" si="64"/>
        <v>0</v>
      </c>
      <c r="AC248" s="367">
        <f t="shared" si="61"/>
        <v>0</v>
      </c>
      <c r="AD248" s="367">
        <f t="shared" si="62"/>
        <v>0</v>
      </c>
      <c r="AE248" s="368">
        <f t="shared" si="65"/>
        <v>0</v>
      </c>
      <c r="AF248" s="385"/>
    </row>
    <row r="249" spans="2:32" s="1" customFormat="1" ht="13" hidden="1" x14ac:dyDescent="0.3">
      <c r="B249" s="383">
        <v>2026</v>
      </c>
      <c r="C249" s="361" t="s">
        <v>415</v>
      </c>
      <c r="D249" s="361" t="s">
        <v>159</v>
      </c>
      <c r="E249" s="360" t="s">
        <v>88</v>
      </c>
      <c r="F249" s="360" t="s">
        <v>80</v>
      </c>
      <c r="G249" s="362">
        <v>46177</v>
      </c>
      <c r="H249" s="363">
        <v>3721</v>
      </c>
      <c r="I249" s="360" t="s">
        <v>175</v>
      </c>
      <c r="J249" s="364" t="str">
        <f>IFERROR(VLOOKUP(I249,Map!$F$18:$G$56,2,0),"Add in Map")</f>
        <v>3P</v>
      </c>
      <c r="K249" s="364" t="str">
        <f>VLOOKUP(L249,Map!$C$18:$D$29,2,0)</f>
        <v>DVT</v>
      </c>
      <c r="L249" s="360" t="s">
        <v>42</v>
      </c>
      <c r="M249" s="365">
        <v>0</v>
      </c>
      <c r="N249" s="366">
        <f t="shared" si="66"/>
        <v>0</v>
      </c>
      <c r="O249" s="366">
        <f t="shared" si="67"/>
        <v>0</v>
      </c>
      <c r="P249" s="367">
        <f t="shared" si="68"/>
        <v>0</v>
      </c>
      <c r="Q249" s="367">
        <f t="shared" si="69"/>
        <v>0</v>
      </c>
      <c r="R249" s="368">
        <f t="shared" si="63"/>
        <v>0</v>
      </c>
      <c r="S249" s="384">
        <f>INDEX(FX!$D$3:$O$19,MATCH(B249,FX!$B$3:$B$32,0),MATCH(D249,FX!$D$2:$O$2,0))</f>
        <v>891</v>
      </c>
      <c r="T249" s="360" t="s">
        <v>143</v>
      </c>
      <c r="U249" s="360" t="s">
        <v>155</v>
      </c>
      <c r="V249" s="360" t="s">
        <v>83</v>
      </c>
      <c r="W249" s="364" t="str">
        <f>VLOOKUP(I249,Map!$F$18:$H$51,3,0)</f>
        <v>Variable</v>
      </c>
      <c r="X249" s="370" t="s">
        <v>149</v>
      </c>
      <c r="Y249" s="364" t="str">
        <f>VLOOKUP(L249,Map!$C$18:$D$29,2,0)</f>
        <v>DVT</v>
      </c>
      <c r="Z249" s="365"/>
      <c r="AA249" s="366">
        <f t="shared" si="60"/>
        <v>0</v>
      </c>
      <c r="AB249" s="366">
        <f t="shared" si="64"/>
        <v>0</v>
      </c>
      <c r="AC249" s="367">
        <f t="shared" si="61"/>
        <v>0</v>
      </c>
      <c r="AD249" s="367">
        <f t="shared" si="62"/>
        <v>0</v>
      </c>
      <c r="AE249" s="368">
        <f t="shared" si="65"/>
        <v>0</v>
      </c>
      <c r="AF249" s="385"/>
    </row>
    <row r="250" spans="2:32" s="1" customFormat="1" ht="13" hidden="1" x14ac:dyDescent="0.3">
      <c r="B250" s="383">
        <v>2026</v>
      </c>
      <c r="C250" s="361" t="s">
        <v>415</v>
      </c>
      <c r="D250" s="361" t="s">
        <v>159</v>
      </c>
      <c r="E250" s="360" t="s">
        <v>88</v>
      </c>
      <c r="F250" s="360" t="s">
        <v>80</v>
      </c>
      <c r="G250" s="362">
        <v>46177</v>
      </c>
      <c r="H250" s="363">
        <v>3721</v>
      </c>
      <c r="I250" s="360" t="s">
        <v>175</v>
      </c>
      <c r="J250" s="364" t="str">
        <f>IFERROR(VLOOKUP(I250,Map!$F$18:$G$56,2,0),"Add in Map")</f>
        <v>3P</v>
      </c>
      <c r="K250" s="364" t="str">
        <f>VLOOKUP(L250,Map!$C$18:$D$29,2,0)</f>
        <v>GLT</v>
      </c>
      <c r="L250" s="360" t="s">
        <v>44</v>
      </c>
      <c r="M250" s="365">
        <v>86109.895241717342</v>
      </c>
      <c r="N250" s="366">
        <f t="shared" si="66"/>
        <v>0</v>
      </c>
      <c r="O250" s="366">
        <f t="shared" si="67"/>
        <v>102470.77533764363</v>
      </c>
      <c r="P250" s="367">
        <f t="shared" si="68"/>
        <v>96.644102403723167</v>
      </c>
      <c r="Q250" s="367">
        <f t="shared" si="69"/>
        <v>0</v>
      </c>
      <c r="R250" s="368">
        <f t="shared" si="63"/>
        <v>115.00648186043057</v>
      </c>
      <c r="S250" s="384">
        <f>INDEX(FX!$D$3:$O$19,MATCH(B250,FX!$B$3:$B$32,0),MATCH(D250,FX!$D$2:$O$2,0))</f>
        <v>891</v>
      </c>
      <c r="T250" s="360" t="s">
        <v>143</v>
      </c>
      <c r="U250" s="360" t="s">
        <v>155</v>
      </c>
      <c r="V250" s="360" t="s">
        <v>83</v>
      </c>
      <c r="W250" s="364" t="str">
        <f>VLOOKUP(I250,Map!$F$18:$H$51,3,0)</f>
        <v>Variable</v>
      </c>
      <c r="X250" s="370" t="s">
        <v>149</v>
      </c>
      <c r="Y250" s="364" t="str">
        <f>VLOOKUP(L250,Map!$C$18:$D$29,2,0)</f>
        <v>GLT</v>
      </c>
      <c r="Z250" s="365"/>
      <c r="AA250" s="366">
        <f t="shared" si="60"/>
        <v>0</v>
      </c>
      <c r="AB250" s="366">
        <f t="shared" si="64"/>
        <v>0</v>
      </c>
      <c r="AC250" s="367">
        <f t="shared" si="61"/>
        <v>0</v>
      </c>
      <c r="AD250" s="367">
        <f t="shared" si="62"/>
        <v>0</v>
      </c>
      <c r="AE250" s="368">
        <f t="shared" si="65"/>
        <v>0</v>
      </c>
      <c r="AF250" s="385"/>
    </row>
    <row r="251" spans="2:32" s="1" customFormat="1" ht="13" hidden="1" x14ac:dyDescent="0.3">
      <c r="B251" s="383">
        <v>2026</v>
      </c>
      <c r="C251" s="361" t="s">
        <v>415</v>
      </c>
      <c r="D251" s="361" t="s">
        <v>159</v>
      </c>
      <c r="E251" s="360" t="s">
        <v>88</v>
      </c>
      <c r="F251" s="360" t="s">
        <v>80</v>
      </c>
      <c r="G251" s="362">
        <v>46177</v>
      </c>
      <c r="H251" s="363">
        <v>3721</v>
      </c>
      <c r="I251" s="360" t="s">
        <v>175</v>
      </c>
      <c r="J251" s="364" t="str">
        <f>IFERROR(VLOOKUP(I251,Map!$F$18:$G$56,2,0),"Add in Map")</f>
        <v>3P</v>
      </c>
      <c r="K251" s="364" t="str">
        <f>VLOOKUP(L251,Map!$C$18:$D$29,2,0)</f>
        <v>PNT</v>
      </c>
      <c r="L251" s="360" t="s">
        <v>46</v>
      </c>
      <c r="M251" s="365">
        <v>0</v>
      </c>
      <c r="N251" s="366">
        <f t="shared" si="66"/>
        <v>0</v>
      </c>
      <c r="O251" s="366">
        <f t="shared" si="67"/>
        <v>0</v>
      </c>
      <c r="P251" s="367">
        <f t="shared" si="68"/>
        <v>0</v>
      </c>
      <c r="Q251" s="367">
        <f t="shared" si="69"/>
        <v>0</v>
      </c>
      <c r="R251" s="368">
        <f t="shared" si="63"/>
        <v>0</v>
      </c>
      <c r="S251" s="384">
        <f>INDEX(FX!$D$3:$O$19,MATCH(B251,FX!$B$3:$B$32,0),MATCH(D251,FX!$D$2:$O$2,0))</f>
        <v>891</v>
      </c>
      <c r="T251" s="360" t="s">
        <v>143</v>
      </c>
      <c r="U251" s="360" t="s">
        <v>155</v>
      </c>
      <c r="V251" s="360" t="s">
        <v>83</v>
      </c>
      <c r="W251" s="364" t="str">
        <f>VLOOKUP(I251,Map!$F$18:$H$51,3,0)</f>
        <v>Variable</v>
      </c>
      <c r="X251" s="370" t="s">
        <v>149</v>
      </c>
      <c r="Y251" s="364" t="str">
        <f>VLOOKUP(L251,Map!$C$18:$D$29,2,0)</f>
        <v>PNT</v>
      </c>
      <c r="Z251" s="365"/>
      <c r="AA251" s="366">
        <f t="shared" si="60"/>
        <v>0</v>
      </c>
      <c r="AB251" s="366">
        <f t="shared" si="64"/>
        <v>0</v>
      </c>
      <c r="AC251" s="367">
        <f t="shared" si="61"/>
        <v>0</v>
      </c>
      <c r="AD251" s="367">
        <f t="shared" si="62"/>
        <v>0</v>
      </c>
      <c r="AE251" s="368">
        <f t="shared" si="65"/>
        <v>0</v>
      </c>
      <c r="AF251" s="385"/>
    </row>
    <row r="252" spans="2:32" s="1" customFormat="1" ht="13" hidden="1" x14ac:dyDescent="0.3">
      <c r="B252" s="383">
        <v>2026</v>
      </c>
      <c r="C252" s="361" t="s">
        <v>415</v>
      </c>
      <c r="D252" s="361" t="s">
        <v>159</v>
      </c>
      <c r="E252" s="360" t="s">
        <v>88</v>
      </c>
      <c r="F252" s="360" t="s">
        <v>80</v>
      </c>
      <c r="G252" s="362">
        <v>46177</v>
      </c>
      <c r="H252" s="363">
        <v>3721</v>
      </c>
      <c r="I252" s="360" t="s">
        <v>175</v>
      </c>
      <c r="J252" s="364" t="str">
        <f>IFERROR(VLOOKUP(I252,Map!$F$18:$G$56,2,0),"Add in Map")</f>
        <v>3P</v>
      </c>
      <c r="K252" s="364" t="str">
        <f>VLOOKUP(L252,Map!$C$18:$D$29,2,0)</f>
        <v>GTT</v>
      </c>
      <c r="L252" s="360" t="s">
        <v>48</v>
      </c>
      <c r="M252" s="365"/>
      <c r="N252" s="366">
        <f t="shared" si="66"/>
        <v>0</v>
      </c>
      <c r="O252" s="366">
        <f t="shared" si="67"/>
        <v>0</v>
      </c>
      <c r="P252" s="367">
        <f t="shared" si="68"/>
        <v>0</v>
      </c>
      <c r="Q252" s="367">
        <f t="shared" si="69"/>
        <v>0</v>
      </c>
      <c r="R252" s="368">
        <f t="shared" si="63"/>
        <v>0</v>
      </c>
      <c r="S252" s="384">
        <f>INDEX(FX!$D$3:$O$19,MATCH(B252,FX!$B$3:$B$32,0),MATCH(D252,FX!$D$2:$O$2,0))</f>
        <v>891</v>
      </c>
      <c r="T252" s="360" t="s">
        <v>143</v>
      </c>
      <c r="U252" s="360" t="s">
        <v>155</v>
      </c>
      <c r="V252" s="360" t="s">
        <v>83</v>
      </c>
      <c r="W252" s="364" t="str">
        <f>VLOOKUP(I252,Map!$F$18:$H$51,3,0)</f>
        <v>Variable</v>
      </c>
      <c r="X252" s="370" t="s">
        <v>149</v>
      </c>
      <c r="Y252" s="364" t="str">
        <f>VLOOKUP(L252,Map!$C$18:$D$29,2,0)</f>
        <v>GTT</v>
      </c>
      <c r="Z252" s="365"/>
      <c r="AA252" s="366">
        <f t="shared" si="60"/>
        <v>0</v>
      </c>
      <c r="AB252" s="366">
        <f t="shared" si="64"/>
        <v>0</v>
      </c>
      <c r="AC252" s="367">
        <f t="shared" si="61"/>
        <v>0</v>
      </c>
      <c r="AD252" s="367">
        <f t="shared" si="62"/>
        <v>0</v>
      </c>
      <c r="AE252" s="368">
        <f t="shared" si="65"/>
        <v>0</v>
      </c>
      <c r="AF252" s="385"/>
    </row>
    <row r="253" spans="2:32" s="1" customFormat="1" ht="13" hidden="1" x14ac:dyDescent="0.3">
      <c r="B253" s="383">
        <v>2026</v>
      </c>
      <c r="C253" s="361" t="s">
        <v>415</v>
      </c>
      <c r="D253" s="361" t="s">
        <v>159</v>
      </c>
      <c r="E253" s="360" t="s">
        <v>88</v>
      </c>
      <c r="F253" s="360" t="s">
        <v>80</v>
      </c>
      <c r="G253" s="362">
        <v>46177</v>
      </c>
      <c r="H253" s="363">
        <v>3721</v>
      </c>
      <c r="I253" s="360" t="s">
        <v>175</v>
      </c>
      <c r="J253" s="364" t="str">
        <f>IFERROR(VLOOKUP(I253,Map!$F$18:$G$56,2,0),"Add in Map")</f>
        <v>3P</v>
      </c>
      <c r="K253" s="364" t="str">
        <f>VLOOKUP(L253,Map!$C$18:$D$29,2,0)</f>
        <v>DGT</v>
      </c>
      <c r="L253" s="360" t="s">
        <v>50</v>
      </c>
      <c r="M253" s="365"/>
      <c r="N253" s="366">
        <f t="shared" si="66"/>
        <v>0</v>
      </c>
      <c r="O253" s="366">
        <f t="shared" si="67"/>
        <v>0</v>
      </c>
      <c r="P253" s="367">
        <f t="shared" si="68"/>
        <v>0</v>
      </c>
      <c r="Q253" s="367">
        <f t="shared" si="69"/>
        <v>0</v>
      </c>
      <c r="R253" s="368">
        <f t="shared" si="63"/>
        <v>0</v>
      </c>
      <c r="S253" s="384">
        <f>INDEX(FX!$D$3:$O$19,MATCH(B253,FX!$B$3:$B$32,0),MATCH(D253,FX!$D$2:$O$2,0))</f>
        <v>891</v>
      </c>
      <c r="T253" s="360" t="s">
        <v>143</v>
      </c>
      <c r="U253" s="360" t="s">
        <v>155</v>
      </c>
      <c r="V253" s="360" t="s">
        <v>83</v>
      </c>
      <c r="W253" s="364" t="str">
        <f>VLOOKUP(I253,Map!$F$18:$H$51,3,0)</f>
        <v>Variable</v>
      </c>
      <c r="X253" s="370" t="s">
        <v>149</v>
      </c>
      <c r="Y253" s="364" t="str">
        <f>VLOOKUP(L253,Map!$C$18:$D$29,2,0)</f>
        <v>DGT</v>
      </c>
      <c r="Z253" s="365"/>
      <c r="AA253" s="366">
        <f t="shared" si="60"/>
        <v>0</v>
      </c>
      <c r="AB253" s="366">
        <f t="shared" si="64"/>
        <v>0</v>
      </c>
      <c r="AC253" s="367">
        <f t="shared" si="61"/>
        <v>0</v>
      </c>
      <c r="AD253" s="367">
        <f t="shared" si="62"/>
        <v>0</v>
      </c>
      <c r="AE253" s="368">
        <f t="shared" si="65"/>
        <v>0</v>
      </c>
      <c r="AF253" s="385"/>
    </row>
    <row r="254" spans="2:32" s="1" customFormat="1" ht="13" hidden="1" x14ac:dyDescent="0.3">
      <c r="B254" s="383">
        <v>2026</v>
      </c>
      <c r="C254" s="361" t="s">
        <v>415</v>
      </c>
      <c r="D254" s="361" t="s">
        <v>159</v>
      </c>
      <c r="E254" s="360" t="s">
        <v>88</v>
      </c>
      <c r="F254" s="360" t="s">
        <v>80</v>
      </c>
      <c r="G254" s="362">
        <v>46177</v>
      </c>
      <c r="H254" s="363">
        <v>3721</v>
      </c>
      <c r="I254" s="360" t="s">
        <v>175</v>
      </c>
      <c r="J254" s="364" t="str">
        <f>IFERROR(VLOOKUP(I254,Map!$F$18:$G$56,2,0),"Add in Map")</f>
        <v>3P</v>
      </c>
      <c r="K254" s="364" t="str">
        <f>VLOOKUP(L254,Map!$C$18:$D$29,2,0)</f>
        <v>DLT</v>
      </c>
      <c r="L254" s="360" t="s">
        <v>52</v>
      </c>
      <c r="M254" s="365"/>
      <c r="N254" s="366">
        <f t="shared" si="66"/>
        <v>0</v>
      </c>
      <c r="O254" s="366">
        <f t="shared" si="67"/>
        <v>0</v>
      </c>
      <c r="P254" s="367">
        <f t="shared" si="68"/>
        <v>0</v>
      </c>
      <c r="Q254" s="367">
        <f t="shared" si="69"/>
        <v>0</v>
      </c>
      <c r="R254" s="368">
        <f t="shared" si="63"/>
        <v>0</v>
      </c>
      <c r="S254" s="384">
        <f>INDEX(FX!$D$3:$O$19,MATCH(B254,FX!$B$3:$B$32,0),MATCH(D254,FX!$D$2:$O$2,0))</f>
        <v>891</v>
      </c>
      <c r="T254" s="360" t="s">
        <v>143</v>
      </c>
      <c r="U254" s="360" t="s">
        <v>155</v>
      </c>
      <c r="V254" s="360" t="s">
        <v>83</v>
      </c>
      <c r="W254" s="364" t="str">
        <f>VLOOKUP(I254,Map!$F$18:$H$51,3,0)</f>
        <v>Variable</v>
      </c>
      <c r="X254" s="370" t="s">
        <v>149</v>
      </c>
      <c r="Y254" s="364" t="str">
        <f>VLOOKUP(L254,Map!$C$18:$D$29,2,0)</f>
        <v>DLT</v>
      </c>
      <c r="Z254" s="365"/>
      <c r="AA254" s="366">
        <f t="shared" si="60"/>
        <v>0</v>
      </c>
      <c r="AB254" s="366">
        <f t="shared" si="64"/>
        <v>0</v>
      </c>
      <c r="AC254" s="367">
        <f t="shared" si="61"/>
        <v>0</v>
      </c>
      <c r="AD254" s="367">
        <f t="shared" si="62"/>
        <v>0</v>
      </c>
      <c r="AE254" s="368">
        <f t="shared" si="65"/>
        <v>0</v>
      </c>
      <c r="AF254" s="385"/>
    </row>
    <row r="255" spans="2:32" s="1" customFormat="1" ht="13" hidden="1" x14ac:dyDescent="0.3">
      <c r="B255" s="383">
        <v>2026</v>
      </c>
      <c r="C255" s="361" t="s">
        <v>415</v>
      </c>
      <c r="D255" s="361" t="s">
        <v>159</v>
      </c>
      <c r="E255" s="360" t="s">
        <v>88</v>
      </c>
      <c r="F255" s="360" t="s">
        <v>80</v>
      </c>
      <c r="G255" s="362">
        <v>46177</v>
      </c>
      <c r="H255" s="363">
        <v>3721</v>
      </c>
      <c r="I255" s="360" t="s">
        <v>175</v>
      </c>
      <c r="J255" s="364" t="str">
        <f>IFERROR(VLOOKUP(I255,Map!$F$18:$G$56,2,0),"Add in Map")</f>
        <v>3P</v>
      </c>
      <c r="K255" s="364" t="str">
        <f>VLOOKUP(L255,Map!$C$18:$D$29,2,0)</f>
        <v>DMT</v>
      </c>
      <c r="L255" s="360" t="s">
        <v>54</v>
      </c>
      <c r="M255" s="365"/>
      <c r="N255" s="366">
        <f t="shared" si="66"/>
        <v>0</v>
      </c>
      <c r="O255" s="366">
        <f t="shared" si="67"/>
        <v>0</v>
      </c>
      <c r="P255" s="386">
        <f t="shared" si="68"/>
        <v>0</v>
      </c>
      <c r="Q255" s="367">
        <f t="shared" si="69"/>
        <v>0</v>
      </c>
      <c r="R255" s="368">
        <f t="shared" si="63"/>
        <v>0</v>
      </c>
      <c r="S255" s="384">
        <f>INDEX(FX!$D$3:$O$19,MATCH(B255,FX!$B$3:$B$32,0),MATCH(D255,FX!$D$2:$O$2,0))</f>
        <v>891</v>
      </c>
      <c r="T255" s="360" t="s">
        <v>143</v>
      </c>
      <c r="U255" s="360" t="s">
        <v>155</v>
      </c>
      <c r="V255" s="360" t="s">
        <v>83</v>
      </c>
      <c r="W255" s="364" t="str">
        <f>VLOOKUP(I255,Map!$F$18:$H$51,3,0)</f>
        <v>Variable</v>
      </c>
      <c r="X255" s="370" t="s">
        <v>149</v>
      </c>
      <c r="Y255" s="364" t="str">
        <f>VLOOKUP(L255,Map!$C$18:$D$29,2,0)</f>
        <v>DMT</v>
      </c>
      <c r="Z255" s="365"/>
      <c r="AA255" s="366">
        <f t="shared" si="60"/>
        <v>0</v>
      </c>
      <c r="AB255" s="366">
        <f t="shared" si="64"/>
        <v>0</v>
      </c>
      <c r="AC255" s="386">
        <f t="shared" si="61"/>
        <v>0</v>
      </c>
      <c r="AD255" s="367">
        <f t="shared" si="62"/>
        <v>0</v>
      </c>
      <c r="AE255" s="368">
        <f t="shared" si="65"/>
        <v>0</v>
      </c>
      <c r="AF255" s="385"/>
    </row>
    <row r="256" spans="2:32" s="37" customFormat="1" hidden="1" x14ac:dyDescent="0.35">
      <c r="B256" s="387">
        <v>2026</v>
      </c>
      <c r="C256" s="389" t="s">
        <v>415</v>
      </c>
      <c r="D256" s="389" t="s">
        <v>159</v>
      </c>
      <c r="E256" s="388" t="s">
        <v>88</v>
      </c>
      <c r="F256" s="388" t="s">
        <v>80</v>
      </c>
      <c r="G256" s="390">
        <v>46177</v>
      </c>
      <c r="H256" s="391">
        <v>3721</v>
      </c>
      <c r="I256" s="388" t="s">
        <v>175</v>
      </c>
      <c r="J256" s="392" t="str">
        <f>IFERROR(VLOOKUP(I256,Map!$F$18:$G$56,2,0),"Add in Map")</f>
        <v>3P</v>
      </c>
      <c r="K256" s="392" t="str">
        <f>VLOOKUP(L256,Map!$C$18:$D$29,2,0)</f>
        <v>TOTAL</v>
      </c>
      <c r="L256" s="388" t="s">
        <v>56</v>
      </c>
      <c r="M256" s="393">
        <f>SUM(M245:M255)</f>
        <v>990593</v>
      </c>
      <c r="N256" s="393">
        <f t="shared" si="66"/>
        <v>188212.67</v>
      </c>
      <c r="O256" s="393">
        <f t="shared" si="67"/>
        <v>1178805.67</v>
      </c>
      <c r="P256" s="394">
        <f t="shared" si="68"/>
        <v>1111.7766554433222</v>
      </c>
      <c r="Q256" s="394">
        <f t="shared" si="69"/>
        <v>211.23756453423121</v>
      </c>
      <c r="R256" s="395">
        <f t="shared" si="63"/>
        <v>1323.0142199775532</v>
      </c>
      <c r="S256" s="396">
        <f>INDEX(FX!$D$3:$O$19,MATCH(B256,FX!$B$3:$B$32,0),MATCH(D256,FX!$D$2:$O$2,0))</f>
        <v>891</v>
      </c>
      <c r="T256" s="388" t="s">
        <v>143</v>
      </c>
      <c r="U256" s="388" t="s">
        <v>155</v>
      </c>
      <c r="V256" s="388" t="s">
        <v>83</v>
      </c>
      <c r="W256" s="392" t="str">
        <f>VLOOKUP(I256,Map!$F$18:$H$51,3,0)</f>
        <v>Variable</v>
      </c>
      <c r="X256" s="397" t="s">
        <v>149</v>
      </c>
      <c r="Y256" s="392" t="str">
        <f>VLOOKUP(L256,Map!$C$18:$D$29,2,0)</f>
        <v>TOTAL</v>
      </c>
      <c r="Z256" s="413"/>
      <c r="AA256" s="393">
        <f t="shared" si="60"/>
        <v>0</v>
      </c>
      <c r="AB256" s="393">
        <f t="shared" si="64"/>
        <v>0</v>
      </c>
      <c r="AC256" s="394">
        <f t="shared" si="61"/>
        <v>0</v>
      </c>
      <c r="AD256" s="394">
        <f t="shared" si="62"/>
        <v>0</v>
      </c>
      <c r="AE256" s="395">
        <f t="shared" si="65"/>
        <v>0</v>
      </c>
      <c r="AF256" s="398"/>
    </row>
    <row r="257" spans="2:32" s="5" customFormat="1" ht="13" hidden="1" x14ac:dyDescent="0.3">
      <c r="B257" s="400">
        <v>2026</v>
      </c>
      <c r="C257" s="402" t="s">
        <v>413</v>
      </c>
      <c r="D257" s="402" t="s">
        <v>162</v>
      </c>
      <c r="E257" s="401" t="s">
        <v>88</v>
      </c>
      <c r="F257" s="401" t="s">
        <v>80</v>
      </c>
      <c r="G257" s="403">
        <v>46218</v>
      </c>
      <c r="H257" s="404">
        <v>3866</v>
      </c>
      <c r="I257" s="401" t="s">
        <v>175</v>
      </c>
      <c r="J257" s="405" t="str">
        <f>IFERROR(VLOOKUP(I257,Map!$F$18:$G$56,2,0),"Add in Map")</f>
        <v>3P</v>
      </c>
      <c r="K257" s="405" t="str">
        <f>VLOOKUP(L257,Map!$C$18:$D$29,2,0)</f>
        <v>CNT</v>
      </c>
      <c r="L257" s="401" t="s">
        <v>31</v>
      </c>
      <c r="M257" s="406">
        <v>2833971.8922443022</v>
      </c>
      <c r="N257" s="407">
        <f t="shared" si="66"/>
        <v>0</v>
      </c>
      <c r="O257" s="407">
        <f t="shared" si="67"/>
        <v>3372426.5517707197</v>
      </c>
      <c r="P257" s="408">
        <f t="shared" si="68"/>
        <v>3070.3920826048779</v>
      </c>
      <c r="Q257" s="408">
        <f t="shared" si="69"/>
        <v>0</v>
      </c>
      <c r="R257" s="409">
        <f t="shared" si="63"/>
        <v>3653.7665782998047</v>
      </c>
      <c r="S257" s="410">
        <f>INDEX(FX!$D$3:$O$19,MATCH(B257,FX!$B$3:$B$32,0),MATCH(D257,FX!$D$2:$O$2,0))</f>
        <v>923</v>
      </c>
      <c r="T257" s="401" t="s">
        <v>144</v>
      </c>
      <c r="U257" s="401" t="s">
        <v>32</v>
      </c>
      <c r="V257" s="401" t="s">
        <v>83</v>
      </c>
      <c r="W257" s="405" t="str">
        <f>VLOOKUP(I257,Map!$F$18:$H$51,3,0)</f>
        <v>Variable</v>
      </c>
      <c r="X257" s="411" t="s">
        <v>149</v>
      </c>
      <c r="Y257" s="405" t="str">
        <f>VLOOKUP(L257,Map!$C$18:$D$29,2,0)</f>
        <v>CNT</v>
      </c>
      <c r="Z257" s="406">
        <v>2479513.6565157967</v>
      </c>
      <c r="AA257" s="407">
        <f t="shared" si="60"/>
        <v>0</v>
      </c>
      <c r="AB257" s="407">
        <f t="shared" si="64"/>
        <v>2950621.2512537977</v>
      </c>
      <c r="AC257" s="408">
        <f t="shared" si="61"/>
        <v>2686.3636581969627</v>
      </c>
      <c r="AD257" s="408">
        <f t="shared" si="62"/>
        <v>0</v>
      </c>
      <c r="AE257" s="409">
        <f t="shared" si="65"/>
        <v>3196.7727532543854</v>
      </c>
      <c r="AF257" s="412"/>
    </row>
    <row r="258" spans="2:32" s="1" customFormat="1" ht="13" hidden="1" x14ac:dyDescent="0.3">
      <c r="B258" s="383">
        <v>2026</v>
      </c>
      <c r="C258" s="361" t="s">
        <v>413</v>
      </c>
      <c r="D258" s="361" t="s">
        <v>162</v>
      </c>
      <c r="E258" s="360" t="s">
        <v>88</v>
      </c>
      <c r="F258" s="360" t="s">
        <v>80</v>
      </c>
      <c r="G258" s="362">
        <v>46218</v>
      </c>
      <c r="H258" s="363">
        <v>3866</v>
      </c>
      <c r="I258" s="360" t="s">
        <v>175</v>
      </c>
      <c r="J258" s="364" t="str">
        <f>IFERROR(VLOOKUP(I258,Map!$F$18:$G$56,2,0),"Add in Map")</f>
        <v>3P</v>
      </c>
      <c r="K258" s="364" t="str">
        <f>VLOOKUP(L258,Map!$C$18:$D$29,2,0)</f>
        <v>CVT</v>
      </c>
      <c r="L258" s="360" t="s">
        <v>36</v>
      </c>
      <c r="M258" s="365">
        <v>0</v>
      </c>
      <c r="N258" s="366">
        <f t="shared" si="66"/>
        <v>0</v>
      </c>
      <c r="O258" s="366">
        <f t="shared" si="67"/>
        <v>0</v>
      </c>
      <c r="P258" s="367">
        <f t="shared" si="68"/>
        <v>0</v>
      </c>
      <c r="Q258" s="367">
        <f t="shared" si="69"/>
        <v>0</v>
      </c>
      <c r="R258" s="368">
        <f t="shared" si="63"/>
        <v>0</v>
      </c>
      <c r="S258" s="384">
        <f>INDEX(FX!$D$3:$O$19,MATCH(B258,FX!$B$3:$B$32,0),MATCH(D258,FX!$D$2:$O$2,0))</f>
        <v>923</v>
      </c>
      <c r="T258" s="360" t="s">
        <v>144</v>
      </c>
      <c r="U258" s="360" t="s">
        <v>32</v>
      </c>
      <c r="V258" s="360" t="s">
        <v>83</v>
      </c>
      <c r="W258" s="364" t="str">
        <f>VLOOKUP(I258,Map!$F$18:$H$51,3,0)</f>
        <v>Variable</v>
      </c>
      <c r="X258" s="370" t="s">
        <v>149</v>
      </c>
      <c r="Y258" s="364" t="str">
        <f>VLOOKUP(L258,Map!$C$18:$D$29,2,0)</f>
        <v>CVT</v>
      </c>
      <c r="Z258" s="365">
        <v>0</v>
      </c>
      <c r="AA258" s="366">
        <f t="shared" si="60"/>
        <v>0</v>
      </c>
      <c r="AB258" s="366">
        <f t="shared" si="64"/>
        <v>0</v>
      </c>
      <c r="AC258" s="367">
        <f t="shared" si="61"/>
        <v>0</v>
      </c>
      <c r="AD258" s="367">
        <f t="shared" si="62"/>
        <v>0</v>
      </c>
      <c r="AE258" s="368">
        <f t="shared" si="65"/>
        <v>0</v>
      </c>
      <c r="AF258" s="385"/>
    </row>
    <row r="259" spans="2:32" s="1" customFormat="1" ht="13" hidden="1" x14ac:dyDescent="0.3">
      <c r="B259" s="383">
        <v>2026</v>
      </c>
      <c r="C259" s="361" t="s">
        <v>413</v>
      </c>
      <c r="D259" s="361" t="s">
        <v>162</v>
      </c>
      <c r="E259" s="360" t="s">
        <v>88</v>
      </c>
      <c r="F259" s="360" t="s">
        <v>80</v>
      </c>
      <c r="G259" s="362">
        <v>46218</v>
      </c>
      <c r="H259" s="363">
        <v>3866</v>
      </c>
      <c r="I259" s="360" t="s">
        <v>175</v>
      </c>
      <c r="J259" s="364" t="str">
        <f>IFERROR(VLOOKUP(I259,Map!$F$18:$G$56,2,0),"Add in Map")</f>
        <v>3P</v>
      </c>
      <c r="K259" s="364" t="str">
        <f>VLOOKUP(L259,Map!$C$18:$D$29,2,0)</f>
        <v>CDT</v>
      </c>
      <c r="L259" s="360" t="s">
        <v>38</v>
      </c>
      <c r="M259" s="365">
        <v>0</v>
      </c>
      <c r="N259" s="366">
        <f t="shared" si="66"/>
        <v>0</v>
      </c>
      <c r="O259" s="366">
        <f t="shared" si="67"/>
        <v>0</v>
      </c>
      <c r="P259" s="367">
        <f t="shared" si="68"/>
        <v>0</v>
      </c>
      <c r="Q259" s="367">
        <f t="shared" si="69"/>
        <v>0</v>
      </c>
      <c r="R259" s="368">
        <f t="shared" si="63"/>
        <v>0</v>
      </c>
      <c r="S259" s="384">
        <f>INDEX(FX!$D$3:$O$19,MATCH(B259,FX!$B$3:$B$32,0),MATCH(D259,FX!$D$2:$O$2,0))</f>
        <v>923</v>
      </c>
      <c r="T259" s="360" t="s">
        <v>144</v>
      </c>
      <c r="U259" s="360" t="s">
        <v>32</v>
      </c>
      <c r="V259" s="360" t="s">
        <v>83</v>
      </c>
      <c r="W259" s="364" t="str">
        <f>VLOOKUP(I259,Map!$F$18:$H$51,3,0)</f>
        <v>Variable</v>
      </c>
      <c r="X259" s="370" t="s">
        <v>149</v>
      </c>
      <c r="Y259" s="364" t="str">
        <f>VLOOKUP(L259,Map!$C$18:$D$29,2,0)</f>
        <v>CDT</v>
      </c>
      <c r="Z259" s="365">
        <v>0</v>
      </c>
      <c r="AA259" s="366">
        <f t="shared" si="60"/>
        <v>0</v>
      </c>
      <c r="AB259" s="366">
        <f t="shared" si="64"/>
        <v>0</v>
      </c>
      <c r="AC259" s="367">
        <f t="shared" si="61"/>
        <v>0</v>
      </c>
      <c r="AD259" s="367">
        <f t="shared" si="62"/>
        <v>0</v>
      </c>
      <c r="AE259" s="368">
        <f t="shared" si="65"/>
        <v>0</v>
      </c>
      <c r="AF259" s="385"/>
    </row>
    <row r="260" spans="2:32" s="1" customFormat="1" ht="13" hidden="1" x14ac:dyDescent="0.3">
      <c r="B260" s="383">
        <v>2026</v>
      </c>
      <c r="C260" s="361" t="s">
        <v>413</v>
      </c>
      <c r="D260" s="361" t="s">
        <v>162</v>
      </c>
      <c r="E260" s="360" t="s">
        <v>88</v>
      </c>
      <c r="F260" s="360" t="s">
        <v>80</v>
      </c>
      <c r="G260" s="362">
        <v>46218</v>
      </c>
      <c r="H260" s="363">
        <v>3866</v>
      </c>
      <c r="I260" s="360" t="s">
        <v>175</v>
      </c>
      <c r="J260" s="364" t="str">
        <f>IFERROR(VLOOKUP(I260,Map!$F$18:$G$56,2,0),"Add in Map")</f>
        <v>3P</v>
      </c>
      <c r="K260" s="364" t="str">
        <f>VLOOKUP(L260,Map!$C$18:$D$29,2,0)</f>
        <v>DFT</v>
      </c>
      <c r="L260" s="360" t="s">
        <v>40</v>
      </c>
      <c r="M260" s="365">
        <v>2026297.187071939</v>
      </c>
      <c r="N260" s="366">
        <f t="shared" si="66"/>
        <v>0</v>
      </c>
      <c r="O260" s="366">
        <f t="shared" si="67"/>
        <v>2411293.6526156073</v>
      </c>
      <c r="P260" s="367">
        <f t="shared" si="68"/>
        <v>2195.338230847171</v>
      </c>
      <c r="Q260" s="367">
        <f t="shared" si="69"/>
        <v>0</v>
      </c>
      <c r="R260" s="368">
        <f t="shared" si="63"/>
        <v>2612.4524947081331</v>
      </c>
      <c r="S260" s="384">
        <f>INDEX(FX!$D$3:$O$19,MATCH(B260,FX!$B$3:$B$32,0),MATCH(D260,FX!$D$2:$O$2,0))</f>
        <v>923</v>
      </c>
      <c r="T260" s="360" t="s">
        <v>144</v>
      </c>
      <c r="U260" s="360" t="s">
        <v>32</v>
      </c>
      <c r="V260" s="360" t="s">
        <v>83</v>
      </c>
      <c r="W260" s="364" t="str">
        <f>VLOOKUP(I260,Map!$F$18:$H$51,3,0)</f>
        <v>Variable</v>
      </c>
      <c r="X260" s="370" t="s">
        <v>149</v>
      </c>
      <c r="Y260" s="364" t="str">
        <f>VLOOKUP(L260,Map!$C$18:$D$29,2,0)</f>
        <v>DFT</v>
      </c>
      <c r="Z260" s="365">
        <v>1772858.6374671436</v>
      </c>
      <c r="AA260" s="366">
        <f t="shared" si="60"/>
        <v>0</v>
      </c>
      <c r="AB260" s="366">
        <f t="shared" si="64"/>
        <v>2109701.7785859006</v>
      </c>
      <c r="AC260" s="367">
        <f t="shared" si="61"/>
        <v>1920.7569203327666</v>
      </c>
      <c r="AD260" s="367">
        <f t="shared" si="62"/>
        <v>0</v>
      </c>
      <c r="AE260" s="368">
        <f t="shared" si="65"/>
        <v>2285.7007351959924</v>
      </c>
      <c r="AF260" s="385"/>
    </row>
    <row r="261" spans="2:32" s="1" customFormat="1" ht="13" hidden="1" x14ac:dyDescent="0.3">
      <c r="B261" s="383">
        <v>2026</v>
      </c>
      <c r="C261" s="361" t="s">
        <v>413</v>
      </c>
      <c r="D261" s="361" t="s">
        <v>162</v>
      </c>
      <c r="E261" s="360" t="s">
        <v>88</v>
      </c>
      <c r="F261" s="360" t="s">
        <v>80</v>
      </c>
      <c r="G261" s="362">
        <v>46218</v>
      </c>
      <c r="H261" s="363">
        <v>3866</v>
      </c>
      <c r="I261" s="360" t="s">
        <v>175</v>
      </c>
      <c r="J261" s="364" t="str">
        <f>IFERROR(VLOOKUP(I261,Map!$F$18:$G$56,2,0),"Add in Map")</f>
        <v>3P</v>
      </c>
      <c r="K261" s="364" t="str">
        <f>VLOOKUP(L261,Map!$C$18:$D$29,2,0)</f>
        <v>DVT</v>
      </c>
      <c r="L261" s="360" t="s">
        <v>42</v>
      </c>
      <c r="M261" s="365">
        <v>0</v>
      </c>
      <c r="N261" s="366">
        <f t="shared" si="66"/>
        <v>0</v>
      </c>
      <c r="O261" s="366">
        <f t="shared" si="67"/>
        <v>0</v>
      </c>
      <c r="P261" s="367">
        <f t="shared" si="68"/>
        <v>0</v>
      </c>
      <c r="Q261" s="367">
        <f t="shared" si="69"/>
        <v>0</v>
      </c>
      <c r="R261" s="368">
        <f t="shared" si="63"/>
        <v>0</v>
      </c>
      <c r="S261" s="384">
        <f>INDEX(FX!$D$3:$O$19,MATCH(B261,FX!$B$3:$B$32,0),MATCH(D261,FX!$D$2:$O$2,0))</f>
        <v>923</v>
      </c>
      <c r="T261" s="360" t="s">
        <v>144</v>
      </c>
      <c r="U261" s="360" t="s">
        <v>32</v>
      </c>
      <c r="V261" s="360" t="s">
        <v>83</v>
      </c>
      <c r="W261" s="364" t="str">
        <f>VLOOKUP(I261,Map!$F$18:$H$51,3,0)</f>
        <v>Variable</v>
      </c>
      <c r="X261" s="370" t="s">
        <v>149</v>
      </c>
      <c r="Y261" s="364" t="str">
        <f>VLOOKUP(L261,Map!$C$18:$D$29,2,0)</f>
        <v>DVT</v>
      </c>
      <c r="Z261" s="365">
        <v>0</v>
      </c>
      <c r="AA261" s="366">
        <f t="shared" si="60"/>
        <v>0</v>
      </c>
      <c r="AB261" s="366">
        <f t="shared" si="64"/>
        <v>0</v>
      </c>
      <c r="AC261" s="367">
        <f t="shared" si="61"/>
        <v>0</v>
      </c>
      <c r="AD261" s="367">
        <f t="shared" si="62"/>
        <v>0</v>
      </c>
      <c r="AE261" s="368">
        <f t="shared" si="65"/>
        <v>0</v>
      </c>
      <c r="AF261" s="385"/>
    </row>
    <row r="262" spans="2:32" s="1" customFormat="1" ht="13" hidden="1" x14ac:dyDescent="0.3">
      <c r="B262" s="383">
        <v>2026</v>
      </c>
      <c r="C262" s="361" t="s">
        <v>413</v>
      </c>
      <c r="D262" s="361" t="s">
        <v>162</v>
      </c>
      <c r="E262" s="360" t="s">
        <v>88</v>
      </c>
      <c r="F262" s="360" t="s">
        <v>80</v>
      </c>
      <c r="G262" s="362">
        <v>46218</v>
      </c>
      <c r="H262" s="363">
        <v>3866</v>
      </c>
      <c r="I262" s="360" t="s">
        <v>175</v>
      </c>
      <c r="J262" s="364" t="str">
        <f>IFERROR(VLOOKUP(I262,Map!$F$18:$G$56,2,0),"Add in Map")</f>
        <v>3P</v>
      </c>
      <c r="K262" s="364" t="str">
        <f>VLOOKUP(L262,Map!$C$18:$D$29,2,0)</f>
        <v>GLT</v>
      </c>
      <c r="L262" s="360" t="s">
        <v>44</v>
      </c>
      <c r="M262" s="365">
        <v>1746948.8874267892</v>
      </c>
      <c r="N262" s="366">
        <f t="shared" si="66"/>
        <v>0</v>
      </c>
      <c r="O262" s="366">
        <f t="shared" si="67"/>
        <v>2078869.176037879</v>
      </c>
      <c r="P262" s="367">
        <f t="shared" si="68"/>
        <v>1892.6856851861205</v>
      </c>
      <c r="Q262" s="367">
        <f t="shared" si="69"/>
        <v>0</v>
      </c>
      <c r="R262" s="368">
        <f t="shared" si="63"/>
        <v>2252.2959653714834</v>
      </c>
      <c r="S262" s="384">
        <f>INDEX(FX!$D$3:$O$19,MATCH(B262,FX!$B$3:$B$32,0),MATCH(D262,FX!$D$2:$O$2,0))</f>
        <v>923</v>
      </c>
      <c r="T262" s="360" t="s">
        <v>144</v>
      </c>
      <c r="U262" s="360" t="s">
        <v>32</v>
      </c>
      <c r="V262" s="360" t="s">
        <v>83</v>
      </c>
      <c r="W262" s="364" t="str">
        <f>VLOOKUP(I262,Map!$F$18:$H$51,3,0)</f>
        <v>Variable</v>
      </c>
      <c r="X262" s="370" t="s">
        <v>149</v>
      </c>
      <c r="Y262" s="364" t="str">
        <f>VLOOKUP(L262,Map!$C$18:$D$29,2,0)</f>
        <v>GLT</v>
      </c>
      <c r="Z262" s="365">
        <v>1528449.7476718083</v>
      </c>
      <c r="AA262" s="366">
        <f t="shared" si="60"/>
        <v>0</v>
      </c>
      <c r="AB262" s="366">
        <f t="shared" si="64"/>
        <v>1818855.1997294519</v>
      </c>
      <c r="AC262" s="367">
        <f t="shared" si="61"/>
        <v>1655.9585565241694</v>
      </c>
      <c r="AD262" s="367">
        <f t="shared" si="62"/>
        <v>0</v>
      </c>
      <c r="AE262" s="368">
        <f t="shared" si="65"/>
        <v>1970.5906822637614</v>
      </c>
      <c r="AF262" s="385"/>
    </row>
    <row r="263" spans="2:32" s="1" customFormat="1" ht="13" hidden="1" x14ac:dyDescent="0.3">
      <c r="B263" s="383">
        <v>2026</v>
      </c>
      <c r="C263" s="361" t="s">
        <v>413</v>
      </c>
      <c r="D263" s="361" t="s">
        <v>162</v>
      </c>
      <c r="E263" s="360" t="s">
        <v>88</v>
      </c>
      <c r="F263" s="360" t="s">
        <v>80</v>
      </c>
      <c r="G263" s="362">
        <v>46218</v>
      </c>
      <c r="H263" s="363">
        <v>3866</v>
      </c>
      <c r="I263" s="360" t="s">
        <v>175</v>
      </c>
      <c r="J263" s="364" t="str">
        <f>IFERROR(VLOOKUP(I263,Map!$F$18:$G$56,2,0),"Add in Map")</f>
        <v>3P</v>
      </c>
      <c r="K263" s="364" t="str">
        <f>VLOOKUP(L263,Map!$C$18:$D$29,2,0)</f>
        <v>PNT</v>
      </c>
      <c r="L263" s="360" t="s">
        <v>46</v>
      </c>
      <c r="M263" s="365">
        <v>0</v>
      </c>
      <c r="N263" s="366">
        <f t="shared" si="66"/>
        <v>0</v>
      </c>
      <c r="O263" s="366">
        <f t="shared" si="67"/>
        <v>0</v>
      </c>
      <c r="P263" s="367">
        <f t="shared" si="68"/>
        <v>0</v>
      </c>
      <c r="Q263" s="367">
        <f t="shared" si="69"/>
        <v>0</v>
      </c>
      <c r="R263" s="368">
        <f t="shared" si="63"/>
        <v>0</v>
      </c>
      <c r="S263" s="384">
        <f>INDEX(FX!$D$3:$O$19,MATCH(B263,FX!$B$3:$B$32,0),MATCH(D263,FX!$D$2:$O$2,0))</f>
        <v>923</v>
      </c>
      <c r="T263" s="360" t="s">
        <v>144</v>
      </c>
      <c r="U263" s="360" t="s">
        <v>32</v>
      </c>
      <c r="V263" s="360" t="s">
        <v>83</v>
      </c>
      <c r="W263" s="364" t="str">
        <f>VLOOKUP(I263,Map!$F$18:$H$51,3,0)</f>
        <v>Variable</v>
      </c>
      <c r="X263" s="370" t="s">
        <v>149</v>
      </c>
      <c r="Y263" s="364" t="str">
        <f>VLOOKUP(L263,Map!$C$18:$D$29,2,0)</f>
        <v>PNT</v>
      </c>
      <c r="Z263" s="365">
        <v>0</v>
      </c>
      <c r="AA263" s="366">
        <f t="shared" si="60"/>
        <v>0</v>
      </c>
      <c r="AB263" s="366">
        <f t="shared" si="64"/>
        <v>0</v>
      </c>
      <c r="AC263" s="367">
        <f t="shared" si="61"/>
        <v>0</v>
      </c>
      <c r="AD263" s="367">
        <f t="shared" si="62"/>
        <v>0</v>
      </c>
      <c r="AE263" s="368">
        <f t="shared" si="65"/>
        <v>0</v>
      </c>
      <c r="AF263" s="385"/>
    </row>
    <row r="264" spans="2:32" s="1" customFormat="1" ht="13" hidden="1" x14ac:dyDescent="0.3">
      <c r="B264" s="383">
        <v>2026</v>
      </c>
      <c r="C264" s="361" t="s">
        <v>413</v>
      </c>
      <c r="D264" s="361" t="s">
        <v>162</v>
      </c>
      <c r="E264" s="360" t="s">
        <v>88</v>
      </c>
      <c r="F264" s="360" t="s">
        <v>80</v>
      </c>
      <c r="G264" s="362">
        <v>46218</v>
      </c>
      <c r="H264" s="363">
        <v>3866</v>
      </c>
      <c r="I264" s="360" t="s">
        <v>175</v>
      </c>
      <c r="J264" s="364" t="str">
        <f>IFERROR(VLOOKUP(I264,Map!$F$18:$G$56,2,0),"Add in Map")</f>
        <v>3P</v>
      </c>
      <c r="K264" s="364" t="str">
        <f>VLOOKUP(L264,Map!$C$18:$D$29,2,0)</f>
        <v>GTT</v>
      </c>
      <c r="L264" s="360" t="s">
        <v>48</v>
      </c>
      <c r="M264" s="365">
        <v>27657.065804026068</v>
      </c>
      <c r="N264" s="366">
        <f t="shared" si="66"/>
        <v>0</v>
      </c>
      <c r="O264" s="366">
        <f t="shared" si="67"/>
        <v>32911.908306791018</v>
      </c>
      <c r="P264" s="367">
        <f t="shared" si="68"/>
        <v>29.964318314221092</v>
      </c>
      <c r="Q264" s="367">
        <f t="shared" si="69"/>
        <v>0</v>
      </c>
      <c r="R264" s="368">
        <f t="shared" si="63"/>
        <v>35.657538793923095</v>
      </c>
      <c r="S264" s="384">
        <f>INDEX(FX!$D$3:$O$19,MATCH(B264,FX!$B$3:$B$32,0),MATCH(D264,FX!$D$2:$O$2,0))</f>
        <v>923</v>
      </c>
      <c r="T264" s="360" t="s">
        <v>144</v>
      </c>
      <c r="U264" s="360" t="s">
        <v>32</v>
      </c>
      <c r="V264" s="360" t="s">
        <v>83</v>
      </c>
      <c r="W264" s="364" t="str">
        <f>VLOOKUP(I264,Map!$F$18:$H$51,3,0)</f>
        <v>Variable</v>
      </c>
      <c r="X264" s="370" t="s">
        <v>149</v>
      </c>
      <c r="Y264" s="364" t="str">
        <f>VLOOKUP(L264,Map!$C$18:$D$29,2,0)</f>
        <v>GTT</v>
      </c>
      <c r="Z264" s="365">
        <v>24197.86609313593</v>
      </c>
      <c r="AA264" s="366">
        <f t="shared" si="60"/>
        <v>0</v>
      </c>
      <c r="AB264" s="366">
        <f t="shared" si="64"/>
        <v>28795.460650831756</v>
      </c>
      <c r="AC264" s="367">
        <f t="shared" si="61"/>
        <v>26.216539645867748</v>
      </c>
      <c r="AD264" s="367">
        <f t="shared" si="62"/>
        <v>0</v>
      </c>
      <c r="AE264" s="368">
        <f t="shared" si="65"/>
        <v>31.197682178582617</v>
      </c>
      <c r="AF264" s="385"/>
    </row>
    <row r="265" spans="2:32" s="1" customFormat="1" ht="13" hidden="1" x14ac:dyDescent="0.3">
      <c r="B265" s="383">
        <v>2026</v>
      </c>
      <c r="C265" s="361" t="s">
        <v>413</v>
      </c>
      <c r="D265" s="361" t="s">
        <v>162</v>
      </c>
      <c r="E265" s="360" t="s">
        <v>88</v>
      </c>
      <c r="F265" s="360" t="s">
        <v>80</v>
      </c>
      <c r="G265" s="362">
        <v>46218</v>
      </c>
      <c r="H265" s="363">
        <v>3866</v>
      </c>
      <c r="I265" s="360" t="s">
        <v>175</v>
      </c>
      <c r="J265" s="364" t="str">
        <f>IFERROR(VLOOKUP(I265,Map!$F$18:$G$56,2,0),"Add in Map")</f>
        <v>3P</v>
      </c>
      <c r="K265" s="364" t="str">
        <f>VLOOKUP(L265,Map!$C$18:$D$29,2,0)</f>
        <v>DGT</v>
      </c>
      <c r="L265" s="360" t="s">
        <v>50</v>
      </c>
      <c r="M265" s="365">
        <v>0</v>
      </c>
      <c r="N265" s="366">
        <f t="shared" si="66"/>
        <v>0</v>
      </c>
      <c r="O265" s="366">
        <f t="shared" si="67"/>
        <v>0</v>
      </c>
      <c r="P265" s="367">
        <f t="shared" si="68"/>
        <v>0</v>
      </c>
      <c r="Q265" s="367">
        <f t="shared" si="69"/>
        <v>0</v>
      </c>
      <c r="R265" s="368">
        <f t="shared" si="63"/>
        <v>0</v>
      </c>
      <c r="S265" s="384">
        <f>INDEX(FX!$D$3:$O$19,MATCH(B265,FX!$B$3:$B$32,0),MATCH(D265,FX!$D$2:$O$2,0))</f>
        <v>923</v>
      </c>
      <c r="T265" s="360" t="s">
        <v>144</v>
      </c>
      <c r="U265" s="360" t="s">
        <v>32</v>
      </c>
      <c r="V265" s="360" t="s">
        <v>83</v>
      </c>
      <c r="W265" s="364" t="str">
        <f>VLOOKUP(I265,Map!$F$18:$H$51,3,0)</f>
        <v>Variable</v>
      </c>
      <c r="X265" s="370" t="s">
        <v>149</v>
      </c>
      <c r="Y265" s="364" t="str">
        <f>VLOOKUP(L265,Map!$C$18:$D$29,2,0)</f>
        <v>DGT</v>
      </c>
      <c r="Z265" s="365">
        <v>0</v>
      </c>
      <c r="AA265" s="366">
        <f t="shared" si="60"/>
        <v>0</v>
      </c>
      <c r="AB265" s="366">
        <f t="shared" si="64"/>
        <v>0</v>
      </c>
      <c r="AC265" s="367">
        <f t="shared" si="61"/>
        <v>0</v>
      </c>
      <c r="AD265" s="367">
        <f t="shared" si="62"/>
        <v>0</v>
      </c>
      <c r="AE265" s="368">
        <f t="shared" si="65"/>
        <v>0</v>
      </c>
      <c r="AF265" s="385"/>
    </row>
    <row r="266" spans="2:32" s="1" customFormat="1" ht="13" hidden="1" x14ac:dyDescent="0.3">
      <c r="B266" s="383">
        <v>2026</v>
      </c>
      <c r="C266" s="361" t="s">
        <v>413</v>
      </c>
      <c r="D266" s="361" t="s">
        <v>162</v>
      </c>
      <c r="E266" s="360" t="s">
        <v>88</v>
      </c>
      <c r="F266" s="360" t="s">
        <v>80</v>
      </c>
      <c r="G266" s="362">
        <v>46218</v>
      </c>
      <c r="H266" s="363">
        <v>3866</v>
      </c>
      <c r="I266" s="360" t="s">
        <v>175</v>
      </c>
      <c r="J266" s="364" t="str">
        <f>IFERROR(VLOOKUP(I266,Map!$F$18:$G$56,2,0),"Add in Map")</f>
        <v>3P</v>
      </c>
      <c r="K266" s="364" t="str">
        <f>VLOOKUP(L266,Map!$C$18:$D$29,2,0)</f>
        <v>DLT</v>
      </c>
      <c r="L266" s="360" t="s">
        <v>52</v>
      </c>
      <c r="M266" s="365">
        <v>7190.9674529434978</v>
      </c>
      <c r="N266" s="366">
        <f t="shared" si="66"/>
        <v>0</v>
      </c>
      <c r="O266" s="366">
        <f t="shared" si="67"/>
        <v>8557.2512690027615</v>
      </c>
      <c r="P266" s="367">
        <f t="shared" si="68"/>
        <v>7.7908639793537358</v>
      </c>
      <c r="Q266" s="367">
        <f t="shared" si="69"/>
        <v>0</v>
      </c>
      <c r="R266" s="368">
        <f t="shared" si="63"/>
        <v>9.2711281354309456</v>
      </c>
      <c r="S266" s="384">
        <f>INDEX(FX!$D$3:$O$19,MATCH(B266,FX!$B$3:$B$32,0),MATCH(D266,FX!$D$2:$O$2,0))</f>
        <v>923</v>
      </c>
      <c r="T266" s="360" t="s">
        <v>144</v>
      </c>
      <c r="U266" s="360" t="s">
        <v>32</v>
      </c>
      <c r="V266" s="360" t="s">
        <v>83</v>
      </c>
      <c r="W266" s="364" t="str">
        <f>VLOOKUP(I266,Map!$F$18:$H$51,3,0)</f>
        <v>Variable</v>
      </c>
      <c r="X266" s="370" t="s">
        <v>149</v>
      </c>
      <c r="Y266" s="364" t="str">
        <f>VLOOKUP(L266,Map!$C$18:$D$29,2,0)</f>
        <v>DLT</v>
      </c>
      <c r="Z266" s="365">
        <v>6291.559225385914</v>
      </c>
      <c r="AA266" s="366">
        <f t="shared" si="60"/>
        <v>0</v>
      </c>
      <c r="AB266" s="366">
        <f t="shared" si="64"/>
        <v>7486.9554782092373</v>
      </c>
      <c r="AC266" s="367">
        <f t="shared" si="61"/>
        <v>6.8164238628233091</v>
      </c>
      <c r="AD266" s="367">
        <f t="shared" si="62"/>
        <v>0</v>
      </c>
      <c r="AE266" s="368">
        <f t="shared" si="65"/>
        <v>8.1115443967597383</v>
      </c>
      <c r="AF266" s="385"/>
    </row>
    <row r="267" spans="2:32" s="1" customFormat="1" ht="13" hidden="1" x14ac:dyDescent="0.3">
      <c r="B267" s="383">
        <v>2026</v>
      </c>
      <c r="C267" s="361" t="s">
        <v>413</v>
      </c>
      <c r="D267" s="361" t="s">
        <v>162</v>
      </c>
      <c r="E267" s="360" t="s">
        <v>88</v>
      </c>
      <c r="F267" s="360" t="s">
        <v>80</v>
      </c>
      <c r="G267" s="362">
        <v>46218</v>
      </c>
      <c r="H267" s="363">
        <v>3866</v>
      </c>
      <c r="I267" s="360" t="s">
        <v>175</v>
      </c>
      <c r="J267" s="364" t="str">
        <f>IFERROR(VLOOKUP(I267,Map!$F$18:$G$56,2,0),"Add in Map")</f>
        <v>3P</v>
      </c>
      <c r="K267" s="364" t="str">
        <f>VLOOKUP(L267,Map!$C$18:$D$29,2,0)</f>
        <v>DMT</v>
      </c>
      <c r="L267" s="360" t="s">
        <v>54</v>
      </c>
      <c r="M267" s="365">
        <v>0</v>
      </c>
      <c r="N267" s="366">
        <f t="shared" si="66"/>
        <v>0</v>
      </c>
      <c r="O267" s="366">
        <f t="shared" si="67"/>
        <v>0</v>
      </c>
      <c r="P267" s="386">
        <f t="shared" si="68"/>
        <v>0</v>
      </c>
      <c r="Q267" s="367">
        <f t="shared" si="69"/>
        <v>0</v>
      </c>
      <c r="R267" s="368">
        <f t="shared" si="63"/>
        <v>0</v>
      </c>
      <c r="S267" s="384">
        <f>INDEX(FX!$D$3:$O$19,MATCH(B267,FX!$B$3:$B$32,0),MATCH(D267,FX!$D$2:$O$2,0))</f>
        <v>923</v>
      </c>
      <c r="T267" s="360" t="s">
        <v>144</v>
      </c>
      <c r="U267" s="360" t="s">
        <v>32</v>
      </c>
      <c r="V267" s="360" t="s">
        <v>83</v>
      </c>
      <c r="W267" s="364" t="str">
        <f>VLOOKUP(I267,Map!$F$18:$H$51,3,0)</f>
        <v>Variable</v>
      </c>
      <c r="X267" s="370" t="s">
        <v>149</v>
      </c>
      <c r="Y267" s="364" t="str">
        <f>VLOOKUP(L267,Map!$C$18:$D$29,2,0)</f>
        <v>DMT</v>
      </c>
      <c r="Z267" s="365">
        <v>0</v>
      </c>
      <c r="AA267" s="366">
        <f t="shared" si="60"/>
        <v>0</v>
      </c>
      <c r="AB267" s="366">
        <f t="shared" si="64"/>
        <v>0</v>
      </c>
      <c r="AC267" s="386">
        <f t="shared" si="61"/>
        <v>0</v>
      </c>
      <c r="AD267" s="367">
        <f t="shared" si="62"/>
        <v>0</v>
      </c>
      <c r="AE267" s="368">
        <f t="shared" si="65"/>
        <v>0</v>
      </c>
      <c r="AF267" s="385"/>
    </row>
    <row r="268" spans="2:32" s="37" customFormat="1" hidden="1" x14ac:dyDescent="0.35">
      <c r="B268" s="387">
        <v>2026</v>
      </c>
      <c r="C268" s="389" t="s">
        <v>413</v>
      </c>
      <c r="D268" s="389" t="s">
        <v>162</v>
      </c>
      <c r="E268" s="388" t="s">
        <v>88</v>
      </c>
      <c r="F268" s="388" t="s">
        <v>80</v>
      </c>
      <c r="G268" s="390">
        <v>46218</v>
      </c>
      <c r="H268" s="391">
        <v>3866</v>
      </c>
      <c r="I268" s="388" t="s">
        <v>175</v>
      </c>
      <c r="J268" s="392" t="str">
        <f>IFERROR(VLOOKUP(I268,Map!$F$18:$G$56,2,0),"Add in Map")</f>
        <v>3P</v>
      </c>
      <c r="K268" s="392" t="str">
        <f>VLOOKUP(L268,Map!$C$18:$D$29,2,0)</f>
        <v>TOTAL</v>
      </c>
      <c r="L268" s="388" t="s">
        <v>56</v>
      </c>
      <c r="M268" s="393">
        <f>SUM(M257:M267)</f>
        <v>6642066</v>
      </c>
      <c r="N268" s="393">
        <f t="shared" si="66"/>
        <v>1261992.54</v>
      </c>
      <c r="O268" s="393">
        <f t="shared" si="67"/>
        <v>7904058.54</v>
      </c>
      <c r="P268" s="394">
        <f t="shared" si="68"/>
        <v>7196.1711809317439</v>
      </c>
      <c r="Q268" s="394">
        <f t="shared" si="69"/>
        <v>1367.2725243770315</v>
      </c>
      <c r="R268" s="395">
        <f t="shared" si="63"/>
        <v>8563.443705308775</v>
      </c>
      <c r="S268" s="396">
        <f>INDEX(FX!$D$3:$O$19,MATCH(B268,FX!$B$3:$B$32,0),MATCH(D268,FX!$D$2:$O$2,0))</f>
        <v>923</v>
      </c>
      <c r="T268" s="388" t="s">
        <v>144</v>
      </c>
      <c r="U268" s="388" t="s">
        <v>32</v>
      </c>
      <c r="V268" s="388" t="s">
        <v>83</v>
      </c>
      <c r="W268" s="392" t="str">
        <f>VLOOKUP(I268,Map!$F$18:$H$51,3,0)</f>
        <v>Variable</v>
      </c>
      <c r="X268" s="397" t="s">
        <v>149</v>
      </c>
      <c r="Y268" s="392" t="str">
        <f>VLOOKUP(L268,Map!$C$18:$D$29,2,0)</f>
        <v>TOTAL</v>
      </c>
      <c r="Z268" s="393">
        <f>SUM(Z257:Z267)</f>
        <v>5811311.4669732703</v>
      </c>
      <c r="AA268" s="393">
        <f t="shared" si="60"/>
        <v>1104149.1787249213</v>
      </c>
      <c r="AB268" s="393">
        <f t="shared" si="64"/>
        <v>6915460.6456981916</v>
      </c>
      <c r="AC268" s="394">
        <f t="shared" si="61"/>
        <v>6296.1120985625894</v>
      </c>
      <c r="AD268" s="394">
        <f t="shared" si="62"/>
        <v>1196.2612987268919</v>
      </c>
      <c r="AE268" s="395">
        <f t="shared" si="65"/>
        <v>7492.3733972894806</v>
      </c>
      <c r="AF268" s="398"/>
    </row>
    <row r="269" spans="2:32" s="5" customFormat="1" ht="13" hidden="1" x14ac:dyDescent="0.3">
      <c r="B269" s="400">
        <v>2026</v>
      </c>
      <c r="C269" s="402" t="s">
        <v>413</v>
      </c>
      <c r="D269" s="402" t="s">
        <v>162</v>
      </c>
      <c r="E269" s="401" t="s">
        <v>88</v>
      </c>
      <c r="F269" s="401" t="s">
        <v>80</v>
      </c>
      <c r="G269" s="403">
        <v>46218</v>
      </c>
      <c r="H269" s="404">
        <v>3866</v>
      </c>
      <c r="I269" s="401" t="s">
        <v>175</v>
      </c>
      <c r="J269" s="405" t="str">
        <f>IFERROR(VLOOKUP(I269,Map!$F$18:$G$56,2,0),"Add in Map")</f>
        <v>3P</v>
      </c>
      <c r="K269" s="405" t="str">
        <f>VLOOKUP(L269,Map!$C$18:$D$29,2,0)</f>
        <v>CNT</v>
      </c>
      <c r="L269" s="401" t="s">
        <v>31</v>
      </c>
      <c r="M269" s="406"/>
      <c r="N269" s="407">
        <f t="shared" si="66"/>
        <v>0</v>
      </c>
      <c r="O269" s="407">
        <f t="shared" si="67"/>
        <v>0</v>
      </c>
      <c r="P269" s="408">
        <f t="shared" si="68"/>
        <v>0</v>
      </c>
      <c r="Q269" s="408">
        <f t="shared" si="69"/>
        <v>0</v>
      </c>
      <c r="R269" s="409">
        <f t="shared" si="63"/>
        <v>0</v>
      </c>
      <c r="S269" s="410">
        <f>INDEX(FX!$D$3:$O$19,MATCH(B269,FX!$B$3:$B$32,0),MATCH(D269,FX!$D$2:$O$2,0))</f>
        <v>923</v>
      </c>
      <c r="T269" s="401" t="s">
        <v>142</v>
      </c>
      <c r="U269" s="401" t="s">
        <v>32</v>
      </c>
      <c r="V269" s="401" t="s">
        <v>83</v>
      </c>
      <c r="W269" s="405" t="str">
        <f>VLOOKUP(I269,Map!$F$18:$H$51,3,0)</f>
        <v>Variable</v>
      </c>
      <c r="X269" s="411" t="s">
        <v>149</v>
      </c>
      <c r="Y269" s="405" t="str">
        <f>VLOOKUP(L269,Map!$C$18:$D$29,2,0)</f>
        <v>CNT</v>
      </c>
      <c r="Z269" s="406">
        <v>747808.45054630388</v>
      </c>
      <c r="AA269" s="407">
        <f t="shared" si="60"/>
        <v>0</v>
      </c>
      <c r="AB269" s="407">
        <f t="shared" si="64"/>
        <v>889892.05615010159</v>
      </c>
      <c r="AC269" s="408">
        <f t="shared" si="61"/>
        <v>810.19333753662397</v>
      </c>
      <c r="AD269" s="408">
        <f t="shared" si="62"/>
        <v>0</v>
      </c>
      <c r="AE269" s="409">
        <f t="shared" si="65"/>
        <v>964.13007166858245</v>
      </c>
      <c r="AF269" s="412"/>
    </row>
    <row r="270" spans="2:32" s="1" customFormat="1" ht="13" hidden="1" x14ac:dyDescent="0.3">
      <c r="B270" s="383">
        <v>2026</v>
      </c>
      <c r="C270" s="361" t="s">
        <v>413</v>
      </c>
      <c r="D270" s="361" t="s">
        <v>162</v>
      </c>
      <c r="E270" s="360" t="s">
        <v>88</v>
      </c>
      <c r="F270" s="360" t="s">
        <v>80</v>
      </c>
      <c r="G270" s="362">
        <v>46218</v>
      </c>
      <c r="H270" s="363">
        <v>3866</v>
      </c>
      <c r="I270" s="360" t="s">
        <v>175</v>
      </c>
      <c r="J270" s="364" t="str">
        <f>IFERROR(VLOOKUP(I270,Map!$F$18:$G$56,2,0),"Add in Map")</f>
        <v>3P</v>
      </c>
      <c r="K270" s="364" t="str">
        <f>VLOOKUP(L270,Map!$C$18:$D$29,2,0)</f>
        <v>CVT</v>
      </c>
      <c r="L270" s="360" t="s">
        <v>36</v>
      </c>
      <c r="M270" s="365"/>
      <c r="N270" s="366">
        <f t="shared" si="66"/>
        <v>0</v>
      </c>
      <c r="O270" s="366">
        <f t="shared" si="67"/>
        <v>0</v>
      </c>
      <c r="P270" s="367">
        <f t="shared" si="68"/>
        <v>0</v>
      </c>
      <c r="Q270" s="367">
        <f t="shared" si="69"/>
        <v>0</v>
      </c>
      <c r="R270" s="368">
        <f t="shared" si="63"/>
        <v>0</v>
      </c>
      <c r="S270" s="384">
        <f>INDEX(FX!$D$3:$O$19,MATCH(B270,FX!$B$3:$B$32,0),MATCH(D270,FX!$D$2:$O$2,0))</f>
        <v>923</v>
      </c>
      <c r="T270" s="360" t="s">
        <v>142</v>
      </c>
      <c r="U270" s="360" t="s">
        <v>32</v>
      </c>
      <c r="V270" s="360" t="s">
        <v>83</v>
      </c>
      <c r="W270" s="364" t="str">
        <f>VLOOKUP(I270,Map!$F$18:$H$51,3,0)</f>
        <v>Variable</v>
      </c>
      <c r="X270" s="370" t="s">
        <v>149</v>
      </c>
      <c r="Y270" s="364" t="str">
        <f>VLOOKUP(L270,Map!$C$18:$D$29,2,0)</f>
        <v>CVT</v>
      </c>
      <c r="Z270" s="365">
        <v>0</v>
      </c>
      <c r="AA270" s="366">
        <f t="shared" si="60"/>
        <v>0</v>
      </c>
      <c r="AB270" s="366">
        <f t="shared" si="64"/>
        <v>0</v>
      </c>
      <c r="AC270" s="367">
        <f t="shared" si="61"/>
        <v>0</v>
      </c>
      <c r="AD270" s="367">
        <f t="shared" si="62"/>
        <v>0</v>
      </c>
      <c r="AE270" s="368">
        <f t="shared" si="65"/>
        <v>0</v>
      </c>
      <c r="AF270" s="385"/>
    </row>
    <row r="271" spans="2:32" s="1" customFormat="1" ht="13" hidden="1" x14ac:dyDescent="0.3">
      <c r="B271" s="383">
        <v>2026</v>
      </c>
      <c r="C271" s="361" t="s">
        <v>413</v>
      </c>
      <c r="D271" s="361" t="s">
        <v>162</v>
      </c>
      <c r="E271" s="360" t="s">
        <v>88</v>
      </c>
      <c r="F271" s="360" t="s">
        <v>80</v>
      </c>
      <c r="G271" s="362">
        <v>46218</v>
      </c>
      <c r="H271" s="363">
        <v>3866</v>
      </c>
      <c r="I271" s="360" t="s">
        <v>175</v>
      </c>
      <c r="J271" s="364" t="str">
        <f>IFERROR(VLOOKUP(I271,Map!$F$18:$G$56,2,0),"Add in Map")</f>
        <v>3P</v>
      </c>
      <c r="K271" s="364" t="str">
        <f>VLOOKUP(L271,Map!$C$18:$D$29,2,0)</f>
        <v>CDT</v>
      </c>
      <c r="L271" s="360" t="s">
        <v>38</v>
      </c>
      <c r="M271" s="365"/>
      <c r="N271" s="366">
        <f t="shared" si="66"/>
        <v>0</v>
      </c>
      <c r="O271" s="366">
        <f t="shared" si="67"/>
        <v>0</v>
      </c>
      <c r="P271" s="367">
        <f t="shared" si="68"/>
        <v>0</v>
      </c>
      <c r="Q271" s="367">
        <f t="shared" si="69"/>
        <v>0</v>
      </c>
      <c r="R271" s="368">
        <f t="shared" si="63"/>
        <v>0</v>
      </c>
      <c r="S271" s="384">
        <f>INDEX(FX!$D$3:$O$19,MATCH(B271,FX!$B$3:$B$32,0),MATCH(D271,FX!$D$2:$O$2,0))</f>
        <v>923</v>
      </c>
      <c r="T271" s="360" t="s">
        <v>142</v>
      </c>
      <c r="U271" s="360" t="s">
        <v>32</v>
      </c>
      <c r="V271" s="360" t="s">
        <v>83</v>
      </c>
      <c r="W271" s="364" t="str">
        <f>VLOOKUP(I271,Map!$F$18:$H$51,3,0)</f>
        <v>Variable</v>
      </c>
      <c r="X271" s="370" t="s">
        <v>149</v>
      </c>
      <c r="Y271" s="364" t="str">
        <f>VLOOKUP(L271,Map!$C$18:$D$29,2,0)</f>
        <v>CDT</v>
      </c>
      <c r="Z271" s="365">
        <v>0</v>
      </c>
      <c r="AA271" s="366">
        <f t="shared" si="60"/>
        <v>0</v>
      </c>
      <c r="AB271" s="366">
        <f t="shared" si="64"/>
        <v>0</v>
      </c>
      <c r="AC271" s="367">
        <f t="shared" si="61"/>
        <v>0</v>
      </c>
      <c r="AD271" s="367">
        <f t="shared" si="62"/>
        <v>0</v>
      </c>
      <c r="AE271" s="368">
        <f t="shared" si="65"/>
        <v>0</v>
      </c>
      <c r="AF271" s="385"/>
    </row>
    <row r="272" spans="2:32" s="1" customFormat="1" ht="13" hidden="1" x14ac:dyDescent="0.3">
      <c r="B272" s="383">
        <v>2026</v>
      </c>
      <c r="C272" s="361" t="s">
        <v>413</v>
      </c>
      <c r="D272" s="361" t="s">
        <v>162</v>
      </c>
      <c r="E272" s="360" t="s">
        <v>88</v>
      </c>
      <c r="F272" s="360" t="s">
        <v>80</v>
      </c>
      <c r="G272" s="362">
        <v>46218</v>
      </c>
      <c r="H272" s="363">
        <v>3866</v>
      </c>
      <c r="I272" s="360" t="s">
        <v>175</v>
      </c>
      <c r="J272" s="364" t="str">
        <f>IFERROR(VLOOKUP(I272,Map!$F$18:$G$56,2,0),"Add in Map")</f>
        <v>3P</v>
      </c>
      <c r="K272" s="364" t="str">
        <f>VLOOKUP(L272,Map!$C$18:$D$29,2,0)</f>
        <v>DFT</v>
      </c>
      <c r="L272" s="360" t="s">
        <v>40</v>
      </c>
      <c r="M272" s="365"/>
      <c r="N272" s="366">
        <f t="shared" si="66"/>
        <v>0</v>
      </c>
      <c r="O272" s="366">
        <f t="shared" si="67"/>
        <v>0</v>
      </c>
      <c r="P272" s="367">
        <f t="shared" si="68"/>
        <v>0</v>
      </c>
      <c r="Q272" s="367">
        <f t="shared" si="69"/>
        <v>0</v>
      </c>
      <c r="R272" s="368">
        <f t="shared" si="63"/>
        <v>0</v>
      </c>
      <c r="S272" s="384">
        <f>INDEX(FX!$D$3:$O$19,MATCH(B272,FX!$B$3:$B$32,0),MATCH(D272,FX!$D$2:$O$2,0))</f>
        <v>923</v>
      </c>
      <c r="T272" s="360" t="s">
        <v>142</v>
      </c>
      <c r="U272" s="360" t="s">
        <v>32</v>
      </c>
      <c r="V272" s="360" t="s">
        <v>83</v>
      </c>
      <c r="W272" s="364" t="str">
        <f>VLOOKUP(I272,Map!$F$18:$H$51,3,0)</f>
        <v>Variable</v>
      </c>
      <c r="X272" s="370" t="s">
        <v>149</v>
      </c>
      <c r="Y272" s="364" t="str">
        <f>VLOOKUP(L272,Map!$C$18:$D$29,2,0)</f>
        <v>DFT</v>
      </c>
      <c r="Z272" s="365">
        <v>534684.96422193025</v>
      </c>
      <c r="AA272" s="366">
        <f t="shared" si="60"/>
        <v>0</v>
      </c>
      <c r="AB272" s="366">
        <f t="shared" si="64"/>
        <v>636275.10742409702</v>
      </c>
      <c r="AC272" s="367">
        <f t="shared" si="61"/>
        <v>579.29031876698832</v>
      </c>
      <c r="AD272" s="367">
        <f t="shared" si="62"/>
        <v>0</v>
      </c>
      <c r="AE272" s="368">
        <f t="shared" si="65"/>
        <v>689.35547933271607</v>
      </c>
      <c r="AF272" s="385"/>
    </row>
    <row r="273" spans="2:32" s="1" customFormat="1" ht="13" hidden="1" x14ac:dyDescent="0.3">
      <c r="B273" s="383">
        <v>2026</v>
      </c>
      <c r="C273" s="361" t="s">
        <v>413</v>
      </c>
      <c r="D273" s="361" t="s">
        <v>162</v>
      </c>
      <c r="E273" s="360" t="s">
        <v>88</v>
      </c>
      <c r="F273" s="360" t="s">
        <v>80</v>
      </c>
      <c r="G273" s="362">
        <v>46218</v>
      </c>
      <c r="H273" s="363">
        <v>3866</v>
      </c>
      <c r="I273" s="360" t="s">
        <v>175</v>
      </c>
      <c r="J273" s="364" t="str">
        <f>IFERROR(VLOOKUP(I273,Map!$F$18:$G$56,2,0),"Add in Map")</f>
        <v>3P</v>
      </c>
      <c r="K273" s="364" t="str">
        <f>VLOOKUP(L273,Map!$C$18:$D$29,2,0)</f>
        <v>DVT</v>
      </c>
      <c r="L273" s="360" t="s">
        <v>42</v>
      </c>
      <c r="M273" s="365"/>
      <c r="N273" s="366">
        <f t="shared" si="66"/>
        <v>0</v>
      </c>
      <c r="O273" s="366">
        <f t="shared" si="67"/>
        <v>0</v>
      </c>
      <c r="P273" s="367">
        <f t="shared" si="68"/>
        <v>0</v>
      </c>
      <c r="Q273" s="367">
        <f t="shared" si="69"/>
        <v>0</v>
      </c>
      <c r="R273" s="368">
        <f t="shared" si="63"/>
        <v>0</v>
      </c>
      <c r="S273" s="384">
        <f>INDEX(FX!$D$3:$O$19,MATCH(B273,FX!$B$3:$B$32,0),MATCH(D273,FX!$D$2:$O$2,0))</f>
        <v>923</v>
      </c>
      <c r="T273" s="360" t="s">
        <v>142</v>
      </c>
      <c r="U273" s="360" t="s">
        <v>32</v>
      </c>
      <c r="V273" s="360" t="s">
        <v>83</v>
      </c>
      <c r="W273" s="364" t="str">
        <f>VLOOKUP(I273,Map!$F$18:$H$51,3,0)</f>
        <v>Variable</v>
      </c>
      <c r="X273" s="370" t="s">
        <v>149</v>
      </c>
      <c r="Y273" s="364" t="str">
        <f>VLOOKUP(L273,Map!$C$18:$D$29,2,0)</f>
        <v>DVT</v>
      </c>
      <c r="Z273" s="365">
        <v>0</v>
      </c>
      <c r="AA273" s="366">
        <f t="shared" ref="AA273:AA336" si="70">IF(Y273="TOTAL",(Z273*0.19),0)</f>
        <v>0</v>
      </c>
      <c r="AB273" s="366">
        <f t="shared" si="64"/>
        <v>0</v>
      </c>
      <c r="AC273" s="367">
        <f t="shared" ref="AC273:AC336" si="71">Z273/S273</f>
        <v>0</v>
      </c>
      <c r="AD273" s="367">
        <f t="shared" ref="AD273:AD336" si="72">IF(Y273="TOTAL",(AC273*0.19),0)</f>
        <v>0</v>
      </c>
      <c r="AE273" s="368">
        <f t="shared" si="65"/>
        <v>0</v>
      </c>
      <c r="AF273" s="385"/>
    </row>
    <row r="274" spans="2:32" s="1" customFormat="1" ht="13" hidden="1" x14ac:dyDescent="0.3">
      <c r="B274" s="383">
        <v>2026</v>
      </c>
      <c r="C274" s="361" t="s">
        <v>413</v>
      </c>
      <c r="D274" s="361" t="s">
        <v>162</v>
      </c>
      <c r="E274" s="360" t="s">
        <v>88</v>
      </c>
      <c r="F274" s="360" t="s">
        <v>80</v>
      </c>
      <c r="G274" s="362">
        <v>46218</v>
      </c>
      <c r="H274" s="363">
        <v>3866</v>
      </c>
      <c r="I274" s="360" t="s">
        <v>175</v>
      </c>
      <c r="J274" s="364" t="str">
        <f>IFERROR(VLOOKUP(I274,Map!$F$18:$G$56,2,0),"Add in Map")</f>
        <v>3P</v>
      </c>
      <c r="K274" s="364" t="str">
        <f>VLOOKUP(L274,Map!$C$18:$D$29,2,0)</f>
        <v>GLT</v>
      </c>
      <c r="L274" s="360" t="s">
        <v>44</v>
      </c>
      <c r="M274" s="365"/>
      <c r="N274" s="366">
        <f t="shared" si="66"/>
        <v>0</v>
      </c>
      <c r="O274" s="366">
        <f t="shared" si="67"/>
        <v>0</v>
      </c>
      <c r="P274" s="367">
        <f t="shared" si="68"/>
        <v>0</v>
      </c>
      <c r="Q274" s="367">
        <f t="shared" si="69"/>
        <v>0</v>
      </c>
      <c r="R274" s="368">
        <f t="shared" ref="R274:R337" si="73">P274*1.19</f>
        <v>0</v>
      </c>
      <c r="S274" s="384">
        <f>INDEX(FX!$D$3:$O$19,MATCH(B274,FX!$B$3:$B$32,0),MATCH(D274,FX!$D$2:$O$2,0))</f>
        <v>923</v>
      </c>
      <c r="T274" s="360" t="s">
        <v>142</v>
      </c>
      <c r="U274" s="360" t="s">
        <v>32</v>
      </c>
      <c r="V274" s="360" t="s">
        <v>83</v>
      </c>
      <c r="W274" s="364" t="str">
        <f>VLOOKUP(I274,Map!$F$18:$H$51,3,0)</f>
        <v>Variable</v>
      </c>
      <c r="X274" s="370" t="s">
        <v>149</v>
      </c>
      <c r="Y274" s="364" t="str">
        <f>VLOOKUP(L274,Map!$C$18:$D$29,2,0)</f>
        <v>GLT</v>
      </c>
      <c r="Z274" s="365">
        <v>460972.51150068926</v>
      </c>
      <c r="AA274" s="366">
        <f t="shared" si="70"/>
        <v>0</v>
      </c>
      <c r="AB274" s="366">
        <f t="shared" ref="AB274:AB337" si="74">Z274*1.19</f>
        <v>548557.28868582018</v>
      </c>
      <c r="AC274" s="367">
        <f t="shared" si="71"/>
        <v>499.4285065012885</v>
      </c>
      <c r="AD274" s="367">
        <f t="shared" si="72"/>
        <v>0</v>
      </c>
      <c r="AE274" s="368">
        <f t="shared" ref="AE274:AE337" si="75">AC274*1.19</f>
        <v>594.31992273653327</v>
      </c>
      <c r="AF274" s="385"/>
    </row>
    <row r="275" spans="2:32" s="1" customFormat="1" ht="13" hidden="1" x14ac:dyDescent="0.3">
      <c r="B275" s="383">
        <v>2026</v>
      </c>
      <c r="C275" s="361" t="s">
        <v>413</v>
      </c>
      <c r="D275" s="361" t="s">
        <v>162</v>
      </c>
      <c r="E275" s="360" t="s">
        <v>88</v>
      </c>
      <c r="F275" s="360" t="s">
        <v>80</v>
      </c>
      <c r="G275" s="362">
        <v>46218</v>
      </c>
      <c r="H275" s="363">
        <v>3866</v>
      </c>
      <c r="I275" s="360" t="s">
        <v>175</v>
      </c>
      <c r="J275" s="364" t="str">
        <f>IFERROR(VLOOKUP(I275,Map!$F$18:$G$56,2,0),"Add in Map")</f>
        <v>3P</v>
      </c>
      <c r="K275" s="364" t="str">
        <f>VLOOKUP(L275,Map!$C$18:$D$29,2,0)</f>
        <v>PNT</v>
      </c>
      <c r="L275" s="360" t="s">
        <v>46</v>
      </c>
      <c r="M275" s="365"/>
      <c r="N275" s="366">
        <f t="shared" si="66"/>
        <v>0</v>
      </c>
      <c r="O275" s="366">
        <f t="shared" si="67"/>
        <v>0</v>
      </c>
      <c r="P275" s="367">
        <f t="shared" si="68"/>
        <v>0</v>
      </c>
      <c r="Q275" s="367">
        <f t="shared" si="69"/>
        <v>0</v>
      </c>
      <c r="R275" s="368">
        <f t="shared" si="73"/>
        <v>0</v>
      </c>
      <c r="S275" s="384">
        <f>INDEX(FX!$D$3:$O$19,MATCH(B275,FX!$B$3:$B$32,0),MATCH(D275,FX!$D$2:$O$2,0))</f>
        <v>923</v>
      </c>
      <c r="T275" s="360" t="s">
        <v>142</v>
      </c>
      <c r="U275" s="360" t="s">
        <v>32</v>
      </c>
      <c r="V275" s="360" t="s">
        <v>83</v>
      </c>
      <c r="W275" s="364" t="str">
        <f>VLOOKUP(I275,Map!$F$18:$H$51,3,0)</f>
        <v>Variable</v>
      </c>
      <c r="X275" s="370" t="s">
        <v>149</v>
      </c>
      <c r="Y275" s="364" t="str">
        <f>VLOOKUP(L275,Map!$C$18:$D$29,2,0)</f>
        <v>PNT</v>
      </c>
      <c r="Z275" s="365">
        <v>0</v>
      </c>
      <c r="AA275" s="366">
        <f t="shared" si="70"/>
        <v>0</v>
      </c>
      <c r="AB275" s="366">
        <f t="shared" si="74"/>
        <v>0</v>
      </c>
      <c r="AC275" s="367">
        <f t="shared" si="71"/>
        <v>0</v>
      </c>
      <c r="AD275" s="367">
        <f t="shared" si="72"/>
        <v>0</v>
      </c>
      <c r="AE275" s="368">
        <f t="shared" si="75"/>
        <v>0</v>
      </c>
      <c r="AF275" s="385"/>
    </row>
    <row r="276" spans="2:32" s="1" customFormat="1" ht="13" hidden="1" x14ac:dyDescent="0.3">
      <c r="B276" s="383">
        <v>2026</v>
      </c>
      <c r="C276" s="361" t="s">
        <v>413</v>
      </c>
      <c r="D276" s="361" t="s">
        <v>162</v>
      </c>
      <c r="E276" s="360" t="s">
        <v>88</v>
      </c>
      <c r="F276" s="360" t="s">
        <v>80</v>
      </c>
      <c r="G276" s="362">
        <v>46218</v>
      </c>
      <c r="H276" s="363">
        <v>3866</v>
      </c>
      <c r="I276" s="360" t="s">
        <v>175</v>
      </c>
      <c r="J276" s="364" t="str">
        <f>IFERROR(VLOOKUP(I276,Map!$F$18:$G$56,2,0),"Add in Map")</f>
        <v>3P</v>
      </c>
      <c r="K276" s="364" t="str">
        <f>VLOOKUP(L276,Map!$C$18:$D$29,2,0)</f>
        <v>GTT</v>
      </c>
      <c r="L276" s="360" t="s">
        <v>48</v>
      </c>
      <c r="M276" s="365"/>
      <c r="N276" s="366">
        <f t="shared" si="66"/>
        <v>0</v>
      </c>
      <c r="O276" s="366">
        <f t="shared" si="67"/>
        <v>0</v>
      </c>
      <c r="P276" s="367">
        <f t="shared" si="68"/>
        <v>0</v>
      </c>
      <c r="Q276" s="367">
        <f t="shared" si="69"/>
        <v>0</v>
      </c>
      <c r="R276" s="368">
        <f t="shared" si="73"/>
        <v>0</v>
      </c>
      <c r="S276" s="384">
        <f>INDEX(FX!$D$3:$O$19,MATCH(B276,FX!$B$3:$B$32,0),MATCH(D276,FX!$D$2:$O$2,0))</f>
        <v>923</v>
      </c>
      <c r="T276" s="360" t="s">
        <v>142</v>
      </c>
      <c r="U276" s="360" t="s">
        <v>32</v>
      </c>
      <c r="V276" s="360" t="s">
        <v>83</v>
      </c>
      <c r="W276" s="364" t="str">
        <f>VLOOKUP(I276,Map!$F$18:$H$51,3,0)</f>
        <v>Variable</v>
      </c>
      <c r="X276" s="370" t="s">
        <v>149</v>
      </c>
      <c r="Y276" s="364" t="str">
        <f>VLOOKUP(L276,Map!$C$18:$D$29,2,0)</f>
        <v>GTT</v>
      </c>
      <c r="Z276" s="365">
        <v>7297.9508308344912</v>
      </c>
      <c r="AA276" s="366">
        <f t="shared" si="70"/>
        <v>0</v>
      </c>
      <c r="AB276" s="366">
        <f t="shared" si="74"/>
        <v>8684.5614886930434</v>
      </c>
      <c r="AC276" s="367">
        <f t="shared" si="71"/>
        <v>7.9067722977621786</v>
      </c>
      <c r="AD276" s="367">
        <f t="shared" si="72"/>
        <v>0</v>
      </c>
      <c r="AE276" s="368">
        <f t="shared" si="75"/>
        <v>9.4090590343369929</v>
      </c>
      <c r="AF276" s="385"/>
    </row>
    <row r="277" spans="2:32" s="1" customFormat="1" ht="13" hidden="1" x14ac:dyDescent="0.3">
      <c r="B277" s="383">
        <v>2026</v>
      </c>
      <c r="C277" s="361" t="s">
        <v>413</v>
      </c>
      <c r="D277" s="361" t="s">
        <v>162</v>
      </c>
      <c r="E277" s="360" t="s">
        <v>88</v>
      </c>
      <c r="F277" s="360" t="s">
        <v>80</v>
      </c>
      <c r="G277" s="362">
        <v>46218</v>
      </c>
      <c r="H277" s="363">
        <v>3866</v>
      </c>
      <c r="I277" s="360" t="s">
        <v>175</v>
      </c>
      <c r="J277" s="364" t="str">
        <f>IFERROR(VLOOKUP(I277,Map!$F$18:$G$56,2,0),"Add in Map")</f>
        <v>3P</v>
      </c>
      <c r="K277" s="364" t="str">
        <f>VLOOKUP(L277,Map!$C$18:$D$29,2,0)</f>
        <v>DGT</v>
      </c>
      <c r="L277" s="360" t="s">
        <v>50</v>
      </c>
      <c r="M277" s="365"/>
      <c r="N277" s="366">
        <f t="shared" si="66"/>
        <v>0</v>
      </c>
      <c r="O277" s="366">
        <f t="shared" si="67"/>
        <v>0</v>
      </c>
      <c r="P277" s="367">
        <f t="shared" si="68"/>
        <v>0</v>
      </c>
      <c r="Q277" s="367">
        <f t="shared" si="69"/>
        <v>0</v>
      </c>
      <c r="R277" s="368">
        <f t="shared" si="73"/>
        <v>0</v>
      </c>
      <c r="S277" s="384">
        <f>INDEX(FX!$D$3:$O$19,MATCH(B277,FX!$B$3:$B$32,0),MATCH(D277,FX!$D$2:$O$2,0))</f>
        <v>923</v>
      </c>
      <c r="T277" s="360" t="s">
        <v>142</v>
      </c>
      <c r="U277" s="360" t="s">
        <v>32</v>
      </c>
      <c r="V277" s="360" t="s">
        <v>83</v>
      </c>
      <c r="W277" s="364" t="str">
        <f>VLOOKUP(I277,Map!$F$18:$H$51,3,0)</f>
        <v>Variable</v>
      </c>
      <c r="X277" s="370" t="s">
        <v>149</v>
      </c>
      <c r="Y277" s="364" t="str">
        <f>VLOOKUP(L277,Map!$C$18:$D$29,2,0)</f>
        <v>DGT</v>
      </c>
      <c r="Z277" s="365">
        <v>0</v>
      </c>
      <c r="AA277" s="366">
        <f t="shared" si="70"/>
        <v>0</v>
      </c>
      <c r="AB277" s="366">
        <f t="shared" si="74"/>
        <v>0</v>
      </c>
      <c r="AC277" s="367">
        <f t="shared" si="71"/>
        <v>0</v>
      </c>
      <c r="AD277" s="367">
        <f t="shared" si="72"/>
        <v>0</v>
      </c>
      <c r="AE277" s="368">
        <f t="shared" si="75"/>
        <v>0</v>
      </c>
      <c r="AF277" s="385"/>
    </row>
    <row r="278" spans="2:32" s="1" customFormat="1" ht="13" hidden="1" x14ac:dyDescent="0.3">
      <c r="B278" s="383">
        <v>2026</v>
      </c>
      <c r="C278" s="361" t="s">
        <v>413</v>
      </c>
      <c r="D278" s="361" t="s">
        <v>162</v>
      </c>
      <c r="E278" s="360" t="s">
        <v>88</v>
      </c>
      <c r="F278" s="360" t="s">
        <v>80</v>
      </c>
      <c r="G278" s="362">
        <v>46218</v>
      </c>
      <c r="H278" s="363">
        <v>3866</v>
      </c>
      <c r="I278" s="360" t="s">
        <v>175</v>
      </c>
      <c r="J278" s="364" t="str">
        <f>IFERROR(VLOOKUP(I278,Map!$F$18:$G$56,2,0),"Add in Map")</f>
        <v>3P</v>
      </c>
      <c r="K278" s="364" t="str">
        <f>VLOOKUP(L278,Map!$C$18:$D$29,2,0)</f>
        <v>DLT</v>
      </c>
      <c r="L278" s="360" t="s">
        <v>52</v>
      </c>
      <c r="M278" s="365"/>
      <c r="N278" s="366">
        <f t="shared" si="66"/>
        <v>0</v>
      </c>
      <c r="O278" s="366">
        <f t="shared" si="67"/>
        <v>0</v>
      </c>
      <c r="P278" s="367">
        <f t="shared" si="68"/>
        <v>0</v>
      </c>
      <c r="Q278" s="367">
        <f t="shared" si="69"/>
        <v>0</v>
      </c>
      <c r="R278" s="368">
        <f t="shared" si="73"/>
        <v>0</v>
      </c>
      <c r="S278" s="384">
        <f>INDEX(FX!$D$3:$O$19,MATCH(B278,FX!$B$3:$B$32,0),MATCH(D278,FX!$D$2:$O$2,0))</f>
        <v>923</v>
      </c>
      <c r="T278" s="360" t="s">
        <v>142</v>
      </c>
      <c r="U278" s="360" t="s">
        <v>32</v>
      </c>
      <c r="V278" s="360" t="s">
        <v>83</v>
      </c>
      <c r="W278" s="364" t="str">
        <f>VLOOKUP(I278,Map!$F$18:$H$51,3,0)</f>
        <v>Variable</v>
      </c>
      <c r="X278" s="370" t="s">
        <v>149</v>
      </c>
      <c r="Y278" s="364" t="str">
        <f>VLOOKUP(L278,Map!$C$18:$D$29,2,0)</f>
        <v>DLT</v>
      </c>
      <c r="Z278" s="365">
        <v>1897.5016102421578</v>
      </c>
      <c r="AA278" s="366">
        <f t="shared" si="70"/>
        <v>0</v>
      </c>
      <c r="AB278" s="366">
        <f t="shared" si="74"/>
        <v>2258.0269161881674</v>
      </c>
      <c r="AC278" s="367">
        <f t="shared" si="71"/>
        <v>2.055798060934082</v>
      </c>
      <c r="AD278" s="367">
        <f t="shared" si="72"/>
        <v>0</v>
      </c>
      <c r="AE278" s="368">
        <f t="shared" si="75"/>
        <v>2.4463996925115574</v>
      </c>
      <c r="AF278" s="385"/>
    </row>
    <row r="279" spans="2:32" s="1" customFormat="1" ht="13" hidden="1" x14ac:dyDescent="0.3">
      <c r="B279" s="383">
        <v>2026</v>
      </c>
      <c r="C279" s="361" t="s">
        <v>413</v>
      </c>
      <c r="D279" s="361" t="s">
        <v>162</v>
      </c>
      <c r="E279" s="360" t="s">
        <v>88</v>
      </c>
      <c r="F279" s="360" t="s">
        <v>80</v>
      </c>
      <c r="G279" s="362">
        <v>46218</v>
      </c>
      <c r="H279" s="363">
        <v>3866</v>
      </c>
      <c r="I279" s="360" t="s">
        <v>175</v>
      </c>
      <c r="J279" s="364" t="str">
        <f>IFERROR(VLOOKUP(I279,Map!$F$18:$G$56,2,0),"Add in Map")</f>
        <v>3P</v>
      </c>
      <c r="K279" s="364" t="str">
        <f>VLOOKUP(L279,Map!$C$18:$D$29,2,0)</f>
        <v>DMT</v>
      </c>
      <c r="L279" s="360" t="s">
        <v>54</v>
      </c>
      <c r="M279" s="365"/>
      <c r="N279" s="366">
        <f t="shared" si="66"/>
        <v>0</v>
      </c>
      <c r="O279" s="366">
        <f t="shared" si="67"/>
        <v>0</v>
      </c>
      <c r="P279" s="386">
        <f t="shared" si="68"/>
        <v>0</v>
      </c>
      <c r="Q279" s="367">
        <f t="shared" si="69"/>
        <v>0</v>
      </c>
      <c r="R279" s="368">
        <f t="shared" si="73"/>
        <v>0</v>
      </c>
      <c r="S279" s="384">
        <f>INDEX(FX!$D$3:$O$19,MATCH(B279,FX!$B$3:$B$32,0),MATCH(D279,FX!$D$2:$O$2,0))</f>
        <v>923</v>
      </c>
      <c r="T279" s="360" t="s">
        <v>142</v>
      </c>
      <c r="U279" s="360" t="s">
        <v>32</v>
      </c>
      <c r="V279" s="360" t="s">
        <v>83</v>
      </c>
      <c r="W279" s="364" t="str">
        <f>VLOOKUP(I279,Map!$F$18:$H$51,3,0)</f>
        <v>Variable</v>
      </c>
      <c r="X279" s="370" t="s">
        <v>149</v>
      </c>
      <c r="Y279" s="364" t="str">
        <f>VLOOKUP(L279,Map!$C$18:$D$29,2,0)</f>
        <v>DMT</v>
      </c>
      <c r="Z279" s="365">
        <v>0</v>
      </c>
      <c r="AA279" s="366">
        <f t="shared" si="70"/>
        <v>0</v>
      </c>
      <c r="AB279" s="366">
        <f t="shared" si="74"/>
        <v>0</v>
      </c>
      <c r="AC279" s="386">
        <f t="shared" si="71"/>
        <v>0</v>
      </c>
      <c r="AD279" s="367">
        <f t="shared" si="72"/>
        <v>0</v>
      </c>
      <c r="AE279" s="368">
        <f t="shared" si="75"/>
        <v>0</v>
      </c>
      <c r="AF279" s="385"/>
    </row>
    <row r="280" spans="2:32" s="37" customFormat="1" hidden="1" x14ac:dyDescent="0.35">
      <c r="B280" s="387">
        <v>2026</v>
      </c>
      <c r="C280" s="389" t="s">
        <v>413</v>
      </c>
      <c r="D280" s="389" t="s">
        <v>162</v>
      </c>
      <c r="E280" s="388" t="s">
        <v>88</v>
      </c>
      <c r="F280" s="388" t="s">
        <v>80</v>
      </c>
      <c r="G280" s="390">
        <v>46218</v>
      </c>
      <c r="H280" s="391">
        <v>3866</v>
      </c>
      <c r="I280" s="388" t="s">
        <v>175</v>
      </c>
      <c r="J280" s="392" t="str">
        <f>IFERROR(VLOOKUP(I280,Map!$F$18:$G$56,2,0),"Add in Map")</f>
        <v>3P</v>
      </c>
      <c r="K280" s="392" t="str">
        <f>VLOOKUP(L280,Map!$C$18:$D$29,2,0)</f>
        <v>TOTAL</v>
      </c>
      <c r="L280" s="388" t="s">
        <v>56</v>
      </c>
      <c r="M280" s="393">
        <f>SUM(M269:M279)</f>
        <v>0</v>
      </c>
      <c r="N280" s="393">
        <f t="shared" si="66"/>
        <v>0</v>
      </c>
      <c r="O280" s="393">
        <f t="shared" si="67"/>
        <v>0</v>
      </c>
      <c r="P280" s="394">
        <f t="shared" si="68"/>
        <v>0</v>
      </c>
      <c r="Q280" s="394">
        <f t="shared" si="69"/>
        <v>0</v>
      </c>
      <c r="R280" s="395">
        <f t="shared" si="73"/>
        <v>0</v>
      </c>
      <c r="S280" s="396">
        <f>INDEX(FX!$D$3:$O$19,MATCH(B280,FX!$B$3:$B$32,0),MATCH(D280,FX!$D$2:$O$2,0))</f>
        <v>923</v>
      </c>
      <c r="T280" s="388" t="s">
        <v>142</v>
      </c>
      <c r="U280" s="388" t="s">
        <v>32</v>
      </c>
      <c r="V280" s="388" t="s">
        <v>83</v>
      </c>
      <c r="W280" s="392" t="str">
        <f>VLOOKUP(I280,Map!$F$18:$H$51,3,0)</f>
        <v>Variable</v>
      </c>
      <c r="X280" s="397" t="s">
        <v>149</v>
      </c>
      <c r="Y280" s="392" t="str">
        <f>VLOOKUP(L280,Map!$C$18:$D$29,2,0)</f>
        <v>TOTAL</v>
      </c>
      <c r="Z280" s="393">
        <f>SUM(Z269:Z279)</f>
        <v>1752661.3787099998</v>
      </c>
      <c r="AA280" s="393">
        <f t="shared" si="70"/>
        <v>333005.66195489996</v>
      </c>
      <c r="AB280" s="393">
        <f t="shared" si="74"/>
        <v>2085667.0406648996</v>
      </c>
      <c r="AC280" s="394">
        <f t="shared" si="71"/>
        <v>1898.8747331635968</v>
      </c>
      <c r="AD280" s="394">
        <f t="shared" si="72"/>
        <v>360.7861993010834</v>
      </c>
      <c r="AE280" s="395">
        <f t="shared" si="75"/>
        <v>2259.6609324646802</v>
      </c>
      <c r="AF280" s="398"/>
    </row>
    <row r="281" spans="2:32" s="5" customFormat="1" ht="13" hidden="1" x14ac:dyDescent="0.3">
      <c r="B281" s="400">
        <v>2026</v>
      </c>
      <c r="C281" s="402" t="s">
        <v>408</v>
      </c>
      <c r="D281" s="402" t="s">
        <v>162</v>
      </c>
      <c r="E281" s="401" t="s">
        <v>88</v>
      </c>
      <c r="F281" s="401" t="s">
        <v>80</v>
      </c>
      <c r="G281" s="403">
        <v>46218</v>
      </c>
      <c r="H281" s="404">
        <v>3869</v>
      </c>
      <c r="I281" s="401" t="s">
        <v>175</v>
      </c>
      <c r="J281" s="405" t="str">
        <f>IFERROR(VLOOKUP(I281,Map!$F$18:$G$56,2,0),"Add in Map")</f>
        <v>3P</v>
      </c>
      <c r="K281" s="405" t="str">
        <f>VLOOKUP(L281,Map!$C$18:$D$29,2,0)</f>
        <v>CNT</v>
      </c>
      <c r="L281" s="401" t="s">
        <v>31</v>
      </c>
      <c r="M281" s="406">
        <v>1010504</v>
      </c>
      <c r="N281" s="407">
        <f t="shared" si="66"/>
        <v>0</v>
      </c>
      <c r="O281" s="407">
        <f t="shared" si="67"/>
        <v>1202499.76</v>
      </c>
      <c r="P281" s="408">
        <f t="shared" si="68"/>
        <v>1094.8039003250271</v>
      </c>
      <c r="Q281" s="408">
        <f t="shared" si="69"/>
        <v>0</v>
      </c>
      <c r="R281" s="409">
        <f t="shared" si="73"/>
        <v>1302.8166413867823</v>
      </c>
      <c r="S281" s="410">
        <f>INDEX(FX!$D$3:$O$19,MATCH(B281,FX!$B$3:$B$32,0),MATCH(D281,FX!$D$2:$O$2,0))</f>
        <v>923</v>
      </c>
      <c r="T281" s="401" t="s">
        <v>143</v>
      </c>
      <c r="U281" s="401" t="s">
        <v>155</v>
      </c>
      <c r="V281" s="401" t="s">
        <v>83</v>
      </c>
      <c r="W281" s="405" t="str">
        <f>VLOOKUP(I281,Map!$F$18:$H$51,3,0)</f>
        <v>Variable</v>
      </c>
      <c r="X281" s="411" t="s">
        <v>149</v>
      </c>
      <c r="Y281" s="405" t="str">
        <f>VLOOKUP(L281,Map!$C$18:$D$29,2,0)</f>
        <v>CNT</v>
      </c>
      <c r="Z281" s="406">
        <v>1263305.7202933729</v>
      </c>
      <c r="AA281" s="407">
        <f t="shared" si="70"/>
        <v>0</v>
      </c>
      <c r="AB281" s="407">
        <f t="shared" si="74"/>
        <v>1503333.8071491136</v>
      </c>
      <c r="AC281" s="408">
        <f t="shared" si="71"/>
        <v>1368.6952549223975</v>
      </c>
      <c r="AD281" s="408">
        <f t="shared" si="72"/>
        <v>0</v>
      </c>
      <c r="AE281" s="409">
        <f t="shared" si="75"/>
        <v>1628.7473533576529</v>
      </c>
      <c r="AF281" s="412"/>
    </row>
    <row r="282" spans="2:32" s="1" customFormat="1" ht="13" hidden="1" x14ac:dyDescent="0.3">
      <c r="B282" s="383">
        <v>2026</v>
      </c>
      <c r="C282" s="361" t="s">
        <v>408</v>
      </c>
      <c r="D282" s="361" t="s">
        <v>162</v>
      </c>
      <c r="E282" s="360" t="s">
        <v>88</v>
      </c>
      <c r="F282" s="360" t="s">
        <v>80</v>
      </c>
      <c r="G282" s="362">
        <v>46218</v>
      </c>
      <c r="H282" s="363">
        <v>3869</v>
      </c>
      <c r="I282" s="360" t="s">
        <v>175</v>
      </c>
      <c r="J282" s="364" t="str">
        <f>IFERROR(VLOOKUP(I282,Map!$F$18:$G$56,2,0),"Add in Map")</f>
        <v>3P</v>
      </c>
      <c r="K282" s="364" t="str">
        <f>VLOOKUP(L282,Map!$C$18:$D$29,2,0)</f>
        <v>CVT</v>
      </c>
      <c r="L282" s="360" t="s">
        <v>36</v>
      </c>
      <c r="M282" s="365">
        <v>0</v>
      </c>
      <c r="N282" s="366">
        <f t="shared" si="66"/>
        <v>0</v>
      </c>
      <c r="O282" s="366">
        <f t="shared" si="67"/>
        <v>0</v>
      </c>
      <c r="P282" s="367">
        <f t="shared" si="68"/>
        <v>0</v>
      </c>
      <c r="Q282" s="367">
        <f t="shared" si="69"/>
        <v>0</v>
      </c>
      <c r="R282" s="368">
        <f t="shared" si="73"/>
        <v>0</v>
      </c>
      <c r="S282" s="384">
        <f>INDEX(FX!$D$3:$O$19,MATCH(B282,FX!$B$3:$B$32,0),MATCH(D282,FX!$D$2:$O$2,0))</f>
        <v>923</v>
      </c>
      <c r="T282" s="360" t="s">
        <v>143</v>
      </c>
      <c r="U282" s="360" t="s">
        <v>155</v>
      </c>
      <c r="V282" s="360" t="s">
        <v>83</v>
      </c>
      <c r="W282" s="364" t="str">
        <f>VLOOKUP(I282,Map!$F$18:$H$51,3,0)</f>
        <v>Variable</v>
      </c>
      <c r="X282" s="370" t="s">
        <v>149</v>
      </c>
      <c r="Y282" s="364" t="str">
        <f>VLOOKUP(L282,Map!$C$18:$D$29,2,0)</f>
        <v>CVT</v>
      </c>
      <c r="Z282" s="365">
        <v>0</v>
      </c>
      <c r="AA282" s="366">
        <f t="shared" si="70"/>
        <v>0</v>
      </c>
      <c r="AB282" s="366">
        <f t="shared" si="74"/>
        <v>0</v>
      </c>
      <c r="AC282" s="367">
        <f t="shared" si="71"/>
        <v>0</v>
      </c>
      <c r="AD282" s="367">
        <f t="shared" si="72"/>
        <v>0</v>
      </c>
      <c r="AE282" s="368">
        <f t="shared" si="75"/>
        <v>0</v>
      </c>
      <c r="AF282" s="385"/>
    </row>
    <row r="283" spans="2:32" s="1" customFormat="1" ht="13" hidden="1" x14ac:dyDescent="0.3">
      <c r="B283" s="383">
        <v>2026</v>
      </c>
      <c r="C283" s="361" t="s">
        <v>408</v>
      </c>
      <c r="D283" s="361" t="s">
        <v>162</v>
      </c>
      <c r="E283" s="360" t="s">
        <v>88</v>
      </c>
      <c r="F283" s="360" t="s">
        <v>80</v>
      </c>
      <c r="G283" s="362">
        <v>46218</v>
      </c>
      <c r="H283" s="363">
        <v>3869</v>
      </c>
      <c r="I283" s="360" t="s">
        <v>175</v>
      </c>
      <c r="J283" s="364" t="str">
        <f>IFERROR(VLOOKUP(I283,Map!$F$18:$G$56,2,0),"Add in Map")</f>
        <v>3P</v>
      </c>
      <c r="K283" s="364" t="str">
        <f>VLOOKUP(L283,Map!$C$18:$D$29,2,0)</f>
        <v>CDT</v>
      </c>
      <c r="L283" s="360" t="s">
        <v>38</v>
      </c>
      <c r="M283" s="365">
        <v>0</v>
      </c>
      <c r="N283" s="366">
        <f t="shared" si="66"/>
        <v>0</v>
      </c>
      <c r="O283" s="366">
        <f t="shared" si="67"/>
        <v>0</v>
      </c>
      <c r="P283" s="367">
        <f t="shared" si="68"/>
        <v>0</v>
      </c>
      <c r="Q283" s="367">
        <f t="shared" si="69"/>
        <v>0</v>
      </c>
      <c r="R283" s="368">
        <f t="shared" si="73"/>
        <v>0</v>
      </c>
      <c r="S283" s="384">
        <f>INDEX(FX!$D$3:$O$19,MATCH(B283,FX!$B$3:$B$32,0),MATCH(D283,FX!$D$2:$O$2,0))</f>
        <v>923</v>
      </c>
      <c r="T283" s="360" t="s">
        <v>143</v>
      </c>
      <c r="U283" s="360" t="s">
        <v>155</v>
      </c>
      <c r="V283" s="360" t="s">
        <v>83</v>
      </c>
      <c r="W283" s="364" t="str">
        <f>VLOOKUP(I283,Map!$F$18:$H$51,3,0)</f>
        <v>Variable</v>
      </c>
      <c r="X283" s="370" t="s">
        <v>149</v>
      </c>
      <c r="Y283" s="364" t="str">
        <f>VLOOKUP(L283,Map!$C$18:$D$29,2,0)</f>
        <v>CDT</v>
      </c>
      <c r="Z283" s="365">
        <v>0</v>
      </c>
      <c r="AA283" s="366">
        <f t="shared" si="70"/>
        <v>0</v>
      </c>
      <c r="AB283" s="366">
        <f t="shared" si="74"/>
        <v>0</v>
      </c>
      <c r="AC283" s="367">
        <f t="shared" si="71"/>
        <v>0</v>
      </c>
      <c r="AD283" s="367">
        <f t="shared" si="72"/>
        <v>0</v>
      </c>
      <c r="AE283" s="368">
        <f t="shared" si="75"/>
        <v>0</v>
      </c>
      <c r="AF283" s="385"/>
    </row>
    <row r="284" spans="2:32" s="1" customFormat="1" ht="13" hidden="1" x14ac:dyDescent="0.3">
      <c r="B284" s="383">
        <v>2026</v>
      </c>
      <c r="C284" s="361" t="s">
        <v>408</v>
      </c>
      <c r="D284" s="361" t="s">
        <v>162</v>
      </c>
      <c r="E284" s="360" t="s">
        <v>88</v>
      </c>
      <c r="F284" s="360" t="s">
        <v>80</v>
      </c>
      <c r="G284" s="362">
        <v>46218</v>
      </c>
      <c r="H284" s="363">
        <v>3869</v>
      </c>
      <c r="I284" s="360" t="s">
        <v>175</v>
      </c>
      <c r="J284" s="364" t="str">
        <f>IFERROR(VLOOKUP(I284,Map!$F$18:$G$56,2,0),"Add in Map")</f>
        <v>3P</v>
      </c>
      <c r="K284" s="364" t="str">
        <f>VLOOKUP(L284,Map!$C$18:$D$29,2,0)</f>
        <v>DFT</v>
      </c>
      <c r="L284" s="360" t="s">
        <v>40</v>
      </c>
      <c r="M284" s="365">
        <v>722512.00000000047</v>
      </c>
      <c r="N284" s="366">
        <f t="shared" si="66"/>
        <v>0</v>
      </c>
      <c r="O284" s="366">
        <f t="shared" si="67"/>
        <v>859789.28000000049</v>
      </c>
      <c r="P284" s="367">
        <f t="shared" si="68"/>
        <v>782.78656554712938</v>
      </c>
      <c r="Q284" s="367">
        <f t="shared" si="69"/>
        <v>0</v>
      </c>
      <c r="R284" s="368">
        <f t="shared" si="73"/>
        <v>931.51601300108393</v>
      </c>
      <c r="S284" s="384">
        <f>INDEX(FX!$D$3:$O$19,MATCH(B284,FX!$B$3:$B$32,0),MATCH(D284,FX!$D$2:$O$2,0))</f>
        <v>923</v>
      </c>
      <c r="T284" s="360" t="s">
        <v>143</v>
      </c>
      <c r="U284" s="360" t="s">
        <v>155</v>
      </c>
      <c r="V284" s="360" t="s">
        <v>83</v>
      </c>
      <c r="W284" s="364" t="str">
        <f>VLOOKUP(I284,Map!$F$18:$H$51,3,0)</f>
        <v>Variable</v>
      </c>
      <c r="X284" s="370" t="s">
        <v>149</v>
      </c>
      <c r="Y284" s="364" t="str">
        <f>VLOOKUP(L284,Map!$C$18:$D$29,2,0)</f>
        <v>DFT</v>
      </c>
      <c r="Z284" s="365">
        <v>903266.83706631523</v>
      </c>
      <c r="AA284" s="366">
        <f t="shared" si="70"/>
        <v>0</v>
      </c>
      <c r="AB284" s="366">
        <f t="shared" si="74"/>
        <v>1074887.536108915</v>
      </c>
      <c r="AC284" s="367">
        <f t="shared" si="71"/>
        <v>978.62062520727545</v>
      </c>
      <c r="AD284" s="367">
        <f t="shared" si="72"/>
        <v>0</v>
      </c>
      <c r="AE284" s="368">
        <f t="shared" si="75"/>
        <v>1164.5585439966578</v>
      </c>
      <c r="AF284" s="385"/>
    </row>
    <row r="285" spans="2:32" s="1" customFormat="1" ht="13" hidden="1" x14ac:dyDescent="0.3">
      <c r="B285" s="383">
        <v>2026</v>
      </c>
      <c r="C285" s="361" t="s">
        <v>408</v>
      </c>
      <c r="D285" s="361" t="s">
        <v>162</v>
      </c>
      <c r="E285" s="360" t="s">
        <v>88</v>
      </c>
      <c r="F285" s="360" t="s">
        <v>80</v>
      </c>
      <c r="G285" s="362">
        <v>46218</v>
      </c>
      <c r="H285" s="363">
        <v>3869</v>
      </c>
      <c r="I285" s="360" t="s">
        <v>175</v>
      </c>
      <c r="J285" s="364" t="str">
        <f>IFERROR(VLOOKUP(I285,Map!$F$18:$G$56,2,0),"Add in Map")</f>
        <v>3P</v>
      </c>
      <c r="K285" s="364" t="str">
        <f>VLOOKUP(L285,Map!$C$18:$D$29,2,0)</f>
        <v>DVT</v>
      </c>
      <c r="L285" s="360" t="s">
        <v>42</v>
      </c>
      <c r="M285" s="365">
        <v>0</v>
      </c>
      <c r="N285" s="366">
        <f t="shared" ref="N285:N340" si="76">IF(L285="TOTAL",(M285*0.19),0)</f>
        <v>0</v>
      </c>
      <c r="O285" s="366">
        <f t="shared" ref="O285:O340" si="77">M285*1.19</f>
        <v>0</v>
      </c>
      <c r="P285" s="367">
        <f t="shared" ref="P285:P340" si="78">M285/S285</f>
        <v>0</v>
      </c>
      <c r="Q285" s="367">
        <f t="shared" ref="Q285:Q340" si="79">IF(L285="TOTAL",(P285*0.19),0)</f>
        <v>0</v>
      </c>
      <c r="R285" s="368">
        <f t="shared" si="73"/>
        <v>0</v>
      </c>
      <c r="S285" s="384">
        <f>INDEX(FX!$D$3:$O$19,MATCH(B285,FX!$B$3:$B$32,0),MATCH(D285,FX!$D$2:$O$2,0))</f>
        <v>923</v>
      </c>
      <c r="T285" s="360" t="s">
        <v>143</v>
      </c>
      <c r="U285" s="360" t="s">
        <v>155</v>
      </c>
      <c r="V285" s="360" t="s">
        <v>83</v>
      </c>
      <c r="W285" s="364" t="str">
        <f>VLOOKUP(I285,Map!$F$18:$H$51,3,0)</f>
        <v>Variable</v>
      </c>
      <c r="X285" s="370" t="s">
        <v>149</v>
      </c>
      <c r="Y285" s="364" t="str">
        <f>VLOOKUP(L285,Map!$C$18:$D$29,2,0)</f>
        <v>DVT</v>
      </c>
      <c r="Z285" s="365">
        <v>0</v>
      </c>
      <c r="AA285" s="366">
        <f t="shared" si="70"/>
        <v>0</v>
      </c>
      <c r="AB285" s="366">
        <f t="shared" si="74"/>
        <v>0</v>
      </c>
      <c r="AC285" s="367">
        <f t="shared" si="71"/>
        <v>0</v>
      </c>
      <c r="AD285" s="367">
        <f t="shared" si="72"/>
        <v>0</v>
      </c>
      <c r="AE285" s="368">
        <f t="shared" si="75"/>
        <v>0</v>
      </c>
      <c r="AF285" s="385"/>
    </row>
    <row r="286" spans="2:32" s="1" customFormat="1" ht="13" hidden="1" x14ac:dyDescent="0.3">
      <c r="B286" s="383">
        <v>2026</v>
      </c>
      <c r="C286" s="361" t="s">
        <v>408</v>
      </c>
      <c r="D286" s="361" t="s">
        <v>162</v>
      </c>
      <c r="E286" s="360" t="s">
        <v>88</v>
      </c>
      <c r="F286" s="360" t="s">
        <v>80</v>
      </c>
      <c r="G286" s="362">
        <v>46218</v>
      </c>
      <c r="H286" s="363">
        <v>3869</v>
      </c>
      <c r="I286" s="360" t="s">
        <v>175</v>
      </c>
      <c r="J286" s="364" t="str">
        <f>IFERROR(VLOOKUP(I286,Map!$F$18:$G$56,2,0),"Add in Map")</f>
        <v>3P</v>
      </c>
      <c r="K286" s="364" t="str">
        <f>VLOOKUP(L286,Map!$C$18:$D$29,2,0)</f>
        <v>GLT</v>
      </c>
      <c r="L286" s="360" t="s">
        <v>44</v>
      </c>
      <c r="M286" s="365">
        <v>622906</v>
      </c>
      <c r="N286" s="366">
        <f t="shared" si="76"/>
        <v>0</v>
      </c>
      <c r="O286" s="366">
        <f t="shared" si="77"/>
        <v>741258.14</v>
      </c>
      <c r="P286" s="367">
        <f t="shared" si="78"/>
        <v>674.87107258938249</v>
      </c>
      <c r="Q286" s="367">
        <f t="shared" si="79"/>
        <v>0</v>
      </c>
      <c r="R286" s="368">
        <f t="shared" si="73"/>
        <v>803.09657638136514</v>
      </c>
      <c r="S286" s="384">
        <f>INDEX(FX!$D$3:$O$19,MATCH(B286,FX!$B$3:$B$32,0),MATCH(D286,FX!$D$2:$O$2,0))</f>
        <v>923</v>
      </c>
      <c r="T286" s="360" t="s">
        <v>143</v>
      </c>
      <c r="U286" s="360" t="s">
        <v>155</v>
      </c>
      <c r="V286" s="360" t="s">
        <v>83</v>
      </c>
      <c r="W286" s="364" t="str">
        <f>VLOOKUP(I286,Map!$F$18:$H$51,3,0)</f>
        <v>Variable</v>
      </c>
      <c r="X286" s="370" t="s">
        <v>149</v>
      </c>
      <c r="Y286" s="364" t="str">
        <f>VLOOKUP(L286,Map!$C$18:$D$29,2,0)</f>
        <v>GLT</v>
      </c>
      <c r="Z286" s="365">
        <v>778741.14721676928</v>
      </c>
      <c r="AA286" s="366">
        <f t="shared" si="70"/>
        <v>0</v>
      </c>
      <c r="AB286" s="366">
        <f t="shared" si="74"/>
        <v>926701.96518795541</v>
      </c>
      <c r="AC286" s="367">
        <f t="shared" si="71"/>
        <v>843.70655169747488</v>
      </c>
      <c r="AD286" s="367">
        <f t="shared" si="72"/>
        <v>0</v>
      </c>
      <c r="AE286" s="368">
        <f t="shared" si="75"/>
        <v>1004.0107965199951</v>
      </c>
      <c r="AF286" s="385"/>
    </row>
    <row r="287" spans="2:32" s="1" customFormat="1" ht="13" hidden="1" x14ac:dyDescent="0.3">
      <c r="B287" s="383">
        <v>2026</v>
      </c>
      <c r="C287" s="361" t="s">
        <v>408</v>
      </c>
      <c r="D287" s="361" t="s">
        <v>162</v>
      </c>
      <c r="E287" s="360" t="s">
        <v>88</v>
      </c>
      <c r="F287" s="360" t="s">
        <v>80</v>
      </c>
      <c r="G287" s="362">
        <v>46218</v>
      </c>
      <c r="H287" s="363">
        <v>3869</v>
      </c>
      <c r="I287" s="360" t="s">
        <v>175</v>
      </c>
      <c r="J287" s="364" t="str">
        <f>IFERROR(VLOOKUP(I287,Map!$F$18:$G$56,2,0),"Add in Map")</f>
        <v>3P</v>
      </c>
      <c r="K287" s="364" t="str">
        <f>VLOOKUP(L287,Map!$C$18:$D$29,2,0)</f>
        <v>PNT</v>
      </c>
      <c r="L287" s="360" t="s">
        <v>46</v>
      </c>
      <c r="M287" s="365">
        <v>0</v>
      </c>
      <c r="N287" s="366">
        <f t="shared" si="76"/>
        <v>0</v>
      </c>
      <c r="O287" s="366">
        <f t="shared" si="77"/>
        <v>0</v>
      </c>
      <c r="P287" s="367">
        <f t="shared" si="78"/>
        <v>0</v>
      </c>
      <c r="Q287" s="367">
        <f t="shared" si="79"/>
        <v>0</v>
      </c>
      <c r="R287" s="368">
        <f t="shared" si="73"/>
        <v>0</v>
      </c>
      <c r="S287" s="384">
        <f>INDEX(FX!$D$3:$O$19,MATCH(B287,FX!$B$3:$B$32,0),MATCH(D287,FX!$D$2:$O$2,0))</f>
        <v>923</v>
      </c>
      <c r="T287" s="360" t="s">
        <v>143</v>
      </c>
      <c r="U287" s="360" t="s">
        <v>155</v>
      </c>
      <c r="V287" s="360" t="s">
        <v>83</v>
      </c>
      <c r="W287" s="364" t="str">
        <f>VLOOKUP(I287,Map!$F$18:$H$51,3,0)</f>
        <v>Variable</v>
      </c>
      <c r="X287" s="370" t="s">
        <v>149</v>
      </c>
      <c r="Y287" s="364" t="str">
        <f>VLOOKUP(L287,Map!$C$18:$D$29,2,0)</f>
        <v>PNT</v>
      </c>
      <c r="Z287" s="365">
        <v>0</v>
      </c>
      <c r="AA287" s="366">
        <f t="shared" si="70"/>
        <v>0</v>
      </c>
      <c r="AB287" s="366">
        <f t="shared" si="74"/>
        <v>0</v>
      </c>
      <c r="AC287" s="367">
        <f t="shared" si="71"/>
        <v>0</v>
      </c>
      <c r="AD287" s="367">
        <f t="shared" si="72"/>
        <v>0</v>
      </c>
      <c r="AE287" s="368">
        <f t="shared" si="75"/>
        <v>0</v>
      </c>
      <c r="AF287" s="385"/>
    </row>
    <row r="288" spans="2:32" s="1" customFormat="1" ht="13" hidden="1" x14ac:dyDescent="0.3">
      <c r="B288" s="383">
        <v>2026</v>
      </c>
      <c r="C288" s="361" t="s">
        <v>408</v>
      </c>
      <c r="D288" s="361" t="s">
        <v>162</v>
      </c>
      <c r="E288" s="360" t="s">
        <v>88</v>
      </c>
      <c r="F288" s="360" t="s">
        <v>80</v>
      </c>
      <c r="G288" s="362">
        <v>46218</v>
      </c>
      <c r="H288" s="363">
        <v>3869</v>
      </c>
      <c r="I288" s="360" t="s">
        <v>175</v>
      </c>
      <c r="J288" s="364" t="str">
        <f>IFERROR(VLOOKUP(I288,Map!$F$18:$G$56,2,0),"Add in Map")</f>
        <v>3P</v>
      </c>
      <c r="K288" s="364" t="str">
        <f>VLOOKUP(L288,Map!$C$18:$D$29,2,0)</f>
        <v>GTT</v>
      </c>
      <c r="L288" s="360" t="s">
        <v>48</v>
      </c>
      <c r="M288" s="365">
        <v>9862</v>
      </c>
      <c r="N288" s="366">
        <f t="shared" si="76"/>
        <v>0</v>
      </c>
      <c r="O288" s="366">
        <f t="shared" si="77"/>
        <v>11735.779999999999</v>
      </c>
      <c r="P288" s="367">
        <f t="shared" si="78"/>
        <v>10.684723726977248</v>
      </c>
      <c r="Q288" s="367">
        <f t="shared" si="79"/>
        <v>0</v>
      </c>
      <c r="R288" s="368">
        <f t="shared" si="73"/>
        <v>12.714821235102924</v>
      </c>
      <c r="S288" s="384">
        <f>INDEX(FX!$D$3:$O$19,MATCH(B288,FX!$B$3:$B$32,0),MATCH(D288,FX!$D$2:$O$2,0))</f>
        <v>923</v>
      </c>
      <c r="T288" s="360" t="s">
        <v>143</v>
      </c>
      <c r="U288" s="360" t="s">
        <v>155</v>
      </c>
      <c r="V288" s="360" t="s">
        <v>83</v>
      </c>
      <c r="W288" s="364" t="str">
        <f>VLOOKUP(I288,Map!$F$18:$H$51,3,0)</f>
        <v>Variable</v>
      </c>
      <c r="X288" s="370" t="s">
        <v>149</v>
      </c>
      <c r="Y288" s="364" t="str">
        <f>VLOOKUP(L288,Map!$C$18:$D$29,2,0)</f>
        <v>GTT</v>
      </c>
      <c r="Z288" s="365">
        <v>12328.749460209687</v>
      </c>
      <c r="AA288" s="366">
        <f t="shared" si="70"/>
        <v>0</v>
      </c>
      <c r="AB288" s="366">
        <f t="shared" si="74"/>
        <v>14671.211857649527</v>
      </c>
      <c r="AC288" s="367">
        <f t="shared" si="71"/>
        <v>13.35725835342328</v>
      </c>
      <c r="AD288" s="367">
        <f t="shared" si="72"/>
        <v>0</v>
      </c>
      <c r="AE288" s="368">
        <f t="shared" si="75"/>
        <v>15.895137440573702</v>
      </c>
      <c r="AF288" s="385"/>
    </row>
    <row r="289" spans="2:32" s="1" customFormat="1" ht="13" hidden="1" x14ac:dyDescent="0.3">
      <c r="B289" s="383">
        <v>2026</v>
      </c>
      <c r="C289" s="361" t="s">
        <v>408</v>
      </c>
      <c r="D289" s="361" t="s">
        <v>162</v>
      </c>
      <c r="E289" s="360" t="s">
        <v>88</v>
      </c>
      <c r="F289" s="360" t="s">
        <v>80</v>
      </c>
      <c r="G289" s="362">
        <v>46218</v>
      </c>
      <c r="H289" s="363">
        <v>3869</v>
      </c>
      <c r="I289" s="360" t="s">
        <v>175</v>
      </c>
      <c r="J289" s="364" t="str">
        <f>IFERROR(VLOOKUP(I289,Map!$F$18:$G$56,2,0),"Add in Map")</f>
        <v>3P</v>
      </c>
      <c r="K289" s="364" t="str">
        <f>VLOOKUP(L289,Map!$C$18:$D$29,2,0)</f>
        <v>DGT</v>
      </c>
      <c r="L289" s="360" t="s">
        <v>50</v>
      </c>
      <c r="M289" s="365">
        <v>0</v>
      </c>
      <c r="N289" s="366">
        <f t="shared" si="76"/>
        <v>0</v>
      </c>
      <c r="O289" s="366">
        <f t="shared" si="77"/>
        <v>0</v>
      </c>
      <c r="P289" s="367">
        <f t="shared" si="78"/>
        <v>0</v>
      </c>
      <c r="Q289" s="367">
        <f t="shared" si="79"/>
        <v>0</v>
      </c>
      <c r="R289" s="368">
        <f t="shared" si="73"/>
        <v>0</v>
      </c>
      <c r="S289" s="384">
        <f>INDEX(FX!$D$3:$O$19,MATCH(B289,FX!$B$3:$B$32,0),MATCH(D289,FX!$D$2:$O$2,0))</f>
        <v>923</v>
      </c>
      <c r="T289" s="360" t="s">
        <v>143</v>
      </c>
      <c r="U289" s="360" t="s">
        <v>155</v>
      </c>
      <c r="V289" s="360" t="s">
        <v>83</v>
      </c>
      <c r="W289" s="364" t="str">
        <f>VLOOKUP(I289,Map!$F$18:$H$51,3,0)</f>
        <v>Variable</v>
      </c>
      <c r="X289" s="370" t="s">
        <v>149</v>
      </c>
      <c r="Y289" s="364" t="str">
        <f>VLOOKUP(L289,Map!$C$18:$D$29,2,0)</f>
        <v>DGT</v>
      </c>
      <c r="Z289" s="365">
        <v>0</v>
      </c>
      <c r="AA289" s="366">
        <f t="shared" si="70"/>
        <v>0</v>
      </c>
      <c r="AB289" s="366">
        <f t="shared" si="74"/>
        <v>0</v>
      </c>
      <c r="AC289" s="367">
        <f t="shared" si="71"/>
        <v>0</v>
      </c>
      <c r="AD289" s="367">
        <f t="shared" si="72"/>
        <v>0</v>
      </c>
      <c r="AE289" s="368">
        <f t="shared" si="75"/>
        <v>0</v>
      </c>
      <c r="AF289" s="385"/>
    </row>
    <row r="290" spans="2:32" s="1" customFormat="1" ht="13" hidden="1" x14ac:dyDescent="0.3">
      <c r="B290" s="383">
        <v>2026</v>
      </c>
      <c r="C290" s="361" t="s">
        <v>408</v>
      </c>
      <c r="D290" s="361" t="s">
        <v>162</v>
      </c>
      <c r="E290" s="360" t="s">
        <v>88</v>
      </c>
      <c r="F290" s="360" t="s">
        <v>80</v>
      </c>
      <c r="G290" s="362">
        <v>46218</v>
      </c>
      <c r="H290" s="363">
        <v>3869</v>
      </c>
      <c r="I290" s="360" t="s">
        <v>175</v>
      </c>
      <c r="J290" s="364" t="str">
        <f>IFERROR(VLOOKUP(I290,Map!$F$18:$G$56,2,0),"Add in Map")</f>
        <v>3P</v>
      </c>
      <c r="K290" s="364" t="str">
        <f>VLOOKUP(L290,Map!$C$18:$D$29,2,0)</f>
        <v>DLT</v>
      </c>
      <c r="L290" s="360" t="s">
        <v>52</v>
      </c>
      <c r="M290" s="365">
        <v>2564</v>
      </c>
      <c r="N290" s="366">
        <f t="shared" si="76"/>
        <v>0</v>
      </c>
      <c r="O290" s="366">
        <f t="shared" si="77"/>
        <v>3051.16</v>
      </c>
      <c r="P290" s="367">
        <f t="shared" si="78"/>
        <v>2.7778981581798483</v>
      </c>
      <c r="Q290" s="367">
        <f t="shared" si="79"/>
        <v>0</v>
      </c>
      <c r="R290" s="368">
        <f t="shared" si="73"/>
        <v>3.3056988082340193</v>
      </c>
      <c r="S290" s="384">
        <f>INDEX(FX!$D$3:$O$19,MATCH(B290,FX!$B$3:$B$32,0),MATCH(D290,FX!$D$2:$O$2,0))</f>
        <v>923</v>
      </c>
      <c r="T290" s="360" t="s">
        <v>143</v>
      </c>
      <c r="U290" s="360" t="s">
        <v>155</v>
      </c>
      <c r="V290" s="360" t="s">
        <v>83</v>
      </c>
      <c r="W290" s="364" t="str">
        <f>VLOOKUP(I290,Map!$F$18:$H$51,3,0)</f>
        <v>Variable</v>
      </c>
      <c r="X290" s="370" t="s">
        <v>149</v>
      </c>
      <c r="Y290" s="364" t="str">
        <f>VLOOKUP(L290,Map!$C$18:$D$29,2,0)</f>
        <v>DLT</v>
      </c>
      <c r="Z290" s="365">
        <v>3205.5329633325337</v>
      </c>
      <c r="AA290" s="366">
        <f t="shared" si="70"/>
        <v>0</v>
      </c>
      <c r="AB290" s="366">
        <f t="shared" si="74"/>
        <v>3814.584226365715</v>
      </c>
      <c r="AC290" s="367">
        <f t="shared" si="71"/>
        <v>3.4729501227871435</v>
      </c>
      <c r="AD290" s="367">
        <f t="shared" si="72"/>
        <v>0</v>
      </c>
      <c r="AE290" s="368">
        <f t="shared" si="75"/>
        <v>4.1328106461167007</v>
      </c>
      <c r="AF290" s="385"/>
    </row>
    <row r="291" spans="2:32" s="1" customFormat="1" ht="13" hidden="1" x14ac:dyDescent="0.3">
      <c r="B291" s="383">
        <v>2026</v>
      </c>
      <c r="C291" s="361" t="s">
        <v>408</v>
      </c>
      <c r="D291" s="361" t="s">
        <v>162</v>
      </c>
      <c r="E291" s="360" t="s">
        <v>88</v>
      </c>
      <c r="F291" s="360" t="s">
        <v>80</v>
      </c>
      <c r="G291" s="362">
        <v>46218</v>
      </c>
      <c r="H291" s="363">
        <v>3869</v>
      </c>
      <c r="I291" s="360" t="s">
        <v>175</v>
      </c>
      <c r="J291" s="364" t="str">
        <f>IFERROR(VLOOKUP(I291,Map!$F$18:$G$56,2,0),"Add in Map")</f>
        <v>3P</v>
      </c>
      <c r="K291" s="364" t="str">
        <f>VLOOKUP(L291,Map!$C$18:$D$29,2,0)</f>
        <v>DMT</v>
      </c>
      <c r="L291" s="360" t="s">
        <v>54</v>
      </c>
      <c r="M291" s="365"/>
      <c r="N291" s="366">
        <f t="shared" si="76"/>
        <v>0</v>
      </c>
      <c r="O291" s="366">
        <f t="shared" si="77"/>
        <v>0</v>
      </c>
      <c r="P291" s="386">
        <f t="shared" si="78"/>
        <v>0</v>
      </c>
      <c r="Q291" s="367">
        <f t="shared" si="79"/>
        <v>0</v>
      </c>
      <c r="R291" s="368">
        <f t="shared" si="73"/>
        <v>0</v>
      </c>
      <c r="S291" s="384">
        <f>INDEX(FX!$D$3:$O$19,MATCH(B291,FX!$B$3:$B$32,0),MATCH(D291,FX!$D$2:$O$2,0))</f>
        <v>923</v>
      </c>
      <c r="T291" s="360" t="s">
        <v>143</v>
      </c>
      <c r="U291" s="360" t="s">
        <v>155</v>
      </c>
      <c r="V291" s="360" t="s">
        <v>83</v>
      </c>
      <c r="W291" s="364" t="str">
        <f>VLOOKUP(I291,Map!$F$18:$H$51,3,0)</f>
        <v>Variable</v>
      </c>
      <c r="X291" s="370" t="s">
        <v>149</v>
      </c>
      <c r="Y291" s="364" t="str">
        <f>VLOOKUP(L291,Map!$C$18:$D$29,2,0)</f>
        <v>DMT</v>
      </c>
      <c r="Z291" s="365">
        <v>0</v>
      </c>
      <c r="AA291" s="366">
        <f t="shared" si="70"/>
        <v>0</v>
      </c>
      <c r="AB291" s="366">
        <f t="shared" si="74"/>
        <v>0</v>
      </c>
      <c r="AC291" s="386">
        <f t="shared" si="71"/>
        <v>0</v>
      </c>
      <c r="AD291" s="367">
        <f t="shared" si="72"/>
        <v>0</v>
      </c>
      <c r="AE291" s="368">
        <f t="shared" si="75"/>
        <v>0</v>
      </c>
      <c r="AF291" s="385"/>
    </row>
    <row r="292" spans="2:32" s="37" customFormat="1" hidden="1" x14ac:dyDescent="0.35">
      <c r="B292" s="387">
        <v>2026</v>
      </c>
      <c r="C292" s="389" t="s">
        <v>408</v>
      </c>
      <c r="D292" s="389" t="s">
        <v>162</v>
      </c>
      <c r="E292" s="388" t="s">
        <v>88</v>
      </c>
      <c r="F292" s="388" t="s">
        <v>80</v>
      </c>
      <c r="G292" s="390">
        <v>46218</v>
      </c>
      <c r="H292" s="391">
        <v>3869</v>
      </c>
      <c r="I292" s="388" t="s">
        <v>175</v>
      </c>
      <c r="J292" s="392" t="str">
        <f>IFERROR(VLOOKUP(I292,Map!$F$18:$G$56,2,0),"Add in Map")</f>
        <v>3P</v>
      </c>
      <c r="K292" s="392" t="str">
        <f>VLOOKUP(L292,Map!$C$18:$D$29,2,0)</f>
        <v>TOTAL</v>
      </c>
      <c r="L292" s="388" t="s">
        <v>56</v>
      </c>
      <c r="M292" s="393">
        <f>SUM(M281:M291)</f>
        <v>2368348.0000000005</v>
      </c>
      <c r="N292" s="393">
        <f t="shared" si="76"/>
        <v>449986.12000000011</v>
      </c>
      <c r="O292" s="393">
        <f t="shared" si="77"/>
        <v>2818334.1200000006</v>
      </c>
      <c r="P292" s="394">
        <f t="shared" si="78"/>
        <v>2565.9241603466962</v>
      </c>
      <c r="Q292" s="394">
        <f t="shared" si="79"/>
        <v>487.52559046587231</v>
      </c>
      <c r="R292" s="395">
        <f t="shared" si="73"/>
        <v>3053.4497508125683</v>
      </c>
      <c r="S292" s="396">
        <f>INDEX(FX!$D$3:$O$19,MATCH(B292,FX!$B$3:$B$32,0),MATCH(D292,FX!$D$2:$O$2,0))</f>
        <v>923</v>
      </c>
      <c r="T292" s="388" t="s">
        <v>143</v>
      </c>
      <c r="U292" s="388" t="s">
        <v>155</v>
      </c>
      <c r="V292" s="388" t="s">
        <v>83</v>
      </c>
      <c r="W292" s="392" t="str">
        <f>VLOOKUP(I292,Map!$F$18:$H$51,3,0)</f>
        <v>Variable</v>
      </c>
      <c r="X292" s="397" t="s">
        <v>149</v>
      </c>
      <c r="Y292" s="392" t="str">
        <f>VLOOKUP(L292,Map!$C$18:$D$29,2,0)</f>
        <v>TOTAL</v>
      </c>
      <c r="Z292" s="393">
        <f>SUM(Z281:Z291)</f>
        <v>2960847.9869999997</v>
      </c>
      <c r="AA292" s="393">
        <f t="shared" si="70"/>
        <v>562561.11752999993</v>
      </c>
      <c r="AB292" s="393">
        <f t="shared" si="74"/>
        <v>3523409.1045299997</v>
      </c>
      <c r="AC292" s="394">
        <f t="shared" si="71"/>
        <v>3207.8526403033584</v>
      </c>
      <c r="AD292" s="394">
        <f t="shared" si="72"/>
        <v>609.49200165763807</v>
      </c>
      <c r="AE292" s="395">
        <f t="shared" si="75"/>
        <v>3817.3446419609963</v>
      </c>
      <c r="AF292" s="398"/>
    </row>
    <row r="293" spans="2:32" s="5" customFormat="1" ht="13" hidden="1" x14ac:dyDescent="0.3">
      <c r="B293" s="400">
        <v>2026</v>
      </c>
      <c r="C293" s="402" t="s">
        <v>458</v>
      </c>
      <c r="D293" s="402" t="s">
        <v>80</v>
      </c>
      <c r="E293" s="401" t="s">
        <v>88</v>
      </c>
      <c r="F293" s="401" t="s">
        <v>172</v>
      </c>
      <c r="G293" s="403"/>
      <c r="H293" s="404"/>
      <c r="I293" s="401" t="s">
        <v>175</v>
      </c>
      <c r="J293" s="405" t="str">
        <f>IFERROR(VLOOKUP(I293,Map!$F$18:$G$56,2,0),"Add in Map")</f>
        <v>3P</v>
      </c>
      <c r="K293" s="405" t="str">
        <f>VLOOKUP(L293,Map!$C$18:$D$29,2,0)</f>
        <v>CNT</v>
      </c>
      <c r="L293" s="401" t="s">
        <v>31</v>
      </c>
      <c r="M293" s="406"/>
      <c r="N293" s="407">
        <f t="shared" si="76"/>
        <v>0</v>
      </c>
      <c r="O293" s="407">
        <f t="shared" si="77"/>
        <v>0</v>
      </c>
      <c r="P293" s="408">
        <f t="shared" si="78"/>
        <v>0</v>
      </c>
      <c r="Q293" s="408">
        <f t="shared" si="79"/>
        <v>0</v>
      </c>
      <c r="R293" s="409">
        <f t="shared" si="73"/>
        <v>0</v>
      </c>
      <c r="S293" s="410">
        <f>INDEX(FX!$D$3:$O$19,MATCH(B293,FX!$B$3:$B$32,0),MATCH(D293,FX!$D$2:$O$2,0))</f>
        <v>924</v>
      </c>
      <c r="T293" s="401" t="s">
        <v>144</v>
      </c>
      <c r="U293" s="401" t="s">
        <v>155</v>
      </c>
      <c r="V293" s="401" t="s">
        <v>83</v>
      </c>
      <c r="W293" s="405" t="str">
        <f>VLOOKUP(I293,Map!$F$18:$H$51,3,0)</f>
        <v>Variable</v>
      </c>
      <c r="X293" s="411" t="s">
        <v>172</v>
      </c>
      <c r="Y293" s="405" t="str">
        <f>VLOOKUP(L293,Map!$C$18:$D$29,2,0)</f>
        <v>CNT</v>
      </c>
      <c r="Z293" s="406">
        <v>626904.16936497018</v>
      </c>
      <c r="AA293" s="407">
        <f t="shared" si="70"/>
        <v>0</v>
      </c>
      <c r="AB293" s="407">
        <f t="shared" si="74"/>
        <v>746015.96154431452</v>
      </c>
      <c r="AC293" s="408">
        <f t="shared" si="71"/>
        <v>678.46771576295475</v>
      </c>
      <c r="AD293" s="408">
        <f t="shared" si="72"/>
        <v>0</v>
      </c>
      <c r="AE293" s="409">
        <f t="shared" si="75"/>
        <v>807.37658175791614</v>
      </c>
      <c r="AF293" s="412"/>
    </row>
    <row r="294" spans="2:32" s="1" customFormat="1" ht="13" hidden="1" x14ac:dyDescent="0.3">
      <c r="B294" s="383">
        <v>2026</v>
      </c>
      <c r="C294" s="361" t="s">
        <v>458</v>
      </c>
      <c r="D294" s="361" t="s">
        <v>80</v>
      </c>
      <c r="E294" s="360" t="s">
        <v>88</v>
      </c>
      <c r="F294" s="360" t="s">
        <v>172</v>
      </c>
      <c r="G294" s="362"/>
      <c r="H294" s="363"/>
      <c r="I294" s="360" t="s">
        <v>175</v>
      </c>
      <c r="J294" s="364" t="str">
        <f>IFERROR(VLOOKUP(I294,Map!$F$18:$G$56,2,0),"Add in Map")</f>
        <v>3P</v>
      </c>
      <c r="K294" s="364" t="str">
        <f>VLOOKUP(L294,Map!$C$18:$D$29,2,0)</f>
        <v>CVT</v>
      </c>
      <c r="L294" s="360" t="s">
        <v>36</v>
      </c>
      <c r="M294" s="365"/>
      <c r="N294" s="366">
        <f t="shared" si="76"/>
        <v>0</v>
      </c>
      <c r="O294" s="366">
        <f t="shared" si="77"/>
        <v>0</v>
      </c>
      <c r="P294" s="367">
        <f t="shared" si="78"/>
        <v>0</v>
      </c>
      <c r="Q294" s="367">
        <f t="shared" si="79"/>
        <v>0</v>
      </c>
      <c r="R294" s="368">
        <f t="shared" si="73"/>
        <v>0</v>
      </c>
      <c r="S294" s="384">
        <f>INDEX(FX!$D$3:$O$19,MATCH(B294,FX!$B$3:$B$32,0),MATCH(D294,FX!$D$2:$O$2,0))</f>
        <v>924</v>
      </c>
      <c r="T294" s="360" t="s">
        <v>144</v>
      </c>
      <c r="U294" s="360" t="s">
        <v>155</v>
      </c>
      <c r="V294" s="360" t="s">
        <v>83</v>
      </c>
      <c r="W294" s="364" t="str">
        <f>VLOOKUP(I294,Map!$F$18:$H$51,3,0)</f>
        <v>Variable</v>
      </c>
      <c r="X294" s="370" t="s">
        <v>172</v>
      </c>
      <c r="Y294" s="364" t="str">
        <f>VLOOKUP(L294,Map!$C$18:$D$29,2,0)</f>
        <v>CVT</v>
      </c>
      <c r="Z294" s="365">
        <v>0</v>
      </c>
      <c r="AA294" s="366">
        <f t="shared" si="70"/>
        <v>0</v>
      </c>
      <c r="AB294" s="366">
        <f t="shared" si="74"/>
        <v>0</v>
      </c>
      <c r="AC294" s="367">
        <f t="shared" si="71"/>
        <v>0</v>
      </c>
      <c r="AD294" s="367">
        <f t="shared" si="72"/>
        <v>0</v>
      </c>
      <c r="AE294" s="368">
        <f t="shared" si="75"/>
        <v>0</v>
      </c>
      <c r="AF294" s="385"/>
    </row>
    <row r="295" spans="2:32" s="1" customFormat="1" ht="13" hidden="1" x14ac:dyDescent="0.3">
      <c r="B295" s="383">
        <v>2026</v>
      </c>
      <c r="C295" s="361" t="s">
        <v>458</v>
      </c>
      <c r="D295" s="361" t="s">
        <v>80</v>
      </c>
      <c r="E295" s="360" t="s">
        <v>88</v>
      </c>
      <c r="F295" s="360" t="s">
        <v>172</v>
      </c>
      <c r="G295" s="362"/>
      <c r="H295" s="363"/>
      <c r="I295" s="360" t="s">
        <v>175</v>
      </c>
      <c r="J295" s="364" t="str">
        <f>IFERROR(VLOOKUP(I295,Map!$F$18:$G$56,2,0),"Add in Map")</f>
        <v>3P</v>
      </c>
      <c r="K295" s="364" t="str">
        <f>VLOOKUP(L295,Map!$C$18:$D$29,2,0)</f>
        <v>CDT</v>
      </c>
      <c r="L295" s="360" t="s">
        <v>38</v>
      </c>
      <c r="M295" s="365"/>
      <c r="N295" s="366">
        <f t="shared" si="76"/>
        <v>0</v>
      </c>
      <c r="O295" s="366">
        <f t="shared" si="77"/>
        <v>0</v>
      </c>
      <c r="P295" s="367">
        <f t="shared" si="78"/>
        <v>0</v>
      </c>
      <c r="Q295" s="367">
        <f t="shared" si="79"/>
        <v>0</v>
      </c>
      <c r="R295" s="368">
        <f t="shared" si="73"/>
        <v>0</v>
      </c>
      <c r="S295" s="384">
        <f>INDEX(FX!$D$3:$O$19,MATCH(B295,FX!$B$3:$B$32,0),MATCH(D295,FX!$D$2:$O$2,0))</f>
        <v>924</v>
      </c>
      <c r="T295" s="360" t="s">
        <v>144</v>
      </c>
      <c r="U295" s="360" t="s">
        <v>155</v>
      </c>
      <c r="V295" s="360" t="s">
        <v>83</v>
      </c>
      <c r="W295" s="364" t="str">
        <f>VLOOKUP(I295,Map!$F$18:$H$51,3,0)</f>
        <v>Variable</v>
      </c>
      <c r="X295" s="370" t="s">
        <v>172</v>
      </c>
      <c r="Y295" s="364" t="str">
        <f>VLOOKUP(L295,Map!$C$18:$D$29,2,0)</f>
        <v>CDT</v>
      </c>
      <c r="Z295" s="365">
        <v>0</v>
      </c>
      <c r="AA295" s="366">
        <f t="shared" si="70"/>
        <v>0</v>
      </c>
      <c r="AB295" s="366">
        <f t="shared" si="74"/>
        <v>0</v>
      </c>
      <c r="AC295" s="367">
        <f t="shared" si="71"/>
        <v>0</v>
      </c>
      <c r="AD295" s="367">
        <f t="shared" si="72"/>
        <v>0</v>
      </c>
      <c r="AE295" s="368">
        <f t="shared" si="75"/>
        <v>0</v>
      </c>
      <c r="AF295" s="385"/>
    </row>
    <row r="296" spans="2:32" s="1" customFormat="1" ht="13" hidden="1" x14ac:dyDescent="0.3">
      <c r="B296" s="383">
        <v>2026</v>
      </c>
      <c r="C296" s="361" t="s">
        <v>458</v>
      </c>
      <c r="D296" s="361" t="s">
        <v>80</v>
      </c>
      <c r="E296" s="360" t="s">
        <v>88</v>
      </c>
      <c r="F296" s="360" t="s">
        <v>172</v>
      </c>
      <c r="G296" s="362"/>
      <c r="H296" s="363"/>
      <c r="I296" s="360" t="s">
        <v>175</v>
      </c>
      <c r="J296" s="364" t="str">
        <f>IFERROR(VLOOKUP(I296,Map!$F$18:$G$56,2,0),"Add in Map")</f>
        <v>3P</v>
      </c>
      <c r="K296" s="364" t="str">
        <f>VLOOKUP(L296,Map!$C$18:$D$29,2,0)</f>
        <v>DFT</v>
      </c>
      <c r="L296" s="360" t="s">
        <v>40</v>
      </c>
      <c r="M296" s="365"/>
      <c r="N296" s="366">
        <f t="shared" si="76"/>
        <v>0</v>
      </c>
      <c r="O296" s="366">
        <f t="shared" si="77"/>
        <v>0</v>
      </c>
      <c r="P296" s="367">
        <f t="shared" si="78"/>
        <v>0</v>
      </c>
      <c r="Q296" s="367">
        <f t="shared" si="79"/>
        <v>0</v>
      </c>
      <c r="R296" s="368">
        <f t="shared" si="73"/>
        <v>0</v>
      </c>
      <c r="S296" s="384">
        <f>INDEX(FX!$D$3:$O$19,MATCH(B296,FX!$B$3:$B$32,0),MATCH(D296,FX!$D$2:$O$2,0))</f>
        <v>924</v>
      </c>
      <c r="T296" s="360" t="s">
        <v>144</v>
      </c>
      <c r="U296" s="360" t="s">
        <v>155</v>
      </c>
      <c r="V296" s="360" t="s">
        <v>83</v>
      </c>
      <c r="W296" s="364" t="str">
        <f>VLOOKUP(I296,Map!$F$18:$H$51,3,0)</f>
        <v>Variable</v>
      </c>
      <c r="X296" s="370" t="s">
        <v>172</v>
      </c>
      <c r="Y296" s="364" t="str">
        <f>VLOOKUP(L296,Map!$C$18:$D$29,2,0)</f>
        <v>DFT</v>
      </c>
      <c r="Z296" s="365">
        <v>1339295.2709160727</v>
      </c>
      <c r="AA296" s="366">
        <f t="shared" si="70"/>
        <v>0</v>
      </c>
      <c r="AB296" s="366">
        <f t="shared" si="74"/>
        <v>1593761.3723901263</v>
      </c>
      <c r="AC296" s="367">
        <f t="shared" si="71"/>
        <v>1449.4537564026759</v>
      </c>
      <c r="AD296" s="367">
        <f t="shared" si="72"/>
        <v>0</v>
      </c>
      <c r="AE296" s="368">
        <f t="shared" si="75"/>
        <v>1724.8499701191843</v>
      </c>
      <c r="AF296" s="385"/>
    </row>
    <row r="297" spans="2:32" s="1" customFormat="1" ht="13" hidden="1" x14ac:dyDescent="0.3">
      <c r="B297" s="383">
        <v>2026</v>
      </c>
      <c r="C297" s="361" t="s">
        <v>458</v>
      </c>
      <c r="D297" s="361" t="s">
        <v>80</v>
      </c>
      <c r="E297" s="360" t="s">
        <v>88</v>
      </c>
      <c r="F297" s="360" t="s">
        <v>172</v>
      </c>
      <c r="G297" s="362"/>
      <c r="H297" s="363"/>
      <c r="I297" s="360" t="s">
        <v>175</v>
      </c>
      <c r="J297" s="364" t="str">
        <f>IFERROR(VLOOKUP(I297,Map!$F$18:$G$56,2,0),"Add in Map")</f>
        <v>3P</v>
      </c>
      <c r="K297" s="364" t="str">
        <f>VLOOKUP(L297,Map!$C$18:$D$29,2,0)</f>
        <v>DVT</v>
      </c>
      <c r="L297" s="360" t="s">
        <v>42</v>
      </c>
      <c r="M297" s="365"/>
      <c r="N297" s="366">
        <f t="shared" si="76"/>
        <v>0</v>
      </c>
      <c r="O297" s="366">
        <f t="shared" si="77"/>
        <v>0</v>
      </c>
      <c r="P297" s="367">
        <f t="shared" si="78"/>
        <v>0</v>
      </c>
      <c r="Q297" s="367">
        <f t="shared" si="79"/>
        <v>0</v>
      </c>
      <c r="R297" s="368">
        <f t="shared" si="73"/>
        <v>0</v>
      </c>
      <c r="S297" s="384">
        <f>INDEX(FX!$D$3:$O$19,MATCH(B297,FX!$B$3:$B$32,0),MATCH(D297,FX!$D$2:$O$2,0))</f>
        <v>924</v>
      </c>
      <c r="T297" s="360" t="s">
        <v>144</v>
      </c>
      <c r="U297" s="360" t="s">
        <v>155</v>
      </c>
      <c r="V297" s="360" t="s">
        <v>83</v>
      </c>
      <c r="W297" s="364" t="str">
        <f>VLOOKUP(I297,Map!$F$18:$H$51,3,0)</f>
        <v>Variable</v>
      </c>
      <c r="X297" s="370" t="s">
        <v>172</v>
      </c>
      <c r="Y297" s="364" t="str">
        <f>VLOOKUP(L297,Map!$C$18:$D$29,2,0)</f>
        <v>DVT</v>
      </c>
      <c r="Z297" s="365">
        <v>0</v>
      </c>
      <c r="AA297" s="366">
        <f t="shared" si="70"/>
        <v>0</v>
      </c>
      <c r="AB297" s="366">
        <f t="shared" si="74"/>
        <v>0</v>
      </c>
      <c r="AC297" s="367">
        <f t="shared" si="71"/>
        <v>0</v>
      </c>
      <c r="AD297" s="367">
        <f t="shared" si="72"/>
        <v>0</v>
      </c>
      <c r="AE297" s="368">
        <f t="shared" si="75"/>
        <v>0</v>
      </c>
      <c r="AF297" s="385"/>
    </row>
    <row r="298" spans="2:32" s="1" customFormat="1" ht="13" hidden="1" x14ac:dyDescent="0.3">
      <c r="B298" s="383">
        <v>2026</v>
      </c>
      <c r="C298" s="361" t="s">
        <v>458</v>
      </c>
      <c r="D298" s="361" t="s">
        <v>80</v>
      </c>
      <c r="E298" s="360" t="s">
        <v>88</v>
      </c>
      <c r="F298" s="360" t="s">
        <v>172</v>
      </c>
      <c r="G298" s="362"/>
      <c r="H298" s="363"/>
      <c r="I298" s="360" t="s">
        <v>175</v>
      </c>
      <c r="J298" s="364" t="str">
        <f>IFERROR(VLOOKUP(I298,Map!$F$18:$G$56,2,0),"Add in Map")</f>
        <v>3P</v>
      </c>
      <c r="K298" s="364" t="str">
        <f>VLOOKUP(L298,Map!$C$18:$D$29,2,0)</f>
        <v>GLT</v>
      </c>
      <c r="L298" s="360" t="s">
        <v>44</v>
      </c>
      <c r="M298" s="365"/>
      <c r="N298" s="366">
        <f t="shared" si="76"/>
        <v>0</v>
      </c>
      <c r="O298" s="366">
        <f t="shared" si="77"/>
        <v>0</v>
      </c>
      <c r="P298" s="367">
        <f t="shared" si="78"/>
        <v>0</v>
      </c>
      <c r="Q298" s="367">
        <f t="shared" si="79"/>
        <v>0</v>
      </c>
      <c r="R298" s="368">
        <f t="shared" si="73"/>
        <v>0</v>
      </c>
      <c r="S298" s="384">
        <f>INDEX(FX!$D$3:$O$19,MATCH(B298,FX!$B$3:$B$32,0),MATCH(D298,FX!$D$2:$O$2,0))</f>
        <v>924</v>
      </c>
      <c r="T298" s="360" t="s">
        <v>144</v>
      </c>
      <c r="U298" s="360" t="s">
        <v>155</v>
      </c>
      <c r="V298" s="360" t="s">
        <v>83</v>
      </c>
      <c r="W298" s="364" t="str">
        <f>VLOOKUP(I298,Map!$F$18:$H$51,3,0)</f>
        <v>Variable</v>
      </c>
      <c r="X298" s="370" t="s">
        <v>172</v>
      </c>
      <c r="Y298" s="364" t="str">
        <f>VLOOKUP(L298,Map!$C$18:$D$29,2,0)</f>
        <v>GLT</v>
      </c>
      <c r="Z298" s="365">
        <v>712391.10155110247</v>
      </c>
      <c r="AA298" s="366">
        <f t="shared" si="70"/>
        <v>0</v>
      </c>
      <c r="AB298" s="366">
        <f t="shared" si="74"/>
        <v>847745.41084581194</v>
      </c>
      <c r="AC298" s="367">
        <f t="shared" si="71"/>
        <v>770.9860406397213</v>
      </c>
      <c r="AD298" s="367">
        <f t="shared" si="72"/>
        <v>0</v>
      </c>
      <c r="AE298" s="368">
        <f t="shared" si="75"/>
        <v>917.47338836126835</v>
      </c>
      <c r="AF298" s="385"/>
    </row>
    <row r="299" spans="2:32" s="1" customFormat="1" ht="13" hidden="1" x14ac:dyDescent="0.3">
      <c r="B299" s="383">
        <v>2026</v>
      </c>
      <c r="C299" s="361" t="s">
        <v>458</v>
      </c>
      <c r="D299" s="361" t="s">
        <v>80</v>
      </c>
      <c r="E299" s="360" t="s">
        <v>88</v>
      </c>
      <c r="F299" s="360" t="s">
        <v>172</v>
      </c>
      <c r="G299" s="362"/>
      <c r="H299" s="363"/>
      <c r="I299" s="360" t="s">
        <v>175</v>
      </c>
      <c r="J299" s="364" t="str">
        <f>IFERROR(VLOOKUP(I299,Map!$F$18:$G$56,2,0),"Add in Map")</f>
        <v>3P</v>
      </c>
      <c r="K299" s="364" t="str">
        <f>VLOOKUP(L299,Map!$C$18:$D$29,2,0)</f>
        <v>PNT</v>
      </c>
      <c r="L299" s="360" t="s">
        <v>46</v>
      </c>
      <c r="M299" s="365"/>
      <c r="N299" s="366">
        <f t="shared" si="76"/>
        <v>0</v>
      </c>
      <c r="O299" s="366">
        <f t="shared" si="77"/>
        <v>0</v>
      </c>
      <c r="P299" s="367">
        <f t="shared" si="78"/>
        <v>0</v>
      </c>
      <c r="Q299" s="367">
        <f t="shared" si="79"/>
        <v>0</v>
      </c>
      <c r="R299" s="368">
        <f t="shared" si="73"/>
        <v>0</v>
      </c>
      <c r="S299" s="384">
        <f>INDEX(FX!$D$3:$O$19,MATCH(B299,FX!$B$3:$B$32,0),MATCH(D299,FX!$D$2:$O$2,0))</f>
        <v>924</v>
      </c>
      <c r="T299" s="360" t="s">
        <v>144</v>
      </c>
      <c r="U299" s="360" t="s">
        <v>155</v>
      </c>
      <c r="V299" s="360" t="s">
        <v>83</v>
      </c>
      <c r="W299" s="364" t="str">
        <f>VLOOKUP(I299,Map!$F$18:$H$51,3,0)</f>
        <v>Variable</v>
      </c>
      <c r="X299" s="370" t="s">
        <v>172</v>
      </c>
      <c r="Y299" s="364" t="str">
        <f>VLOOKUP(L299,Map!$C$18:$D$29,2,0)</f>
        <v>PNT</v>
      </c>
      <c r="Z299" s="365">
        <v>0</v>
      </c>
      <c r="AA299" s="366">
        <f t="shared" si="70"/>
        <v>0</v>
      </c>
      <c r="AB299" s="366">
        <f t="shared" si="74"/>
        <v>0</v>
      </c>
      <c r="AC299" s="367">
        <f t="shared" si="71"/>
        <v>0</v>
      </c>
      <c r="AD299" s="367">
        <f t="shared" si="72"/>
        <v>0</v>
      </c>
      <c r="AE299" s="368">
        <f t="shared" si="75"/>
        <v>0</v>
      </c>
      <c r="AF299" s="385"/>
    </row>
    <row r="300" spans="2:32" s="1" customFormat="1" ht="13" hidden="1" x14ac:dyDescent="0.3">
      <c r="B300" s="383">
        <v>2026</v>
      </c>
      <c r="C300" s="361" t="s">
        <v>458</v>
      </c>
      <c r="D300" s="361" t="s">
        <v>80</v>
      </c>
      <c r="E300" s="360" t="s">
        <v>88</v>
      </c>
      <c r="F300" s="360" t="s">
        <v>172</v>
      </c>
      <c r="G300" s="362"/>
      <c r="H300" s="363"/>
      <c r="I300" s="360" t="s">
        <v>175</v>
      </c>
      <c r="J300" s="364" t="str">
        <f>IFERROR(VLOOKUP(I300,Map!$F$18:$G$56,2,0),"Add in Map")</f>
        <v>3P</v>
      </c>
      <c r="K300" s="364" t="str">
        <f>VLOOKUP(L300,Map!$C$18:$D$29,2,0)</f>
        <v>GTT</v>
      </c>
      <c r="L300" s="360" t="s">
        <v>48</v>
      </c>
      <c r="M300" s="365"/>
      <c r="N300" s="366">
        <f t="shared" si="76"/>
        <v>0</v>
      </c>
      <c r="O300" s="366">
        <f t="shared" si="77"/>
        <v>0</v>
      </c>
      <c r="P300" s="367">
        <f t="shared" si="78"/>
        <v>0</v>
      </c>
      <c r="Q300" s="367">
        <f t="shared" si="79"/>
        <v>0</v>
      </c>
      <c r="R300" s="368">
        <f t="shared" si="73"/>
        <v>0</v>
      </c>
      <c r="S300" s="384">
        <f>INDEX(FX!$D$3:$O$19,MATCH(B300,FX!$B$3:$B$32,0),MATCH(D300,FX!$D$2:$O$2,0))</f>
        <v>924</v>
      </c>
      <c r="T300" s="360" t="s">
        <v>144</v>
      </c>
      <c r="U300" s="360" t="s">
        <v>155</v>
      </c>
      <c r="V300" s="360" t="s">
        <v>83</v>
      </c>
      <c r="W300" s="364" t="str">
        <f>VLOOKUP(I300,Map!$F$18:$H$51,3,0)</f>
        <v>Variable</v>
      </c>
      <c r="X300" s="370" t="s">
        <v>172</v>
      </c>
      <c r="Y300" s="364" t="str">
        <f>VLOOKUP(L300,Map!$C$18:$D$29,2,0)</f>
        <v>GTT</v>
      </c>
      <c r="Z300" s="365">
        <v>56991.288124088198</v>
      </c>
      <c r="AA300" s="366">
        <f t="shared" si="70"/>
        <v>0</v>
      </c>
      <c r="AB300" s="366">
        <f t="shared" si="74"/>
        <v>67819.632867664957</v>
      </c>
      <c r="AC300" s="367">
        <f t="shared" si="71"/>
        <v>61.678883251177702</v>
      </c>
      <c r="AD300" s="367">
        <f t="shared" si="72"/>
        <v>0</v>
      </c>
      <c r="AE300" s="368">
        <f t="shared" si="75"/>
        <v>73.397871068901466</v>
      </c>
      <c r="AF300" s="385"/>
    </row>
    <row r="301" spans="2:32" s="1" customFormat="1" ht="13" hidden="1" x14ac:dyDescent="0.3">
      <c r="B301" s="383">
        <v>2026</v>
      </c>
      <c r="C301" s="361" t="s">
        <v>458</v>
      </c>
      <c r="D301" s="361" t="s">
        <v>80</v>
      </c>
      <c r="E301" s="360" t="s">
        <v>88</v>
      </c>
      <c r="F301" s="360" t="s">
        <v>172</v>
      </c>
      <c r="G301" s="362"/>
      <c r="H301" s="363"/>
      <c r="I301" s="360" t="s">
        <v>175</v>
      </c>
      <c r="J301" s="364" t="str">
        <f>IFERROR(VLOOKUP(I301,Map!$F$18:$G$56,2,0),"Add in Map")</f>
        <v>3P</v>
      </c>
      <c r="K301" s="364" t="str">
        <f>VLOOKUP(L301,Map!$C$18:$D$29,2,0)</f>
        <v>DGT</v>
      </c>
      <c r="L301" s="360" t="s">
        <v>50</v>
      </c>
      <c r="M301" s="365"/>
      <c r="N301" s="366">
        <f t="shared" si="76"/>
        <v>0</v>
      </c>
      <c r="O301" s="366">
        <f t="shared" si="77"/>
        <v>0</v>
      </c>
      <c r="P301" s="367">
        <f t="shared" si="78"/>
        <v>0</v>
      </c>
      <c r="Q301" s="367">
        <f t="shared" si="79"/>
        <v>0</v>
      </c>
      <c r="R301" s="368">
        <f t="shared" si="73"/>
        <v>0</v>
      </c>
      <c r="S301" s="384">
        <f>INDEX(FX!$D$3:$O$19,MATCH(B301,FX!$B$3:$B$32,0),MATCH(D301,FX!$D$2:$O$2,0))</f>
        <v>924</v>
      </c>
      <c r="T301" s="360" t="s">
        <v>144</v>
      </c>
      <c r="U301" s="360" t="s">
        <v>155</v>
      </c>
      <c r="V301" s="360" t="s">
        <v>83</v>
      </c>
      <c r="W301" s="364" t="str">
        <f>VLOOKUP(I301,Map!$F$18:$H$51,3,0)</f>
        <v>Variable</v>
      </c>
      <c r="X301" s="370" t="s">
        <v>172</v>
      </c>
      <c r="Y301" s="364" t="str">
        <f>VLOOKUP(L301,Map!$C$18:$D$29,2,0)</f>
        <v>DGT</v>
      </c>
      <c r="Z301" s="365">
        <v>0</v>
      </c>
      <c r="AA301" s="366">
        <f t="shared" si="70"/>
        <v>0</v>
      </c>
      <c r="AB301" s="366">
        <f t="shared" si="74"/>
        <v>0</v>
      </c>
      <c r="AC301" s="367">
        <f t="shared" si="71"/>
        <v>0</v>
      </c>
      <c r="AD301" s="367">
        <f t="shared" si="72"/>
        <v>0</v>
      </c>
      <c r="AE301" s="368">
        <f t="shared" si="75"/>
        <v>0</v>
      </c>
      <c r="AF301" s="385"/>
    </row>
    <row r="302" spans="2:32" s="1" customFormat="1" ht="13" hidden="1" x14ac:dyDescent="0.3">
      <c r="B302" s="383">
        <v>2026</v>
      </c>
      <c r="C302" s="361" t="s">
        <v>458</v>
      </c>
      <c r="D302" s="361" t="s">
        <v>80</v>
      </c>
      <c r="E302" s="360" t="s">
        <v>88</v>
      </c>
      <c r="F302" s="360" t="s">
        <v>172</v>
      </c>
      <c r="G302" s="362"/>
      <c r="H302" s="363"/>
      <c r="I302" s="360" t="s">
        <v>175</v>
      </c>
      <c r="J302" s="364" t="str">
        <f>IFERROR(VLOOKUP(I302,Map!$F$18:$G$56,2,0),"Add in Map")</f>
        <v>3P</v>
      </c>
      <c r="K302" s="364" t="str">
        <f>VLOOKUP(L302,Map!$C$18:$D$29,2,0)</f>
        <v>DLT</v>
      </c>
      <c r="L302" s="360" t="s">
        <v>52</v>
      </c>
      <c r="M302" s="365"/>
      <c r="N302" s="366">
        <f t="shared" si="76"/>
        <v>0</v>
      </c>
      <c r="O302" s="366">
        <f t="shared" si="77"/>
        <v>0</v>
      </c>
      <c r="P302" s="367">
        <f t="shared" si="78"/>
        <v>0</v>
      </c>
      <c r="Q302" s="367">
        <f t="shared" si="79"/>
        <v>0</v>
      </c>
      <c r="R302" s="368">
        <f t="shared" si="73"/>
        <v>0</v>
      </c>
      <c r="S302" s="384">
        <f>INDEX(FX!$D$3:$O$19,MATCH(B302,FX!$B$3:$B$32,0),MATCH(D302,FX!$D$2:$O$2,0))</f>
        <v>924</v>
      </c>
      <c r="T302" s="360" t="s">
        <v>144</v>
      </c>
      <c r="U302" s="360" t="s">
        <v>155</v>
      </c>
      <c r="V302" s="360" t="s">
        <v>83</v>
      </c>
      <c r="W302" s="364" t="str">
        <f>VLOOKUP(I302,Map!$F$18:$H$51,3,0)</f>
        <v>Variable</v>
      </c>
      <c r="X302" s="370" t="s">
        <v>172</v>
      </c>
      <c r="Y302" s="364" t="str">
        <f>VLOOKUP(L302,Map!$C$18:$D$29,2,0)</f>
        <v>DLT</v>
      </c>
      <c r="Z302" s="365"/>
      <c r="AA302" s="366">
        <f t="shared" si="70"/>
        <v>0</v>
      </c>
      <c r="AB302" s="366">
        <f t="shared" si="74"/>
        <v>0</v>
      </c>
      <c r="AC302" s="367">
        <f t="shared" si="71"/>
        <v>0</v>
      </c>
      <c r="AD302" s="367">
        <f t="shared" si="72"/>
        <v>0</v>
      </c>
      <c r="AE302" s="368">
        <f t="shared" si="75"/>
        <v>0</v>
      </c>
      <c r="AF302" s="385"/>
    </row>
    <row r="303" spans="2:32" s="1" customFormat="1" ht="13" hidden="1" x14ac:dyDescent="0.3">
      <c r="B303" s="383">
        <v>2026</v>
      </c>
      <c r="C303" s="361" t="s">
        <v>458</v>
      </c>
      <c r="D303" s="361" t="s">
        <v>80</v>
      </c>
      <c r="E303" s="360" t="s">
        <v>88</v>
      </c>
      <c r="F303" s="360" t="s">
        <v>172</v>
      </c>
      <c r="G303" s="362"/>
      <c r="H303" s="363"/>
      <c r="I303" s="360" t="s">
        <v>175</v>
      </c>
      <c r="J303" s="364" t="str">
        <f>IFERROR(VLOOKUP(I303,Map!$F$18:$G$56,2,0),"Add in Map")</f>
        <v>3P</v>
      </c>
      <c r="K303" s="364" t="str">
        <f>VLOOKUP(L303,Map!$C$18:$D$29,2,0)</f>
        <v>DMT</v>
      </c>
      <c r="L303" s="360" t="s">
        <v>54</v>
      </c>
      <c r="M303" s="365"/>
      <c r="N303" s="366">
        <f t="shared" si="76"/>
        <v>0</v>
      </c>
      <c r="O303" s="366">
        <f t="shared" si="77"/>
        <v>0</v>
      </c>
      <c r="P303" s="386">
        <f t="shared" si="78"/>
        <v>0</v>
      </c>
      <c r="Q303" s="367">
        <f t="shared" si="79"/>
        <v>0</v>
      </c>
      <c r="R303" s="368">
        <f t="shared" si="73"/>
        <v>0</v>
      </c>
      <c r="S303" s="384">
        <f>INDEX(FX!$D$3:$O$19,MATCH(B303,FX!$B$3:$B$32,0),MATCH(D303,FX!$D$2:$O$2,0))</f>
        <v>924</v>
      </c>
      <c r="T303" s="360" t="s">
        <v>144</v>
      </c>
      <c r="U303" s="360" t="s">
        <v>155</v>
      </c>
      <c r="V303" s="360" t="s">
        <v>83</v>
      </c>
      <c r="W303" s="364" t="str">
        <f>VLOOKUP(I303,Map!$F$18:$H$51,3,0)</f>
        <v>Variable</v>
      </c>
      <c r="X303" s="370" t="s">
        <v>172</v>
      </c>
      <c r="Y303" s="364" t="str">
        <f>VLOOKUP(L303,Map!$C$18:$D$29,2,0)</f>
        <v>DMT</v>
      </c>
      <c r="Z303" s="365"/>
      <c r="AA303" s="366">
        <f t="shared" si="70"/>
        <v>0</v>
      </c>
      <c r="AB303" s="366">
        <f t="shared" si="74"/>
        <v>0</v>
      </c>
      <c r="AC303" s="386">
        <f t="shared" si="71"/>
        <v>0</v>
      </c>
      <c r="AD303" s="367">
        <f t="shared" si="72"/>
        <v>0</v>
      </c>
      <c r="AE303" s="368">
        <f t="shared" si="75"/>
        <v>0</v>
      </c>
      <c r="AF303" s="385"/>
    </row>
    <row r="304" spans="2:32" s="37" customFormat="1" hidden="1" x14ac:dyDescent="0.35">
      <c r="B304" s="387">
        <v>2026</v>
      </c>
      <c r="C304" s="389" t="s">
        <v>458</v>
      </c>
      <c r="D304" s="389" t="s">
        <v>80</v>
      </c>
      <c r="E304" s="388" t="s">
        <v>88</v>
      </c>
      <c r="F304" s="388" t="s">
        <v>172</v>
      </c>
      <c r="G304" s="390"/>
      <c r="H304" s="391"/>
      <c r="I304" s="388" t="s">
        <v>175</v>
      </c>
      <c r="J304" s="392" t="str">
        <f>IFERROR(VLOOKUP(I304,Map!$F$18:$G$56,2,0),"Add in Map")</f>
        <v>3P</v>
      </c>
      <c r="K304" s="392" t="str">
        <f>VLOOKUP(L304,Map!$C$18:$D$29,2,0)</f>
        <v>TOTAL</v>
      </c>
      <c r="L304" s="388" t="s">
        <v>56</v>
      </c>
      <c r="M304" s="393">
        <f>SUM(M293:M303)</f>
        <v>0</v>
      </c>
      <c r="N304" s="393">
        <f t="shared" si="76"/>
        <v>0</v>
      </c>
      <c r="O304" s="393">
        <f t="shared" si="77"/>
        <v>0</v>
      </c>
      <c r="P304" s="394">
        <f t="shared" si="78"/>
        <v>0</v>
      </c>
      <c r="Q304" s="394">
        <f t="shared" si="79"/>
        <v>0</v>
      </c>
      <c r="R304" s="395">
        <f t="shared" si="73"/>
        <v>0</v>
      </c>
      <c r="S304" s="396">
        <f>INDEX(FX!$D$3:$O$19,MATCH(B304,FX!$B$3:$B$32,0),MATCH(D304,FX!$D$2:$O$2,0))</f>
        <v>924</v>
      </c>
      <c r="T304" s="388" t="s">
        <v>144</v>
      </c>
      <c r="U304" s="388" t="s">
        <v>155</v>
      </c>
      <c r="V304" s="388" t="s">
        <v>83</v>
      </c>
      <c r="W304" s="392" t="str">
        <f>VLOOKUP(I304,Map!$F$18:$H$51,3,0)</f>
        <v>Variable</v>
      </c>
      <c r="X304" s="397" t="s">
        <v>172</v>
      </c>
      <c r="Y304" s="392" t="str">
        <f>VLOOKUP(L304,Map!$C$18:$D$29,2,0)</f>
        <v>TOTAL</v>
      </c>
      <c r="Z304" s="393">
        <f>SUM(Z293:Z303)</f>
        <v>2735581.8299562335</v>
      </c>
      <c r="AA304" s="393">
        <f t="shared" si="70"/>
        <v>519760.54769168439</v>
      </c>
      <c r="AB304" s="393">
        <f t="shared" si="74"/>
        <v>3255342.3776479177</v>
      </c>
      <c r="AC304" s="394">
        <f t="shared" si="71"/>
        <v>2960.5863960565298</v>
      </c>
      <c r="AD304" s="394">
        <f t="shared" si="72"/>
        <v>562.5114152507407</v>
      </c>
      <c r="AE304" s="395">
        <f t="shared" si="75"/>
        <v>3523.0978113072701</v>
      </c>
      <c r="AF304" s="398"/>
    </row>
    <row r="305" spans="2:32" s="5" customFormat="1" ht="13" hidden="1" x14ac:dyDescent="0.3">
      <c r="B305" s="400">
        <v>2026</v>
      </c>
      <c r="C305" s="402" t="s">
        <v>404</v>
      </c>
      <c r="D305" s="402" t="s">
        <v>80</v>
      </c>
      <c r="E305" s="401" t="s">
        <v>88</v>
      </c>
      <c r="F305" s="401" t="s">
        <v>172</v>
      </c>
      <c r="G305" s="403"/>
      <c r="H305" s="404"/>
      <c r="I305" s="401" t="s">
        <v>175</v>
      </c>
      <c r="J305" s="405" t="str">
        <f>IFERROR(VLOOKUP(I305,Map!$F$18:$G$56,2,0),"Add in Map")</f>
        <v>3P</v>
      </c>
      <c r="K305" s="405" t="str">
        <f>VLOOKUP(L305,Map!$C$18:$D$29,2,0)</f>
        <v>CNT</v>
      </c>
      <c r="L305" s="401" t="s">
        <v>31</v>
      </c>
      <c r="M305" s="406"/>
      <c r="N305" s="407">
        <f t="shared" si="76"/>
        <v>0</v>
      </c>
      <c r="O305" s="407">
        <f t="shared" si="77"/>
        <v>0</v>
      </c>
      <c r="P305" s="408">
        <f t="shared" si="78"/>
        <v>0</v>
      </c>
      <c r="Q305" s="408">
        <f t="shared" si="79"/>
        <v>0</v>
      </c>
      <c r="R305" s="409">
        <f t="shared" si="73"/>
        <v>0</v>
      </c>
      <c r="S305" s="410">
        <f>INDEX(FX!$D$3:$O$19,MATCH(B305,FX!$B$3:$B$32,0),MATCH(D305,FX!$D$2:$O$2,0))</f>
        <v>924</v>
      </c>
      <c r="T305" s="401" t="s">
        <v>143</v>
      </c>
      <c r="U305" s="401" t="s">
        <v>155</v>
      </c>
      <c r="V305" s="401" t="s">
        <v>83</v>
      </c>
      <c r="W305" s="405" t="str">
        <f>VLOOKUP(I305,Map!$F$18:$H$51,3,0)</f>
        <v>Variable</v>
      </c>
      <c r="X305" s="411" t="s">
        <v>172</v>
      </c>
      <c r="Y305" s="405" t="str">
        <f>VLOOKUP(L305,Map!$C$18:$D$29,2,0)</f>
        <v>CNT</v>
      </c>
      <c r="Z305" s="406">
        <v>1503053.3638034689</v>
      </c>
      <c r="AA305" s="407">
        <f t="shared" si="70"/>
        <v>0</v>
      </c>
      <c r="AB305" s="407">
        <f t="shared" si="74"/>
        <v>1788633.502926128</v>
      </c>
      <c r="AC305" s="408">
        <f t="shared" si="71"/>
        <v>1626.6811296574338</v>
      </c>
      <c r="AD305" s="408">
        <f t="shared" si="72"/>
        <v>0</v>
      </c>
      <c r="AE305" s="409">
        <f t="shared" si="75"/>
        <v>1935.7505442923461</v>
      </c>
      <c r="AF305" s="412"/>
    </row>
    <row r="306" spans="2:32" s="1" customFormat="1" ht="13" hidden="1" x14ac:dyDescent="0.3">
      <c r="B306" s="383">
        <v>2026</v>
      </c>
      <c r="C306" s="361" t="s">
        <v>404</v>
      </c>
      <c r="D306" s="361" t="s">
        <v>80</v>
      </c>
      <c r="E306" s="360" t="s">
        <v>88</v>
      </c>
      <c r="F306" s="360" t="s">
        <v>172</v>
      </c>
      <c r="G306" s="362"/>
      <c r="H306" s="363"/>
      <c r="I306" s="360" t="s">
        <v>175</v>
      </c>
      <c r="J306" s="364" t="str">
        <f>IFERROR(VLOOKUP(I306,Map!$F$18:$G$56,2,0),"Add in Map")</f>
        <v>3P</v>
      </c>
      <c r="K306" s="364" t="str">
        <f>VLOOKUP(L306,Map!$C$18:$D$29,2,0)</f>
        <v>CVT</v>
      </c>
      <c r="L306" s="360" t="s">
        <v>36</v>
      </c>
      <c r="M306" s="365"/>
      <c r="N306" s="366">
        <f t="shared" si="76"/>
        <v>0</v>
      </c>
      <c r="O306" s="366">
        <f t="shared" si="77"/>
        <v>0</v>
      </c>
      <c r="P306" s="367">
        <f t="shared" si="78"/>
        <v>0</v>
      </c>
      <c r="Q306" s="367">
        <f t="shared" si="79"/>
        <v>0</v>
      </c>
      <c r="R306" s="368">
        <f t="shared" si="73"/>
        <v>0</v>
      </c>
      <c r="S306" s="384">
        <f>INDEX(FX!$D$3:$O$19,MATCH(B306,FX!$B$3:$B$32,0),MATCH(D306,FX!$D$2:$O$2,0))</f>
        <v>924</v>
      </c>
      <c r="T306" s="360" t="s">
        <v>143</v>
      </c>
      <c r="U306" s="360" t="s">
        <v>155</v>
      </c>
      <c r="V306" s="360" t="s">
        <v>83</v>
      </c>
      <c r="W306" s="364" t="str">
        <f>VLOOKUP(I306,Map!$F$18:$H$51,3,0)</f>
        <v>Variable</v>
      </c>
      <c r="X306" s="370" t="s">
        <v>172</v>
      </c>
      <c r="Y306" s="364" t="str">
        <f>VLOOKUP(L306,Map!$C$18:$D$29,2,0)</f>
        <v>CVT</v>
      </c>
      <c r="Z306" s="365">
        <v>0</v>
      </c>
      <c r="AA306" s="366">
        <f t="shared" si="70"/>
        <v>0</v>
      </c>
      <c r="AB306" s="366">
        <f t="shared" si="74"/>
        <v>0</v>
      </c>
      <c r="AC306" s="367">
        <f t="shared" si="71"/>
        <v>0</v>
      </c>
      <c r="AD306" s="367">
        <f t="shared" si="72"/>
        <v>0</v>
      </c>
      <c r="AE306" s="368">
        <f t="shared" si="75"/>
        <v>0</v>
      </c>
      <c r="AF306" s="385"/>
    </row>
    <row r="307" spans="2:32" s="1" customFormat="1" ht="13" hidden="1" x14ac:dyDescent="0.3">
      <c r="B307" s="383">
        <v>2026</v>
      </c>
      <c r="C307" s="361" t="s">
        <v>404</v>
      </c>
      <c r="D307" s="361" t="s">
        <v>80</v>
      </c>
      <c r="E307" s="360" t="s">
        <v>88</v>
      </c>
      <c r="F307" s="360" t="s">
        <v>172</v>
      </c>
      <c r="G307" s="362"/>
      <c r="H307" s="363"/>
      <c r="I307" s="360" t="s">
        <v>175</v>
      </c>
      <c r="J307" s="364" t="str">
        <f>IFERROR(VLOOKUP(I307,Map!$F$18:$G$56,2,0),"Add in Map")</f>
        <v>3P</v>
      </c>
      <c r="K307" s="364" t="str">
        <f>VLOOKUP(L307,Map!$C$18:$D$29,2,0)</f>
        <v>CDT</v>
      </c>
      <c r="L307" s="360" t="s">
        <v>38</v>
      </c>
      <c r="M307" s="365"/>
      <c r="N307" s="366">
        <f t="shared" si="76"/>
        <v>0</v>
      </c>
      <c r="O307" s="366">
        <f t="shared" si="77"/>
        <v>0</v>
      </c>
      <c r="P307" s="367">
        <f t="shared" si="78"/>
        <v>0</v>
      </c>
      <c r="Q307" s="367">
        <f t="shared" si="79"/>
        <v>0</v>
      </c>
      <c r="R307" s="368">
        <f t="shared" si="73"/>
        <v>0</v>
      </c>
      <c r="S307" s="384">
        <f>INDEX(FX!$D$3:$O$19,MATCH(B307,FX!$B$3:$B$32,0),MATCH(D307,FX!$D$2:$O$2,0))</f>
        <v>924</v>
      </c>
      <c r="T307" s="360" t="s">
        <v>143</v>
      </c>
      <c r="U307" s="360" t="s">
        <v>155</v>
      </c>
      <c r="V307" s="360" t="s">
        <v>83</v>
      </c>
      <c r="W307" s="364" t="str">
        <f>VLOOKUP(I307,Map!$F$18:$H$51,3,0)</f>
        <v>Variable</v>
      </c>
      <c r="X307" s="370" t="s">
        <v>172</v>
      </c>
      <c r="Y307" s="364" t="str">
        <f>VLOOKUP(L307,Map!$C$18:$D$29,2,0)</f>
        <v>CDT</v>
      </c>
      <c r="Z307" s="365">
        <v>0</v>
      </c>
      <c r="AA307" s="366">
        <f t="shared" si="70"/>
        <v>0</v>
      </c>
      <c r="AB307" s="366">
        <f t="shared" si="74"/>
        <v>0</v>
      </c>
      <c r="AC307" s="367">
        <f t="shared" si="71"/>
        <v>0</v>
      </c>
      <c r="AD307" s="367">
        <f t="shared" si="72"/>
        <v>0</v>
      </c>
      <c r="AE307" s="368">
        <f t="shared" si="75"/>
        <v>0</v>
      </c>
      <c r="AF307" s="385"/>
    </row>
    <row r="308" spans="2:32" s="1" customFormat="1" ht="13" hidden="1" x14ac:dyDescent="0.3">
      <c r="B308" s="383">
        <v>2026</v>
      </c>
      <c r="C308" s="361" t="s">
        <v>404</v>
      </c>
      <c r="D308" s="361" t="s">
        <v>80</v>
      </c>
      <c r="E308" s="360" t="s">
        <v>88</v>
      </c>
      <c r="F308" s="360" t="s">
        <v>172</v>
      </c>
      <c r="G308" s="362"/>
      <c r="H308" s="363"/>
      <c r="I308" s="360" t="s">
        <v>175</v>
      </c>
      <c r="J308" s="364" t="str">
        <f>IFERROR(VLOOKUP(I308,Map!$F$18:$G$56,2,0),"Add in Map")</f>
        <v>3P</v>
      </c>
      <c r="K308" s="364" t="str">
        <f>VLOOKUP(L308,Map!$C$18:$D$29,2,0)</f>
        <v>DFT</v>
      </c>
      <c r="L308" s="360" t="s">
        <v>40</v>
      </c>
      <c r="M308" s="365"/>
      <c r="N308" s="366">
        <f t="shared" si="76"/>
        <v>0</v>
      </c>
      <c r="O308" s="366">
        <f t="shared" si="77"/>
        <v>0</v>
      </c>
      <c r="P308" s="367">
        <f t="shared" si="78"/>
        <v>0</v>
      </c>
      <c r="Q308" s="367">
        <f t="shared" si="79"/>
        <v>0</v>
      </c>
      <c r="R308" s="368">
        <f t="shared" si="73"/>
        <v>0</v>
      </c>
      <c r="S308" s="384">
        <f>INDEX(FX!$D$3:$O$19,MATCH(B308,FX!$B$3:$B$32,0),MATCH(D308,FX!$D$2:$O$2,0))</f>
        <v>924</v>
      </c>
      <c r="T308" s="360" t="s">
        <v>143</v>
      </c>
      <c r="U308" s="360" t="s">
        <v>155</v>
      </c>
      <c r="V308" s="360" t="s">
        <v>83</v>
      </c>
      <c r="W308" s="364" t="str">
        <f>VLOOKUP(I308,Map!$F$18:$H$51,3,0)</f>
        <v>Variable</v>
      </c>
      <c r="X308" s="370" t="s">
        <v>172</v>
      </c>
      <c r="Y308" s="364" t="str">
        <f>VLOOKUP(L308,Map!$C$18:$D$29,2,0)</f>
        <v>DFT</v>
      </c>
      <c r="Z308" s="365">
        <v>3211068.549943774</v>
      </c>
      <c r="AA308" s="366">
        <f t="shared" si="70"/>
        <v>0</v>
      </c>
      <c r="AB308" s="366">
        <f t="shared" si="74"/>
        <v>3821171.5744330911</v>
      </c>
      <c r="AC308" s="367">
        <f t="shared" si="71"/>
        <v>3475.1824133590626</v>
      </c>
      <c r="AD308" s="367">
        <f t="shared" si="72"/>
        <v>0</v>
      </c>
      <c r="AE308" s="368">
        <f t="shared" si="75"/>
        <v>4135.4670718972839</v>
      </c>
      <c r="AF308" s="385"/>
    </row>
    <row r="309" spans="2:32" s="1" customFormat="1" ht="13" hidden="1" x14ac:dyDescent="0.3">
      <c r="B309" s="383">
        <v>2026</v>
      </c>
      <c r="C309" s="361" t="s">
        <v>404</v>
      </c>
      <c r="D309" s="361" t="s">
        <v>80</v>
      </c>
      <c r="E309" s="360" t="s">
        <v>88</v>
      </c>
      <c r="F309" s="360" t="s">
        <v>172</v>
      </c>
      <c r="G309" s="362"/>
      <c r="H309" s="363"/>
      <c r="I309" s="360" t="s">
        <v>175</v>
      </c>
      <c r="J309" s="364" t="str">
        <f>IFERROR(VLOOKUP(I309,Map!$F$18:$G$56,2,0),"Add in Map")</f>
        <v>3P</v>
      </c>
      <c r="K309" s="364" t="str">
        <f>VLOOKUP(L309,Map!$C$18:$D$29,2,0)</f>
        <v>DVT</v>
      </c>
      <c r="L309" s="360" t="s">
        <v>42</v>
      </c>
      <c r="M309" s="365"/>
      <c r="N309" s="366">
        <f t="shared" si="76"/>
        <v>0</v>
      </c>
      <c r="O309" s="366">
        <f t="shared" si="77"/>
        <v>0</v>
      </c>
      <c r="P309" s="367">
        <f t="shared" si="78"/>
        <v>0</v>
      </c>
      <c r="Q309" s="367">
        <f t="shared" si="79"/>
        <v>0</v>
      </c>
      <c r="R309" s="368">
        <f t="shared" si="73"/>
        <v>0</v>
      </c>
      <c r="S309" s="384">
        <f>INDEX(FX!$D$3:$O$19,MATCH(B309,FX!$B$3:$B$32,0),MATCH(D309,FX!$D$2:$O$2,0))</f>
        <v>924</v>
      </c>
      <c r="T309" s="360" t="s">
        <v>143</v>
      </c>
      <c r="U309" s="360" t="s">
        <v>155</v>
      </c>
      <c r="V309" s="360" t="s">
        <v>83</v>
      </c>
      <c r="W309" s="364" t="str">
        <f>VLOOKUP(I309,Map!$F$18:$H$51,3,0)</f>
        <v>Variable</v>
      </c>
      <c r="X309" s="370" t="s">
        <v>172</v>
      </c>
      <c r="Y309" s="364" t="str">
        <f>VLOOKUP(L309,Map!$C$18:$D$29,2,0)</f>
        <v>DVT</v>
      </c>
      <c r="Z309" s="365">
        <v>0</v>
      </c>
      <c r="AA309" s="366">
        <f t="shared" si="70"/>
        <v>0</v>
      </c>
      <c r="AB309" s="366">
        <f t="shared" si="74"/>
        <v>0</v>
      </c>
      <c r="AC309" s="367">
        <f t="shared" si="71"/>
        <v>0</v>
      </c>
      <c r="AD309" s="367">
        <f t="shared" si="72"/>
        <v>0</v>
      </c>
      <c r="AE309" s="368">
        <f t="shared" si="75"/>
        <v>0</v>
      </c>
      <c r="AF309" s="385"/>
    </row>
    <row r="310" spans="2:32" s="1" customFormat="1" ht="13" hidden="1" x14ac:dyDescent="0.3">
      <c r="B310" s="383">
        <v>2026</v>
      </c>
      <c r="C310" s="361" t="s">
        <v>404</v>
      </c>
      <c r="D310" s="361" t="s">
        <v>80</v>
      </c>
      <c r="E310" s="360" t="s">
        <v>88</v>
      </c>
      <c r="F310" s="360" t="s">
        <v>172</v>
      </c>
      <c r="G310" s="362"/>
      <c r="H310" s="363"/>
      <c r="I310" s="360" t="s">
        <v>175</v>
      </c>
      <c r="J310" s="364" t="str">
        <f>IFERROR(VLOOKUP(I310,Map!$F$18:$G$56,2,0),"Add in Map")</f>
        <v>3P</v>
      </c>
      <c r="K310" s="364" t="str">
        <f>VLOOKUP(L310,Map!$C$18:$D$29,2,0)</f>
        <v>GLT</v>
      </c>
      <c r="L310" s="360" t="s">
        <v>44</v>
      </c>
      <c r="M310" s="365"/>
      <c r="N310" s="366">
        <f t="shared" si="76"/>
        <v>0</v>
      </c>
      <c r="O310" s="366">
        <f t="shared" si="77"/>
        <v>0</v>
      </c>
      <c r="P310" s="367">
        <f t="shared" si="78"/>
        <v>0</v>
      </c>
      <c r="Q310" s="367">
        <f t="shared" si="79"/>
        <v>0</v>
      </c>
      <c r="R310" s="368">
        <f t="shared" si="73"/>
        <v>0</v>
      </c>
      <c r="S310" s="384">
        <f>INDEX(FX!$D$3:$O$19,MATCH(B310,FX!$B$3:$B$32,0),MATCH(D310,FX!$D$2:$O$2,0))</f>
        <v>924</v>
      </c>
      <c r="T310" s="360" t="s">
        <v>143</v>
      </c>
      <c r="U310" s="360" t="s">
        <v>155</v>
      </c>
      <c r="V310" s="360" t="s">
        <v>83</v>
      </c>
      <c r="W310" s="364" t="str">
        <f>VLOOKUP(I310,Map!$F$18:$H$51,3,0)</f>
        <v>Variable</v>
      </c>
      <c r="X310" s="370" t="s">
        <v>172</v>
      </c>
      <c r="Y310" s="364" t="str">
        <f>VLOOKUP(L310,Map!$C$18:$D$29,2,0)</f>
        <v>GLT</v>
      </c>
      <c r="Z310" s="365">
        <v>1708015.1861403056</v>
      </c>
      <c r="AA310" s="366">
        <f t="shared" si="70"/>
        <v>0</v>
      </c>
      <c r="AB310" s="366">
        <f t="shared" si="74"/>
        <v>2032538.0715069636</v>
      </c>
      <c r="AC310" s="367">
        <f t="shared" si="71"/>
        <v>1848.5012837016295</v>
      </c>
      <c r="AD310" s="367">
        <f t="shared" si="72"/>
        <v>0</v>
      </c>
      <c r="AE310" s="368">
        <f t="shared" si="75"/>
        <v>2199.7165276049391</v>
      </c>
      <c r="AF310" s="385"/>
    </row>
    <row r="311" spans="2:32" s="1" customFormat="1" ht="13" hidden="1" x14ac:dyDescent="0.3">
      <c r="B311" s="383">
        <v>2026</v>
      </c>
      <c r="C311" s="361" t="s">
        <v>404</v>
      </c>
      <c r="D311" s="361" t="s">
        <v>80</v>
      </c>
      <c r="E311" s="360" t="s">
        <v>88</v>
      </c>
      <c r="F311" s="360" t="s">
        <v>172</v>
      </c>
      <c r="G311" s="362"/>
      <c r="H311" s="363"/>
      <c r="I311" s="360" t="s">
        <v>175</v>
      </c>
      <c r="J311" s="364" t="str">
        <f>IFERROR(VLOOKUP(I311,Map!$F$18:$G$56,2,0),"Add in Map")</f>
        <v>3P</v>
      </c>
      <c r="K311" s="364" t="str">
        <f>VLOOKUP(L311,Map!$C$18:$D$29,2,0)</f>
        <v>PNT</v>
      </c>
      <c r="L311" s="360" t="s">
        <v>46</v>
      </c>
      <c r="M311" s="365"/>
      <c r="N311" s="366">
        <f t="shared" si="76"/>
        <v>0</v>
      </c>
      <c r="O311" s="366">
        <f t="shared" si="77"/>
        <v>0</v>
      </c>
      <c r="P311" s="367">
        <f t="shared" si="78"/>
        <v>0</v>
      </c>
      <c r="Q311" s="367">
        <f t="shared" si="79"/>
        <v>0</v>
      </c>
      <c r="R311" s="368">
        <f t="shared" si="73"/>
        <v>0</v>
      </c>
      <c r="S311" s="384">
        <f>INDEX(FX!$D$3:$O$19,MATCH(B311,FX!$B$3:$B$32,0),MATCH(D311,FX!$D$2:$O$2,0))</f>
        <v>924</v>
      </c>
      <c r="T311" s="360" t="s">
        <v>143</v>
      </c>
      <c r="U311" s="360" t="s">
        <v>155</v>
      </c>
      <c r="V311" s="360" t="s">
        <v>83</v>
      </c>
      <c r="W311" s="364" t="str">
        <f>VLOOKUP(I311,Map!$F$18:$H$51,3,0)</f>
        <v>Variable</v>
      </c>
      <c r="X311" s="370" t="s">
        <v>172</v>
      </c>
      <c r="Y311" s="364" t="str">
        <f>VLOOKUP(L311,Map!$C$18:$D$29,2,0)</f>
        <v>PNT</v>
      </c>
      <c r="Z311" s="365">
        <v>0</v>
      </c>
      <c r="AA311" s="366">
        <f t="shared" si="70"/>
        <v>0</v>
      </c>
      <c r="AB311" s="366">
        <f t="shared" si="74"/>
        <v>0</v>
      </c>
      <c r="AC311" s="367">
        <f t="shared" si="71"/>
        <v>0</v>
      </c>
      <c r="AD311" s="367">
        <f t="shared" si="72"/>
        <v>0</v>
      </c>
      <c r="AE311" s="368">
        <f t="shared" si="75"/>
        <v>0</v>
      </c>
      <c r="AF311" s="385"/>
    </row>
    <row r="312" spans="2:32" s="1" customFormat="1" ht="13" hidden="1" x14ac:dyDescent="0.3">
      <c r="B312" s="383">
        <v>2026</v>
      </c>
      <c r="C312" s="361" t="s">
        <v>404</v>
      </c>
      <c r="D312" s="361" t="s">
        <v>80</v>
      </c>
      <c r="E312" s="360" t="s">
        <v>88</v>
      </c>
      <c r="F312" s="360" t="s">
        <v>172</v>
      </c>
      <c r="G312" s="362"/>
      <c r="H312" s="363"/>
      <c r="I312" s="360" t="s">
        <v>175</v>
      </c>
      <c r="J312" s="364" t="str">
        <f>IFERROR(VLOOKUP(I312,Map!$F$18:$G$56,2,0),"Add in Map")</f>
        <v>3P</v>
      </c>
      <c r="K312" s="364" t="str">
        <f>VLOOKUP(L312,Map!$C$18:$D$29,2,0)</f>
        <v>GTT</v>
      </c>
      <c r="L312" s="360" t="s">
        <v>48</v>
      </c>
      <c r="M312" s="365"/>
      <c r="N312" s="366">
        <f t="shared" si="76"/>
        <v>0</v>
      </c>
      <c r="O312" s="366">
        <f t="shared" si="77"/>
        <v>0</v>
      </c>
      <c r="P312" s="367">
        <f t="shared" si="78"/>
        <v>0</v>
      </c>
      <c r="Q312" s="367">
        <f t="shared" si="79"/>
        <v>0</v>
      </c>
      <c r="R312" s="368">
        <f t="shared" si="73"/>
        <v>0</v>
      </c>
      <c r="S312" s="384">
        <f>INDEX(FX!$D$3:$O$19,MATCH(B312,FX!$B$3:$B$32,0),MATCH(D312,FX!$D$2:$O$2,0))</f>
        <v>924</v>
      </c>
      <c r="T312" s="360" t="s">
        <v>143</v>
      </c>
      <c r="U312" s="360" t="s">
        <v>155</v>
      </c>
      <c r="V312" s="360" t="s">
        <v>83</v>
      </c>
      <c r="W312" s="364" t="str">
        <f>VLOOKUP(I312,Map!$F$18:$H$51,3,0)</f>
        <v>Variable</v>
      </c>
      <c r="X312" s="370" t="s">
        <v>172</v>
      </c>
      <c r="Y312" s="364" t="str">
        <f>VLOOKUP(L312,Map!$C$18:$D$29,2,0)</f>
        <v>GTT</v>
      </c>
      <c r="Z312" s="365">
        <v>136641.21489122443</v>
      </c>
      <c r="AA312" s="366">
        <f t="shared" si="70"/>
        <v>0</v>
      </c>
      <c r="AB312" s="366">
        <f t="shared" si="74"/>
        <v>162603.04572055707</v>
      </c>
      <c r="AC312" s="367">
        <f t="shared" si="71"/>
        <v>147.88010269613034</v>
      </c>
      <c r="AD312" s="367">
        <f t="shared" si="72"/>
        <v>0</v>
      </c>
      <c r="AE312" s="368">
        <f t="shared" si="75"/>
        <v>175.97732220839509</v>
      </c>
      <c r="AF312" s="385"/>
    </row>
    <row r="313" spans="2:32" s="1" customFormat="1" ht="13" hidden="1" x14ac:dyDescent="0.3">
      <c r="B313" s="383">
        <v>2026</v>
      </c>
      <c r="C313" s="361" t="s">
        <v>404</v>
      </c>
      <c r="D313" s="361" t="s">
        <v>80</v>
      </c>
      <c r="E313" s="360" t="s">
        <v>88</v>
      </c>
      <c r="F313" s="360" t="s">
        <v>172</v>
      </c>
      <c r="G313" s="362"/>
      <c r="H313" s="363"/>
      <c r="I313" s="360" t="s">
        <v>175</v>
      </c>
      <c r="J313" s="364" t="str">
        <f>IFERROR(VLOOKUP(I313,Map!$F$18:$G$56,2,0),"Add in Map")</f>
        <v>3P</v>
      </c>
      <c r="K313" s="364" t="str">
        <f>VLOOKUP(L313,Map!$C$18:$D$29,2,0)</f>
        <v>DGT</v>
      </c>
      <c r="L313" s="360" t="s">
        <v>50</v>
      </c>
      <c r="M313" s="365"/>
      <c r="N313" s="366">
        <f t="shared" si="76"/>
        <v>0</v>
      </c>
      <c r="O313" s="366">
        <f t="shared" si="77"/>
        <v>0</v>
      </c>
      <c r="P313" s="367">
        <f t="shared" si="78"/>
        <v>0</v>
      </c>
      <c r="Q313" s="367">
        <f t="shared" si="79"/>
        <v>0</v>
      </c>
      <c r="R313" s="368">
        <f t="shared" si="73"/>
        <v>0</v>
      </c>
      <c r="S313" s="384">
        <f>INDEX(FX!$D$3:$O$19,MATCH(B313,FX!$B$3:$B$32,0),MATCH(D313,FX!$D$2:$O$2,0))</f>
        <v>924</v>
      </c>
      <c r="T313" s="360" t="s">
        <v>143</v>
      </c>
      <c r="U313" s="360" t="s">
        <v>155</v>
      </c>
      <c r="V313" s="360" t="s">
        <v>83</v>
      </c>
      <c r="W313" s="364" t="str">
        <f>VLOOKUP(I313,Map!$F$18:$H$51,3,0)</f>
        <v>Variable</v>
      </c>
      <c r="X313" s="370" t="s">
        <v>172</v>
      </c>
      <c r="Y313" s="364" t="str">
        <f>VLOOKUP(L313,Map!$C$18:$D$29,2,0)</f>
        <v>DGT</v>
      </c>
      <c r="Z313" s="365">
        <v>0</v>
      </c>
      <c r="AA313" s="366">
        <f t="shared" si="70"/>
        <v>0</v>
      </c>
      <c r="AB313" s="366">
        <f t="shared" si="74"/>
        <v>0</v>
      </c>
      <c r="AC313" s="367">
        <f t="shared" si="71"/>
        <v>0</v>
      </c>
      <c r="AD313" s="367">
        <f t="shared" si="72"/>
        <v>0</v>
      </c>
      <c r="AE313" s="368">
        <f t="shared" si="75"/>
        <v>0</v>
      </c>
      <c r="AF313" s="385"/>
    </row>
    <row r="314" spans="2:32" s="1" customFormat="1" ht="13" hidden="1" x14ac:dyDescent="0.3">
      <c r="B314" s="383">
        <v>2026</v>
      </c>
      <c r="C314" s="361" t="s">
        <v>404</v>
      </c>
      <c r="D314" s="361" t="s">
        <v>80</v>
      </c>
      <c r="E314" s="360" t="s">
        <v>88</v>
      </c>
      <c r="F314" s="360" t="s">
        <v>172</v>
      </c>
      <c r="G314" s="362"/>
      <c r="H314" s="363"/>
      <c r="I314" s="360" t="s">
        <v>175</v>
      </c>
      <c r="J314" s="364" t="str">
        <f>IFERROR(VLOOKUP(I314,Map!$F$18:$G$56,2,0),"Add in Map")</f>
        <v>3P</v>
      </c>
      <c r="K314" s="364" t="str">
        <f>VLOOKUP(L314,Map!$C$18:$D$29,2,0)</f>
        <v>DLT</v>
      </c>
      <c r="L314" s="360" t="s">
        <v>52</v>
      </c>
      <c r="M314" s="365"/>
      <c r="N314" s="366">
        <f t="shared" si="76"/>
        <v>0</v>
      </c>
      <c r="O314" s="366">
        <f t="shared" si="77"/>
        <v>0</v>
      </c>
      <c r="P314" s="367">
        <f t="shared" si="78"/>
        <v>0</v>
      </c>
      <c r="Q314" s="367">
        <f t="shared" si="79"/>
        <v>0</v>
      </c>
      <c r="R314" s="368">
        <f t="shared" si="73"/>
        <v>0</v>
      </c>
      <c r="S314" s="384">
        <f>INDEX(FX!$D$3:$O$19,MATCH(B314,FX!$B$3:$B$32,0),MATCH(D314,FX!$D$2:$O$2,0))</f>
        <v>924</v>
      </c>
      <c r="T314" s="360" t="s">
        <v>143</v>
      </c>
      <c r="U314" s="360" t="s">
        <v>155</v>
      </c>
      <c r="V314" s="360" t="s">
        <v>83</v>
      </c>
      <c r="W314" s="364" t="str">
        <f>VLOOKUP(I314,Map!$F$18:$H$51,3,0)</f>
        <v>Variable</v>
      </c>
      <c r="X314" s="370" t="s">
        <v>172</v>
      </c>
      <c r="Y314" s="364" t="str">
        <f>VLOOKUP(L314,Map!$C$18:$D$29,2,0)</f>
        <v>DLT</v>
      </c>
      <c r="Z314" s="365"/>
      <c r="AA314" s="366">
        <f t="shared" si="70"/>
        <v>0</v>
      </c>
      <c r="AB314" s="366">
        <f t="shared" si="74"/>
        <v>0</v>
      </c>
      <c r="AC314" s="367">
        <f t="shared" si="71"/>
        <v>0</v>
      </c>
      <c r="AD314" s="367">
        <f t="shared" si="72"/>
        <v>0</v>
      </c>
      <c r="AE314" s="368">
        <f t="shared" si="75"/>
        <v>0</v>
      </c>
      <c r="AF314" s="385"/>
    </row>
    <row r="315" spans="2:32" s="1" customFormat="1" ht="13" hidden="1" x14ac:dyDescent="0.3">
      <c r="B315" s="383">
        <v>2026</v>
      </c>
      <c r="C315" s="361" t="s">
        <v>404</v>
      </c>
      <c r="D315" s="361" t="s">
        <v>80</v>
      </c>
      <c r="E315" s="360" t="s">
        <v>88</v>
      </c>
      <c r="F315" s="360" t="s">
        <v>172</v>
      </c>
      <c r="G315" s="362"/>
      <c r="H315" s="363"/>
      <c r="I315" s="360" t="s">
        <v>175</v>
      </c>
      <c r="J315" s="364" t="str">
        <f>IFERROR(VLOOKUP(I315,Map!$F$18:$G$56,2,0),"Add in Map")</f>
        <v>3P</v>
      </c>
      <c r="K315" s="364" t="str">
        <f>VLOOKUP(L315,Map!$C$18:$D$29,2,0)</f>
        <v>DMT</v>
      </c>
      <c r="L315" s="360" t="s">
        <v>54</v>
      </c>
      <c r="M315" s="365"/>
      <c r="N315" s="366">
        <f t="shared" si="76"/>
        <v>0</v>
      </c>
      <c r="O315" s="366">
        <f t="shared" si="77"/>
        <v>0</v>
      </c>
      <c r="P315" s="386">
        <f t="shared" si="78"/>
        <v>0</v>
      </c>
      <c r="Q315" s="367">
        <f t="shared" si="79"/>
        <v>0</v>
      </c>
      <c r="R315" s="368">
        <f t="shared" si="73"/>
        <v>0</v>
      </c>
      <c r="S315" s="384">
        <f>INDEX(FX!$D$3:$O$19,MATCH(B315,FX!$B$3:$B$32,0),MATCH(D315,FX!$D$2:$O$2,0))</f>
        <v>924</v>
      </c>
      <c r="T315" s="360" t="s">
        <v>143</v>
      </c>
      <c r="U315" s="360" t="s">
        <v>155</v>
      </c>
      <c r="V315" s="360" t="s">
        <v>83</v>
      </c>
      <c r="W315" s="364" t="str">
        <f>VLOOKUP(I315,Map!$F$18:$H$51,3,0)</f>
        <v>Variable</v>
      </c>
      <c r="X315" s="370" t="s">
        <v>172</v>
      </c>
      <c r="Y315" s="364" t="str">
        <f>VLOOKUP(L315,Map!$C$18:$D$29,2,0)</f>
        <v>DMT</v>
      </c>
      <c r="Z315" s="365"/>
      <c r="AA315" s="366">
        <f t="shared" si="70"/>
        <v>0</v>
      </c>
      <c r="AB315" s="366">
        <f t="shared" si="74"/>
        <v>0</v>
      </c>
      <c r="AC315" s="386">
        <f t="shared" si="71"/>
        <v>0</v>
      </c>
      <c r="AD315" s="367">
        <f t="shared" si="72"/>
        <v>0</v>
      </c>
      <c r="AE315" s="368">
        <f t="shared" si="75"/>
        <v>0</v>
      </c>
      <c r="AF315" s="385"/>
    </row>
    <row r="316" spans="2:32" s="37" customFormat="1" hidden="1" x14ac:dyDescent="0.35">
      <c r="B316" s="387">
        <v>2026</v>
      </c>
      <c r="C316" s="389" t="s">
        <v>404</v>
      </c>
      <c r="D316" s="389" t="s">
        <v>80</v>
      </c>
      <c r="E316" s="388" t="s">
        <v>88</v>
      </c>
      <c r="F316" s="388" t="s">
        <v>172</v>
      </c>
      <c r="G316" s="390"/>
      <c r="H316" s="391"/>
      <c r="I316" s="388" t="s">
        <v>175</v>
      </c>
      <c r="J316" s="392" t="str">
        <f>IFERROR(VLOOKUP(I316,Map!$F$18:$G$56,2,0),"Add in Map")</f>
        <v>3P</v>
      </c>
      <c r="K316" s="392" t="str">
        <f>VLOOKUP(L316,Map!$C$18:$D$29,2,0)</f>
        <v>TOTAL</v>
      </c>
      <c r="L316" s="388" t="s">
        <v>56</v>
      </c>
      <c r="M316" s="393">
        <f>SUM(M305:M315)</f>
        <v>0</v>
      </c>
      <c r="N316" s="393">
        <f t="shared" si="76"/>
        <v>0</v>
      </c>
      <c r="O316" s="393">
        <f t="shared" si="77"/>
        <v>0</v>
      </c>
      <c r="P316" s="394">
        <f t="shared" si="78"/>
        <v>0</v>
      </c>
      <c r="Q316" s="394">
        <f t="shared" si="79"/>
        <v>0</v>
      </c>
      <c r="R316" s="395">
        <f t="shared" si="73"/>
        <v>0</v>
      </c>
      <c r="S316" s="396">
        <f>INDEX(FX!$D$3:$O$19,MATCH(B316,FX!$B$3:$B$32,0),MATCH(D316,FX!$D$2:$O$2,0))</f>
        <v>924</v>
      </c>
      <c r="T316" s="388" t="s">
        <v>143</v>
      </c>
      <c r="U316" s="388" t="s">
        <v>155</v>
      </c>
      <c r="V316" s="388" t="s">
        <v>83</v>
      </c>
      <c r="W316" s="392" t="str">
        <f>VLOOKUP(I316,Map!$F$18:$H$51,3,0)</f>
        <v>Variable</v>
      </c>
      <c r="X316" s="397" t="s">
        <v>172</v>
      </c>
      <c r="Y316" s="392" t="str">
        <f>VLOOKUP(L316,Map!$C$18:$D$29,2,0)</f>
        <v>TOTAL</v>
      </c>
      <c r="Z316" s="393">
        <f>SUM(Z305:Z315)</f>
        <v>6558778.3147787722</v>
      </c>
      <c r="AA316" s="393">
        <f t="shared" si="70"/>
        <v>1246167.8798079668</v>
      </c>
      <c r="AB316" s="393">
        <f t="shared" si="74"/>
        <v>7804946.1945867389</v>
      </c>
      <c r="AC316" s="394">
        <f t="shared" si="71"/>
        <v>7098.2449294142552</v>
      </c>
      <c r="AD316" s="394">
        <f t="shared" si="72"/>
        <v>1348.6665365887086</v>
      </c>
      <c r="AE316" s="395">
        <f t="shared" si="75"/>
        <v>8446.9114660029627</v>
      </c>
      <c r="AF316" s="398"/>
    </row>
    <row r="317" spans="2:32" s="5" customFormat="1" ht="13" hidden="1" x14ac:dyDescent="0.3">
      <c r="B317" s="400">
        <v>2026</v>
      </c>
      <c r="C317" s="402" t="s">
        <v>407</v>
      </c>
      <c r="D317" s="402" t="s">
        <v>162</v>
      </c>
      <c r="E317" s="401" t="s">
        <v>88</v>
      </c>
      <c r="F317" s="401" t="s">
        <v>87</v>
      </c>
      <c r="G317" s="403">
        <v>46198</v>
      </c>
      <c r="H317" s="404">
        <v>58150768</v>
      </c>
      <c r="I317" s="401" t="s">
        <v>146</v>
      </c>
      <c r="J317" s="405" t="str">
        <f>IFERROR(VLOOKUP(I317,Map!$F$18:$G$56,2,0),"Add in Map")</f>
        <v>OBS</v>
      </c>
      <c r="K317" s="405" t="str">
        <f>VLOOKUP(L317,Map!$C$18:$D$29,2,0)</f>
        <v>CNT</v>
      </c>
      <c r="L317" s="401" t="s">
        <v>31</v>
      </c>
      <c r="M317" s="406">
        <v>1431054.3569751426</v>
      </c>
      <c r="N317" s="407">
        <f t="shared" si="76"/>
        <v>0</v>
      </c>
      <c r="O317" s="407">
        <f t="shared" si="77"/>
        <v>1702954.6848004197</v>
      </c>
      <c r="P317" s="408">
        <f t="shared" si="78"/>
        <v>1550.4380898972292</v>
      </c>
      <c r="Q317" s="408">
        <f t="shared" si="79"/>
        <v>0</v>
      </c>
      <c r="R317" s="409">
        <f t="shared" si="73"/>
        <v>1845.0213269777028</v>
      </c>
      <c r="S317" s="410">
        <f>INDEX(FX!$D$3:$O$19,MATCH(B317,FX!$B$3:$B$32,0),MATCH(D317,FX!$D$2:$O$2,0))</f>
        <v>923</v>
      </c>
      <c r="T317" s="401" t="s">
        <v>81</v>
      </c>
      <c r="U317" s="401" t="s">
        <v>32</v>
      </c>
      <c r="V317" s="401" t="s">
        <v>83</v>
      </c>
      <c r="W317" s="405" t="str">
        <f>VLOOKUP(I317,Map!$F$18:$H$51,3,0)</f>
        <v>Variable</v>
      </c>
      <c r="X317" s="411" t="s">
        <v>149</v>
      </c>
      <c r="Y317" s="405" t="str">
        <f>VLOOKUP(L317,Map!$C$18:$D$29,2,0)</f>
        <v>CNT</v>
      </c>
      <c r="Z317" s="406">
        <v>2793228.4421999995</v>
      </c>
      <c r="AA317" s="407">
        <f t="shared" si="70"/>
        <v>0</v>
      </c>
      <c r="AB317" s="407">
        <f t="shared" si="74"/>
        <v>3323941.8462179992</v>
      </c>
      <c r="AC317" s="408">
        <f t="shared" si="71"/>
        <v>3026.2496665222097</v>
      </c>
      <c r="AD317" s="408">
        <f t="shared" si="72"/>
        <v>0</v>
      </c>
      <c r="AE317" s="409">
        <f t="shared" si="75"/>
        <v>3601.2371031614293</v>
      </c>
      <c r="AF317" s="412"/>
    </row>
    <row r="318" spans="2:32" s="1" customFormat="1" ht="13" hidden="1" x14ac:dyDescent="0.3">
      <c r="B318" s="383">
        <v>2026</v>
      </c>
      <c r="C318" s="361" t="s">
        <v>407</v>
      </c>
      <c r="D318" s="361" t="s">
        <v>162</v>
      </c>
      <c r="E318" s="360" t="s">
        <v>88</v>
      </c>
      <c r="F318" s="360" t="s">
        <v>87</v>
      </c>
      <c r="G318" s="362">
        <v>46198</v>
      </c>
      <c r="H318" s="363">
        <v>58150768</v>
      </c>
      <c r="I318" s="360" t="s">
        <v>146</v>
      </c>
      <c r="J318" s="364" t="str">
        <f>IFERROR(VLOOKUP(I318,Map!$F$18:$G$56,2,0),"Add in Map")</f>
        <v>OBS</v>
      </c>
      <c r="K318" s="364" t="str">
        <f>VLOOKUP(L318,Map!$C$18:$D$29,2,0)</f>
        <v>CVT</v>
      </c>
      <c r="L318" s="360" t="s">
        <v>36</v>
      </c>
      <c r="M318" s="365">
        <v>33785.753454669415</v>
      </c>
      <c r="N318" s="366">
        <f t="shared" si="76"/>
        <v>0</v>
      </c>
      <c r="O318" s="366">
        <f t="shared" si="77"/>
        <v>40205.046611056605</v>
      </c>
      <c r="P318" s="367">
        <f t="shared" si="78"/>
        <v>36.604283266164046</v>
      </c>
      <c r="Q318" s="367">
        <f t="shared" si="79"/>
        <v>0</v>
      </c>
      <c r="R318" s="368">
        <f t="shared" si="73"/>
        <v>43.559097086735214</v>
      </c>
      <c r="S318" s="384">
        <f>INDEX(FX!$D$3:$O$19,MATCH(B318,FX!$B$3:$B$32,0),MATCH(D318,FX!$D$2:$O$2,0))</f>
        <v>923</v>
      </c>
      <c r="T318" s="360" t="s">
        <v>81</v>
      </c>
      <c r="U318" s="360" t="s">
        <v>32</v>
      </c>
      <c r="V318" s="360" t="s">
        <v>83</v>
      </c>
      <c r="W318" s="364" t="str">
        <f>VLOOKUP(I318,Map!$F$18:$H$51,3,0)</f>
        <v>Variable</v>
      </c>
      <c r="X318" s="370" t="s">
        <v>149</v>
      </c>
      <c r="Y318" s="364" t="str">
        <f>VLOOKUP(L318,Map!$C$18:$D$29,2,0)</f>
        <v>CVT</v>
      </c>
      <c r="Z318" s="365">
        <v>65945.312999999995</v>
      </c>
      <c r="AA318" s="366">
        <f t="shared" si="70"/>
        <v>0</v>
      </c>
      <c r="AB318" s="366">
        <f t="shared" si="74"/>
        <v>78474.92246999999</v>
      </c>
      <c r="AC318" s="367">
        <f t="shared" si="71"/>
        <v>71.446709642470196</v>
      </c>
      <c r="AD318" s="367">
        <f t="shared" si="72"/>
        <v>0</v>
      </c>
      <c r="AE318" s="368">
        <f t="shared" si="75"/>
        <v>85.021584474539523</v>
      </c>
      <c r="AF318" s="385"/>
    </row>
    <row r="319" spans="2:32" s="1" customFormat="1" ht="13" hidden="1" x14ac:dyDescent="0.3">
      <c r="B319" s="383">
        <v>2026</v>
      </c>
      <c r="C319" s="361" t="s">
        <v>407</v>
      </c>
      <c r="D319" s="361" t="s">
        <v>162</v>
      </c>
      <c r="E319" s="360" t="s">
        <v>88</v>
      </c>
      <c r="F319" s="360" t="s">
        <v>87</v>
      </c>
      <c r="G319" s="362">
        <v>46198</v>
      </c>
      <c r="H319" s="363">
        <v>58150768</v>
      </c>
      <c r="I319" s="360" t="s">
        <v>146</v>
      </c>
      <c r="J319" s="364" t="str">
        <f>IFERROR(VLOOKUP(I319,Map!$F$18:$G$56,2,0),"Add in Map")</f>
        <v>OBS</v>
      </c>
      <c r="K319" s="364" t="str">
        <f>VLOOKUP(L319,Map!$C$18:$D$29,2,0)</f>
        <v>CDT</v>
      </c>
      <c r="L319" s="360" t="s">
        <v>38</v>
      </c>
      <c r="M319" s="365">
        <v>0</v>
      </c>
      <c r="N319" s="366">
        <f t="shared" si="76"/>
        <v>0</v>
      </c>
      <c r="O319" s="366">
        <f t="shared" si="77"/>
        <v>0</v>
      </c>
      <c r="P319" s="367">
        <f t="shared" si="78"/>
        <v>0</v>
      </c>
      <c r="Q319" s="367">
        <f t="shared" si="79"/>
        <v>0</v>
      </c>
      <c r="R319" s="368">
        <f t="shared" si="73"/>
        <v>0</v>
      </c>
      <c r="S319" s="384">
        <f>INDEX(FX!$D$3:$O$19,MATCH(B319,FX!$B$3:$B$32,0),MATCH(D319,FX!$D$2:$O$2,0))</f>
        <v>923</v>
      </c>
      <c r="T319" s="360" t="s">
        <v>81</v>
      </c>
      <c r="U319" s="360" t="s">
        <v>32</v>
      </c>
      <c r="V319" s="360" t="s">
        <v>83</v>
      </c>
      <c r="W319" s="364" t="str">
        <f>VLOOKUP(I319,Map!$F$18:$H$51,3,0)</f>
        <v>Variable</v>
      </c>
      <c r="X319" s="370" t="s">
        <v>149</v>
      </c>
      <c r="Y319" s="364" t="str">
        <f>VLOOKUP(L319,Map!$C$18:$D$29,2,0)</f>
        <v>CDT</v>
      </c>
      <c r="Z319" s="365">
        <v>0</v>
      </c>
      <c r="AA319" s="366">
        <f t="shared" si="70"/>
        <v>0</v>
      </c>
      <c r="AB319" s="366">
        <f t="shared" si="74"/>
        <v>0</v>
      </c>
      <c r="AC319" s="367">
        <f t="shared" si="71"/>
        <v>0</v>
      </c>
      <c r="AD319" s="367">
        <f t="shared" si="72"/>
        <v>0</v>
      </c>
      <c r="AE319" s="368">
        <f t="shared" si="75"/>
        <v>0</v>
      </c>
      <c r="AF319" s="385"/>
    </row>
    <row r="320" spans="2:32" s="1" customFormat="1" ht="13" hidden="1" x14ac:dyDescent="0.3">
      <c r="B320" s="383">
        <v>2026</v>
      </c>
      <c r="C320" s="361" t="s">
        <v>407</v>
      </c>
      <c r="D320" s="361" t="s">
        <v>162</v>
      </c>
      <c r="E320" s="360" t="s">
        <v>88</v>
      </c>
      <c r="F320" s="360" t="s">
        <v>87</v>
      </c>
      <c r="G320" s="362">
        <v>46198</v>
      </c>
      <c r="H320" s="363">
        <v>58150768</v>
      </c>
      <c r="I320" s="360" t="s">
        <v>146</v>
      </c>
      <c r="J320" s="364" t="str">
        <f>IFERROR(VLOOKUP(I320,Map!$F$18:$G$56,2,0),"Add in Map")</f>
        <v>OBS</v>
      </c>
      <c r="K320" s="364" t="str">
        <f>VLOOKUP(L320,Map!$C$18:$D$29,2,0)</f>
        <v>DFT</v>
      </c>
      <c r="L320" s="360" t="s">
        <v>40</v>
      </c>
      <c r="M320" s="365">
        <v>3379009.0614925032</v>
      </c>
      <c r="N320" s="366">
        <f t="shared" si="76"/>
        <v>0</v>
      </c>
      <c r="O320" s="366">
        <f t="shared" si="77"/>
        <v>4021020.7831760785</v>
      </c>
      <c r="P320" s="367">
        <f t="shared" si="78"/>
        <v>3660.8982248022785</v>
      </c>
      <c r="Q320" s="367">
        <f t="shared" si="79"/>
        <v>0</v>
      </c>
      <c r="R320" s="368">
        <f t="shared" si="73"/>
        <v>4356.4688875147112</v>
      </c>
      <c r="S320" s="384">
        <f>INDEX(FX!$D$3:$O$19,MATCH(B320,FX!$B$3:$B$32,0),MATCH(D320,FX!$D$2:$O$2,0))</f>
        <v>923</v>
      </c>
      <c r="T320" s="360" t="s">
        <v>81</v>
      </c>
      <c r="U320" s="360" t="s">
        <v>32</v>
      </c>
      <c r="V320" s="360" t="s">
        <v>83</v>
      </c>
      <c r="W320" s="364" t="str">
        <f>VLOOKUP(I320,Map!$F$18:$H$51,3,0)</f>
        <v>Variable</v>
      </c>
      <c r="X320" s="370" t="s">
        <v>149</v>
      </c>
      <c r="Y320" s="364" t="str">
        <f>VLOOKUP(L320,Map!$C$18:$D$29,2,0)</f>
        <v>DFT</v>
      </c>
      <c r="Z320" s="365">
        <v>6595377.8562000003</v>
      </c>
      <c r="AA320" s="366">
        <f t="shared" si="70"/>
        <v>0</v>
      </c>
      <c r="AB320" s="366">
        <f t="shared" si="74"/>
        <v>7848499.6488779997</v>
      </c>
      <c r="AC320" s="367">
        <f t="shared" si="71"/>
        <v>7145.5881432286023</v>
      </c>
      <c r="AD320" s="367">
        <f t="shared" si="72"/>
        <v>0</v>
      </c>
      <c r="AE320" s="368">
        <f t="shared" si="75"/>
        <v>8503.2498904420372</v>
      </c>
      <c r="AF320" s="385"/>
    </row>
    <row r="321" spans="2:32" s="1" customFormat="1" ht="13" hidden="1" x14ac:dyDescent="0.3">
      <c r="B321" s="383">
        <v>2026</v>
      </c>
      <c r="C321" s="361" t="s">
        <v>407</v>
      </c>
      <c r="D321" s="361" t="s">
        <v>162</v>
      </c>
      <c r="E321" s="360" t="s">
        <v>88</v>
      </c>
      <c r="F321" s="360" t="s">
        <v>87</v>
      </c>
      <c r="G321" s="362">
        <v>46198</v>
      </c>
      <c r="H321" s="363">
        <v>58150768</v>
      </c>
      <c r="I321" s="360" t="s">
        <v>146</v>
      </c>
      <c r="J321" s="364" t="str">
        <f>IFERROR(VLOOKUP(I321,Map!$F$18:$G$56,2,0),"Add in Map")</f>
        <v>OBS</v>
      </c>
      <c r="K321" s="364" t="str">
        <f>VLOOKUP(L321,Map!$C$18:$D$29,2,0)</f>
        <v>DVT</v>
      </c>
      <c r="L321" s="360" t="s">
        <v>42</v>
      </c>
      <c r="M321" s="365">
        <v>4331.4149884765511</v>
      </c>
      <c r="N321" s="366">
        <f t="shared" si="76"/>
        <v>0</v>
      </c>
      <c r="O321" s="366">
        <f t="shared" si="77"/>
        <v>5154.3838362870956</v>
      </c>
      <c r="P321" s="367">
        <f t="shared" si="78"/>
        <v>4.692757300624649</v>
      </c>
      <c r="Q321" s="367">
        <f t="shared" si="79"/>
        <v>0</v>
      </c>
      <c r="R321" s="368">
        <f t="shared" si="73"/>
        <v>5.5843811877433325</v>
      </c>
      <c r="S321" s="384">
        <f>INDEX(FX!$D$3:$O$19,MATCH(B321,FX!$B$3:$B$32,0),MATCH(D321,FX!$D$2:$O$2,0))</f>
        <v>923</v>
      </c>
      <c r="T321" s="360" t="s">
        <v>81</v>
      </c>
      <c r="U321" s="360" t="s">
        <v>32</v>
      </c>
      <c r="V321" s="360" t="s">
        <v>83</v>
      </c>
      <c r="W321" s="364" t="str">
        <f>VLOOKUP(I321,Map!$F$18:$H$51,3,0)</f>
        <v>Variable</v>
      </c>
      <c r="X321" s="370" t="s">
        <v>149</v>
      </c>
      <c r="Y321" s="364" t="str">
        <f>VLOOKUP(L321,Map!$C$18:$D$29,2,0)</f>
        <v>DVT</v>
      </c>
      <c r="Z321" s="365">
        <v>8454.348</v>
      </c>
      <c r="AA321" s="366">
        <f t="shared" si="70"/>
        <v>0</v>
      </c>
      <c r="AB321" s="366">
        <f t="shared" si="74"/>
        <v>10060.67412</v>
      </c>
      <c r="AC321" s="367">
        <f t="shared" si="71"/>
        <v>9.1596403033586125</v>
      </c>
      <c r="AD321" s="367">
        <f t="shared" si="72"/>
        <v>0</v>
      </c>
      <c r="AE321" s="368">
        <f t="shared" si="75"/>
        <v>10.899971960996748</v>
      </c>
      <c r="AF321" s="385"/>
    </row>
    <row r="322" spans="2:32" s="1" customFormat="1" ht="13" hidden="1" x14ac:dyDescent="0.3">
      <c r="B322" s="383">
        <v>2026</v>
      </c>
      <c r="C322" s="361" t="s">
        <v>407</v>
      </c>
      <c r="D322" s="361" t="s">
        <v>162</v>
      </c>
      <c r="E322" s="360" t="s">
        <v>88</v>
      </c>
      <c r="F322" s="360" t="s">
        <v>87</v>
      </c>
      <c r="G322" s="362">
        <v>46198</v>
      </c>
      <c r="H322" s="363">
        <v>58150768</v>
      </c>
      <c r="I322" s="360" t="s">
        <v>146</v>
      </c>
      <c r="J322" s="364" t="str">
        <f>IFERROR(VLOOKUP(I322,Map!$F$18:$G$56,2,0),"Add in Map")</f>
        <v>OBS</v>
      </c>
      <c r="K322" s="364" t="str">
        <f>VLOOKUP(L322,Map!$C$18:$D$29,2,0)</f>
        <v>GLT</v>
      </c>
      <c r="L322" s="360" t="s">
        <v>44</v>
      </c>
      <c r="M322" s="365">
        <v>2561836.6330567724</v>
      </c>
      <c r="N322" s="366">
        <f t="shared" si="76"/>
        <v>0</v>
      </c>
      <c r="O322" s="366">
        <f t="shared" si="77"/>
        <v>3048585.5933375591</v>
      </c>
      <c r="P322" s="367">
        <f t="shared" si="78"/>
        <v>2775.5543153377816</v>
      </c>
      <c r="Q322" s="367">
        <f t="shared" si="79"/>
        <v>0</v>
      </c>
      <c r="R322" s="368">
        <f t="shared" si="73"/>
        <v>3302.90963525196</v>
      </c>
      <c r="S322" s="384">
        <f>INDEX(FX!$D$3:$O$19,MATCH(B322,FX!$B$3:$B$32,0),MATCH(D322,FX!$D$2:$O$2,0))</f>
        <v>923</v>
      </c>
      <c r="T322" s="360" t="s">
        <v>81</v>
      </c>
      <c r="U322" s="360" t="s">
        <v>32</v>
      </c>
      <c r="V322" s="360" t="s">
        <v>83</v>
      </c>
      <c r="W322" s="364" t="str">
        <f>VLOOKUP(I322,Map!$F$18:$H$51,3,0)</f>
        <v>Variable</v>
      </c>
      <c r="X322" s="370" t="s">
        <v>149</v>
      </c>
      <c r="Y322" s="364" t="str">
        <f>VLOOKUP(L322,Map!$C$18:$D$29,2,0)</f>
        <v>GLT</v>
      </c>
      <c r="Z322" s="365">
        <v>5000365.5785999997</v>
      </c>
      <c r="AA322" s="366">
        <f t="shared" si="70"/>
        <v>0</v>
      </c>
      <c r="AB322" s="366">
        <f t="shared" si="74"/>
        <v>5950435.0385339996</v>
      </c>
      <c r="AC322" s="367">
        <f t="shared" si="71"/>
        <v>5417.5141696641385</v>
      </c>
      <c r="AD322" s="367">
        <f t="shared" si="72"/>
        <v>0</v>
      </c>
      <c r="AE322" s="368">
        <f t="shared" si="75"/>
        <v>6446.8418619003241</v>
      </c>
      <c r="AF322" s="385"/>
    </row>
    <row r="323" spans="2:32" s="1" customFormat="1" ht="13" hidden="1" x14ac:dyDescent="0.3">
      <c r="B323" s="383">
        <v>2026</v>
      </c>
      <c r="C323" s="361" t="s">
        <v>407</v>
      </c>
      <c r="D323" s="361" t="s">
        <v>162</v>
      </c>
      <c r="E323" s="360" t="s">
        <v>88</v>
      </c>
      <c r="F323" s="360" t="s">
        <v>87</v>
      </c>
      <c r="G323" s="362">
        <v>46198</v>
      </c>
      <c r="H323" s="363">
        <v>58150768</v>
      </c>
      <c r="I323" s="360" t="s">
        <v>146</v>
      </c>
      <c r="J323" s="364" t="str">
        <f>IFERROR(VLOOKUP(I323,Map!$F$18:$G$56,2,0),"Add in Map")</f>
        <v>OBS</v>
      </c>
      <c r="K323" s="364" t="str">
        <f>VLOOKUP(L323,Map!$C$18:$D$29,2,0)</f>
        <v>PNT</v>
      </c>
      <c r="L323" s="360" t="s">
        <v>46</v>
      </c>
      <c r="M323" s="365">
        <v>214547.59556336448</v>
      </c>
      <c r="N323" s="366">
        <f t="shared" si="76"/>
        <v>0</v>
      </c>
      <c r="O323" s="366">
        <f t="shared" si="77"/>
        <v>255311.63872040372</v>
      </c>
      <c r="P323" s="367">
        <f t="shared" si="78"/>
        <v>232.4459323546744</v>
      </c>
      <c r="Q323" s="367">
        <f t="shared" si="79"/>
        <v>0</v>
      </c>
      <c r="R323" s="368">
        <f t="shared" si="73"/>
        <v>276.6106595020625</v>
      </c>
      <c r="S323" s="384">
        <f>INDEX(FX!$D$3:$O$19,MATCH(B323,FX!$B$3:$B$32,0),MATCH(D323,FX!$D$2:$O$2,0))</f>
        <v>923</v>
      </c>
      <c r="T323" s="360" t="s">
        <v>81</v>
      </c>
      <c r="U323" s="360" t="s">
        <v>32</v>
      </c>
      <c r="V323" s="360" t="s">
        <v>83</v>
      </c>
      <c r="W323" s="364" t="str">
        <f>VLOOKUP(I323,Map!$F$18:$H$51,3,0)</f>
        <v>Variable</v>
      </c>
      <c r="X323" s="370" t="s">
        <v>149</v>
      </c>
      <c r="Y323" s="364" t="str">
        <f>VLOOKUP(L323,Map!$C$18:$D$29,2,0)</f>
        <v>PNT</v>
      </c>
      <c r="Z323" s="365">
        <v>418768.47179999994</v>
      </c>
      <c r="AA323" s="366">
        <f t="shared" si="70"/>
        <v>0</v>
      </c>
      <c r="AB323" s="366">
        <f t="shared" si="74"/>
        <v>498334.4814419999</v>
      </c>
      <c r="AC323" s="367">
        <f t="shared" si="71"/>
        <v>453.70365308775723</v>
      </c>
      <c r="AD323" s="367">
        <f t="shared" si="72"/>
        <v>0</v>
      </c>
      <c r="AE323" s="368">
        <f t="shared" si="75"/>
        <v>539.90734717443104</v>
      </c>
      <c r="AF323" s="385"/>
    </row>
    <row r="324" spans="2:32" s="1" customFormat="1" ht="13" hidden="1" x14ac:dyDescent="0.3">
      <c r="B324" s="383">
        <v>2026</v>
      </c>
      <c r="C324" s="361" t="s">
        <v>407</v>
      </c>
      <c r="D324" s="361" t="s">
        <v>162</v>
      </c>
      <c r="E324" s="360" t="s">
        <v>88</v>
      </c>
      <c r="F324" s="360" t="s">
        <v>87</v>
      </c>
      <c r="G324" s="362">
        <v>46198</v>
      </c>
      <c r="H324" s="363">
        <v>58150768</v>
      </c>
      <c r="I324" s="360" t="s">
        <v>146</v>
      </c>
      <c r="J324" s="364" t="str">
        <f>IFERROR(VLOOKUP(I324,Map!$F$18:$G$56,2,0),"Add in Map")</f>
        <v>OBS</v>
      </c>
      <c r="K324" s="364" t="str">
        <f>VLOOKUP(L324,Map!$C$18:$D$29,2,0)</f>
        <v>GTT</v>
      </c>
      <c r="L324" s="360" t="s">
        <v>48</v>
      </c>
      <c r="M324" s="365">
        <v>213671.34549549987</v>
      </c>
      <c r="N324" s="366">
        <f t="shared" si="76"/>
        <v>0</v>
      </c>
      <c r="O324" s="366">
        <f t="shared" si="77"/>
        <v>254268.90113964485</v>
      </c>
      <c r="P324" s="367">
        <f t="shared" si="78"/>
        <v>231.49658233531949</v>
      </c>
      <c r="Q324" s="367">
        <f t="shared" si="79"/>
        <v>0</v>
      </c>
      <c r="R324" s="368">
        <f t="shared" si="73"/>
        <v>275.48093297903017</v>
      </c>
      <c r="S324" s="384">
        <f>INDEX(FX!$D$3:$O$19,MATCH(B324,FX!$B$3:$B$32,0),MATCH(D324,FX!$D$2:$O$2,0))</f>
        <v>923</v>
      </c>
      <c r="T324" s="360" t="s">
        <v>81</v>
      </c>
      <c r="U324" s="360" t="s">
        <v>32</v>
      </c>
      <c r="V324" s="360" t="s">
        <v>83</v>
      </c>
      <c r="W324" s="364" t="str">
        <f>VLOOKUP(I324,Map!$F$18:$H$51,3,0)</f>
        <v>Variable</v>
      </c>
      <c r="X324" s="370" t="s">
        <v>149</v>
      </c>
      <c r="Y324" s="364" t="str">
        <f>VLOOKUP(L324,Map!$C$18:$D$29,2,0)</f>
        <v>GTT</v>
      </c>
      <c r="Z324" s="365">
        <v>417058.14779999998</v>
      </c>
      <c r="AA324" s="366">
        <f t="shared" si="70"/>
        <v>0</v>
      </c>
      <c r="AB324" s="366">
        <f t="shared" si="74"/>
        <v>496299.19588199997</v>
      </c>
      <c r="AC324" s="367">
        <f t="shared" si="71"/>
        <v>451.8506476706392</v>
      </c>
      <c r="AD324" s="367">
        <f t="shared" si="72"/>
        <v>0</v>
      </c>
      <c r="AE324" s="368">
        <f t="shared" si="75"/>
        <v>537.70227072806063</v>
      </c>
      <c r="AF324" s="385"/>
    </row>
    <row r="325" spans="2:32" s="1" customFormat="1" ht="13" hidden="1" x14ac:dyDescent="0.3">
      <c r="B325" s="383">
        <v>2026</v>
      </c>
      <c r="C325" s="361" t="s">
        <v>407</v>
      </c>
      <c r="D325" s="361" t="s">
        <v>162</v>
      </c>
      <c r="E325" s="360" t="s">
        <v>88</v>
      </c>
      <c r="F325" s="360" t="s">
        <v>87</v>
      </c>
      <c r="G325" s="362">
        <v>46198</v>
      </c>
      <c r="H325" s="363">
        <v>58150768</v>
      </c>
      <c r="I325" s="360" t="s">
        <v>146</v>
      </c>
      <c r="J325" s="364" t="str">
        <f>IFERROR(VLOOKUP(I325,Map!$F$18:$G$56,2,0),"Add in Map")</f>
        <v>OBS</v>
      </c>
      <c r="K325" s="364" t="str">
        <f>VLOOKUP(L325,Map!$C$18:$D$29,2,0)</f>
        <v>DGT</v>
      </c>
      <c r="L325" s="360" t="s">
        <v>50</v>
      </c>
      <c r="M325" s="365">
        <v>277700.99204875145</v>
      </c>
      <c r="N325" s="366">
        <f t="shared" si="76"/>
        <v>0</v>
      </c>
      <c r="O325" s="366">
        <f t="shared" si="77"/>
        <v>330464.18053801422</v>
      </c>
      <c r="P325" s="367">
        <f t="shared" si="78"/>
        <v>300.86781370395607</v>
      </c>
      <c r="Q325" s="367">
        <f t="shared" si="79"/>
        <v>0</v>
      </c>
      <c r="R325" s="368">
        <f t="shared" si="73"/>
        <v>358.03269830770773</v>
      </c>
      <c r="S325" s="384">
        <f>INDEX(FX!$D$3:$O$19,MATCH(B325,FX!$B$3:$B$32,0),MATCH(D325,FX!$D$2:$O$2,0))</f>
        <v>923</v>
      </c>
      <c r="T325" s="360" t="s">
        <v>81</v>
      </c>
      <c r="U325" s="360" t="s">
        <v>32</v>
      </c>
      <c r="V325" s="360" t="s">
        <v>83</v>
      </c>
      <c r="W325" s="364" t="str">
        <f>VLOOKUP(I325,Map!$F$18:$H$51,3,0)</f>
        <v>Variable</v>
      </c>
      <c r="X325" s="370" t="s">
        <v>149</v>
      </c>
      <c r="Y325" s="364" t="str">
        <f>VLOOKUP(L325,Map!$C$18:$D$29,2,0)</f>
        <v>DGT</v>
      </c>
      <c r="Z325" s="365">
        <v>542035.53179999988</v>
      </c>
      <c r="AA325" s="366">
        <f t="shared" si="70"/>
        <v>0</v>
      </c>
      <c r="AB325" s="366">
        <f t="shared" si="74"/>
        <v>645022.28284199978</v>
      </c>
      <c r="AC325" s="367">
        <f t="shared" si="71"/>
        <v>587.25409729144087</v>
      </c>
      <c r="AD325" s="367">
        <f t="shared" si="72"/>
        <v>0</v>
      </c>
      <c r="AE325" s="368">
        <f t="shared" si="75"/>
        <v>698.83237577681462</v>
      </c>
      <c r="AF325" s="385"/>
    </row>
    <row r="326" spans="2:32" s="1" customFormat="1" ht="13" hidden="1" x14ac:dyDescent="0.3">
      <c r="B326" s="383">
        <v>2026</v>
      </c>
      <c r="C326" s="361" t="s">
        <v>407</v>
      </c>
      <c r="D326" s="361" t="s">
        <v>162</v>
      </c>
      <c r="E326" s="360" t="s">
        <v>88</v>
      </c>
      <c r="F326" s="360" t="s">
        <v>87</v>
      </c>
      <c r="G326" s="362">
        <v>46198</v>
      </c>
      <c r="H326" s="363">
        <v>58150768</v>
      </c>
      <c r="I326" s="360" t="s">
        <v>146</v>
      </c>
      <c r="J326" s="364" t="str">
        <f>IFERROR(VLOOKUP(I326,Map!$F$18:$G$56,2,0),"Add in Map")</f>
        <v>OBS</v>
      </c>
      <c r="K326" s="364" t="str">
        <f>VLOOKUP(L326,Map!$C$18:$D$29,2,0)</f>
        <v>DLT</v>
      </c>
      <c r="L326" s="360" t="s">
        <v>52</v>
      </c>
      <c r="M326" s="365">
        <v>37484.84692482018</v>
      </c>
      <c r="N326" s="366">
        <f t="shared" si="76"/>
        <v>0</v>
      </c>
      <c r="O326" s="366">
        <f t="shared" si="77"/>
        <v>44606.96784053601</v>
      </c>
      <c r="P326" s="367">
        <f t="shared" si="78"/>
        <v>40.611968499263469</v>
      </c>
      <c r="Q326" s="367">
        <f t="shared" si="79"/>
        <v>0</v>
      </c>
      <c r="R326" s="368">
        <f t="shared" si="73"/>
        <v>48.328242514123524</v>
      </c>
      <c r="S326" s="384">
        <f>INDEX(FX!$D$3:$O$19,MATCH(B326,FX!$B$3:$B$32,0),MATCH(D326,FX!$D$2:$O$2,0))</f>
        <v>923</v>
      </c>
      <c r="T326" s="360" t="s">
        <v>81</v>
      </c>
      <c r="U326" s="360" t="s">
        <v>32</v>
      </c>
      <c r="V326" s="360" t="s">
        <v>83</v>
      </c>
      <c r="W326" s="364" t="str">
        <f>VLOOKUP(I326,Map!$F$18:$H$51,3,0)</f>
        <v>Variable</v>
      </c>
      <c r="X326" s="370" t="s">
        <v>149</v>
      </c>
      <c r="Y326" s="364" t="str">
        <f>VLOOKUP(L326,Map!$C$18:$D$29,2,0)</f>
        <v>DLT</v>
      </c>
      <c r="Z326" s="365">
        <v>73165.453200000004</v>
      </c>
      <c r="AA326" s="366">
        <f t="shared" si="70"/>
        <v>0</v>
      </c>
      <c r="AB326" s="366">
        <f t="shared" si="74"/>
        <v>87066.889307999998</v>
      </c>
      <c r="AC326" s="367">
        <f t="shared" si="71"/>
        <v>79.269180065005415</v>
      </c>
      <c r="AD326" s="367">
        <f t="shared" si="72"/>
        <v>0</v>
      </c>
      <c r="AE326" s="368">
        <f t="shared" si="75"/>
        <v>94.330324277356439</v>
      </c>
      <c r="AF326" s="385"/>
    </row>
    <row r="327" spans="2:32" s="1" customFormat="1" ht="13" hidden="1" x14ac:dyDescent="0.3">
      <c r="B327" s="383">
        <v>2026</v>
      </c>
      <c r="C327" s="361" t="s">
        <v>407</v>
      </c>
      <c r="D327" s="361" t="s">
        <v>162</v>
      </c>
      <c r="E327" s="360" t="s">
        <v>88</v>
      </c>
      <c r="F327" s="360" t="s">
        <v>87</v>
      </c>
      <c r="G327" s="362">
        <v>46198</v>
      </c>
      <c r="H327" s="363">
        <v>58150768</v>
      </c>
      <c r="I327" s="360" t="s">
        <v>146</v>
      </c>
      <c r="J327" s="364" t="str">
        <f>IFERROR(VLOOKUP(I327,Map!$F$18:$G$56,2,0),"Add in Map")</f>
        <v>OBS</v>
      </c>
      <c r="K327" s="364" t="str">
        <f>VLOOKUP(L327,Map!$C$18:$D$29,2,0)</f>
        <v>DMT</v>
      </c>
      <c r="L327" s="360" t="s">
        <v>54</v>
      </c>
      <c r="M327" s="365"/>
      <c r="N327" s="366">
        <f t="shared" si="76"/>
        <v>0</v>
      </c>
      <c r="O327" s="366">
        <f t="shared" si="77"/>
        <v>0</v>
      </c>
      <c r="P327" s="386">
        <f t="shared" si="78"/>
        <v>0</v>
      </c>
      <c r="Q327" s="367">
        <f t="shared" si="79"/>
        <v>0</v>
      </c>
      <c r="R327" s="368">
        <f t="shared" si="73"/>
        <v>0</v>
      </c>
      <c r="S327" s="384">
        <f>INDEX(FX!$D$3:$O$19,MATCH(B327,FX!$B$3:$B$32,0),MATCH(D327,FX!$D$2:$O$2,0))</f>
        <v>923</v>
      </c>
      <c r="T327" s="360" t="s">
        <v>81</v>
      </c>
      <c r="U327" s="360" t="s">
        <v>32</v>
      </c>
      <c r="V327" s="360" t="s">
        <v>83</v>
      </c>
      <c r="W327" s="364" t="str">
        <f>VLOOKUP(I327,Map!$F$18:$H$51,3,0)</f>
        <v>Variable</v>
      </c>
      <c r="X327" s="370" t="s">
        <v>149</v>
      </c>
      <c r="Y327" s="364" t="str">
        <f>VLOOKUP(L327,Map!$C$18:$D$29,2,0)</f>
        <v>DMT</v>
      </c>
      <c r="Z327" s="365">
        <v>0</v>
      </c>
      <c r="AA327" s="366">
        <f t="shared" si="70"/>
        <v>0</v>
      </c>
      <c r="AB327" s="366">
        <f t="shared" si="74"/>
        <v>0</v>
      </c>
      <c r="AC327" s="386">
        <f t="shared" si="71"/>
        <v>0</v>
      </c>
      <c r="AD327" s="367">
        <f t="shared" si="72"/>
        <v>0</v>
      </c>
      <c r="AE327" s="368">
        <f t="shared" si="75"/>
        <v>0</v>
      </c>
      <c r="AF327" s="385"/>
    </row>
    <row r="328" spans="2:32" s="37" customFormat="1" hidden="1" x14ac:dyDescent="0.35">
      <c r="B328" s="387">
        <v>2026</v>
      </c>
      <c r="C328" s="389" t="s">
        <v>407</v>
      </c>
      <c r="D328" s="389" t="s">
        <v>162</v>
      </c>
      <c r="E328" s="388" t="s">
        <v>88</v>
      </c>
      <c r="F328" s="388" t="s">
        <v>87</v>
      </c>
      <c r="G328" s="390">
        <v>46198</v>
      </c>
      <c r="H328" s="391">
        <v>58150768</v>
      </c>
      <c r="I328" s="388" t="s">
        <v>146</v>
      </c>
      <c r="J328" s="392" t="str">
        <f>IFERROR(VLOOKUP(I328,Map!$F$18:$G$56,2,0),"Add in Map")</f>
        <v>OBS</v>
      </c>
      <c r="K328" s="392" t="str">
        <f>VLOOKUP(L328,Map!$C$18:$D$29,2,0)</f>
        <v>TOTAL</v>
      </c>
      <c r="L328" s="388" t="s">
        <v>56</v>
      </c>
      <c r="M328" s="393">
        <f>SUM(M317:M327)</f>
        <v>8153422</v>
      </c>
      <c r="N328" s="393">
        <f t="shared" si="76"/>
        <v>1549150.18</v>
      </c>
      <c r="O328" s="393">
        <f t="shared" si="77"/>
        <v>9702572.1799999997</v>
      </c>
      <c r="P328" s="394">
        <f t="shared" si="78"/>
        <v>8833.609967497292</v>
      </c>
      <c r="Q328" s="394">
        <f t="shared" si="79"/>
        <v>1678.3858938244855</v>
      </c>
      <c r="R328" s="395">
        <f t="shared" si="73"/>
        <v>10511.995861321777</v>
      </c>
      <c r="S328" s="396">
        <f>INDEX(FX!$D$3:$O$19,MATCH(B328,FX!$B$3:$B$32,0),MATCH(D328,FX!$D$2:$O$2,0))</f>
        <v>923</v>
      </c>
      <c r="T328" s="388" t="s">
        <v>81</v>
      </c>
      <c r="U328" s="388" t="s">
        <v>32</v>
      </c>
      <c r="V328" s="388" t="s">
        <v>83</v>
      </c>
      <c r="W328" s="392" t="str">
        <f>VLOOKUP(I328,Map!$F$18:$H$51,3,0)</f>
        <v>Variable</v>
      </c>
      <c r="X328" s="397" t="s">
        <v>149</v>
      </c>
      <c r="Y328" s="392" t="str">
        <f>VLOOKUP(L328,Map!$C$18:$D$29,2,0)</f>
        <v>TOTAL</v>
      </c>
      <c r="Z328" s="393">
        <f>SUM(Z317:Z327)</f>
        <v>15914399.142599998</v>
      </c>
      <c r="AA328" s="393">
        <f t="shared" si="70"/>
        <v>3023735.8370939996</v>
      </c>
      <c r="AB328" s="393">
        <f t="shared" si="74"/>
        <v>18938134.979693998</v>
      </c>
      <c r="AC328" s="394">
        <f t="shared" si="71"/>
        <v>17242.03590747562</v>
      </c>
      <c r="AD328" s="394">
        <f t="shared" si="72"/>
        <v>3275.9868224203678</v>
      </c>
      <c r="AE328" s="395">
        <f t="shared" si="75"/>
        <v>20518.022729895987</v>
      </c>
      <c r="AF328" s="398"/>
    </row>
    <row r="329" spans="2:32" s="5" customFormat="1" ht="13" hidden="1" x14ac:dyDescent="0.3">
      <c r="B329" s="400">
        <v>2026</v>
      </c>
      <c r="C329" s="402" t="s">
        <v>403</v>
      </c>
      <c r="D329" s="402" t="s">
        <v>80</v>
      </c>
      <c r="E329" s="401" t="s">
        <v>88</v>
      </c>
      <c r="F329" s="401" t="s">
        <v>480</v>
      </c>
      <c r="G329" s="403">
        <v>46232</v>
      </c>
      <c r="H329" s="404">
        <v>58305117</v>
      </c>
      <c r="I329" s="401" t="s">
        <v>146</v>
      </c>
      <c r="J329" s="405" t="str">
        <f>IFERROR(VLOOKUP(I329,Map!$F$18:$G$56,2,0),"Add in Map")</f>
        <v>OBS</v>
      </c>
      <c r="K329" s="405" t="str">
        <f>VLOOKUP(L329,Map!$C$18:$D$29,2,0)</f>
        <v>CNT</v>
      </c>
      <c r="L329" s="401" t="s">
        <v>31</v>
      </c>
      <c r="M329" s="406">
        <v>1314770.385261806</v>
      </c>
      <c r="N329" s="407">
        <f t="shared" si="76"/>
        <v>0</v>
      </c>
      <c r="O329" s="407">
        <f t="shared" si="77"/>
        <v>1564576.7584615489</v>
      </c>
      <c r="P329" s="408">
        <f t="shared" si="78"/>
        <v>1422.9116723612619</v>
      </c>
      <c r="Q329" s="408">
        <f t="shared" si="79"/>
        <v>0</v>
      </c>
      <c r="R329" s="409">
        <f t="shared" si="73"/>
        <v>1693.2648901099017</v>
      </c>
      <c r="S329" s="410">
        <f>INDEX(FX!$D$3:$O$19,MATCH(B329,FX!$B$3:$B$32,0),MATCH(D329,FX!$D$2:$O$2,0))</f>
        <v>924</v>
      </c>
      <c r="T329" s="401" t="s">
        <v>81</v>
      </c>
      <c r="U329" s="401" t="s">
        <v>32</v>
      </c>
      <c r="V329" s="401" t="s">
        <v>83</v>
      </c>
      <c r="W329" s="405" t="str">
        <f>VLOOKUP(I329,Map!$F$18:$H$51,3,0)</f>
        <v>Variable</v>
      </c>
      <c r="X329" s="411" t="s">
        <v>480</v>
      </c>
      <c r="Y329" s="405" t="str">
        <f>VLOOKUP(L329,Map!$C$18:$D$29,2,0)</f>
        <v>CNT</v>
      </c>
      <c r="Z329" s="406">
        <v>1267233.8858986928</v>
      </c>
      <c r="AA329" s="407">
        <f t="shared" si="70"/>
        <v>0</v>
      </c>
      <c r="AB329" s="407">
        <f t="shared" si="74"/>
        <v>1508008.3242194443</v>
      </c>
      <c r="AC329" s="408">
        <f t="shared" si="71"/>
        <v>1371.4652444791047</v>
      </c>
      <c r="AD329" s="408">
        <f t="shared" si="72"/>
        <v>0</v>
      </c>
      <c r="AE329" s="409">
        <f t="shared" si="75"/>
        <v>1632.0436409301346</v>
      </c>
      <c r="AF329" s="412"/>
    </row>
    <row r="330" spans="2:32" s="1" customFormat="1" ht="13" hidden="1" x14ac:dyDescent="0.3">
      <c r="B330" s="383">
        <v>2026</v>
      </c>
      <c r="C330" s="361" t="s">
        <v>403</v>
      </c>
      <c r="D330" s="361" t="s">
        <v>80</v>
      </c>
      <c r="E330" s="360" t="s">
        <v>88</v>
      </c>
      <c r="F330" s="360" t="s">
        <v>480</v>
      </c>
      <c r="G330" s="362">
        <v>46232</v>
      </c>
      <c r="H330" s="363">
        <v>58305117</v>
      </c>
      <c r="I330" s="360" t="s">
        <v>146</v>
      </c>
      <c r="J330" s="364" t="str">
        <f>IFERROR(VLOOKUP(I330,Map!$F$18:$G$56,2,0),"Add in Map")</f>
        <v>OBS</v>
      </c>
      <c r="K330" s="364" t="str">
        <f>VLOOKUP(L330,Map!$C$18:$D$29,2,0)</f>
        <v>CVT</v>
      </c>
      <c r="L330" s="360" t="s">
        <v>36</v>
      </c>
      <c r="M330" s="365">
        <v>478.95957908785027</v>
      </c>
      <c r="N330" s="366">
        <f t="shared" si="76"/>
        <v>0</v>
      </c>
      <c r="O330" s="366">
        <f t="shared" si="77"/>
        <v>569.96189911454178</v>
      </c>
      <c r="P330" s="367">
        <f t="shared" si="78"/>
        <v>0.51835452282234873</v>
      </c>
      <c r="Q330" s="367">
        <f t="shared" si="79"/>
        <v>0</v>
      </c>
      <c r="R330" s="368">
        <f t="shared" si="73"/>
        <v>0.61684188215859492</v>
      </c>
      <c r="S330" s="384">
        <f>INDEX(FX!$D$3:$O$19,MATCH(B330,FX!$B$3:$B$32,0),MATCH(D330,FX!$D$2:$O$2,0))</f>
        <v>924</v>
      </c>
      <c r="T330" s="360" t="s">
        <v>81</v>
      </c>
      <c r="U330" s="360" t="s">
        <v>32</v>
      </c>
      <c r="V330" s="360" t="s">
        <v>83</v>
      </c>
      <c r="W330" s="364" t="str">
        <f>VLOOKUP(I330,Map!$F$18:$H$51,3,0)</f>
        <v>Variable</v>
      </c>
      <c r="X330" s="370" t="s">
        <v>480</v>
      </c>
      <c r="Y330" s="364" t="str">
        <f>VLOOKUP(L330,Map!$C$18:$D$29,2,0)</f>
        <v>CVT</v>
      </c>
      <c r="Z330" s="365">
        <v>13339.304062091504</v>
      </c>
      <c r="AA330" s="366">
        <f t="shared" si="70"/>
        <v>0</v>
      </c>
      <c r="AB330" s="366">
        <f t="shared" si="74"/>
        <v>15873.771833888888</v>
      </c>
      <c r="AC330" s="367">
        <f t="shared" si="71"/>
        <v>14.436476257674787</v>
      </c>
      <c r="AD330" s="367">
        <f t="shared" si="72"/>
        <v>0</v>
      </c>
      <c r="AE330" s="368">
        <f t="shared" si="75"/>
        <v>17.179406746632996</v>
      </c>
      <c r="AF330" s="385"/>
    </row>
    <row r="331" spans="2:32" s="1" customFormat="1" ht="13" hidden="1" x14ac:dyDescent="0.3">
      <c r="B331" s="383">
        <v>2026</v>
      </c>
      <c r="C331" s="361" t="s">
        <v>403</v>
      </c>
      <c r="D331" s="361" t="s">
        <v>80</v>
      </c>
      <c r="E331" s="360" t="s">
        <v>88</v>
      </c>
      <c r="F331" s="360" t="s">
        <v>480</v>
      </c>
      <c r="G331" s="362">
        <v>46232</v>
      </c>
      <c r="H331" s="363">
        <v>58305117</v>
      </c>
      <c r="I331" s="360" t="s">
        <v>146</v>
      </c>
      <c r="J331" s="364" t="str">
        <f>IFERROR(VLOOKUP(I331,Map!$F$18:$G$56,2,0),"Add in Map")</f>
        <v>OBS</v>
      </c>
      <c r="K331" s="364" t="str">
        <f>VLOOKUP(L331,Map!$C$18:$D$29,2,0)</f>
        <v>CDT</v>
      </c>
      <c r="L331" s="360" t="s">
        <v>38</v>
      </c>
      <c r="M331" s="365">
        <v>55931.022090550017</v>
      </c>
      <c r="N331" s="366">
        <f t="shared" si="76"/>
        <v>0</v>
      </c>
      <c r="O331" s="366">
        <f t="shared" si="77"/>
        <v>66557.916287754517</v>
      </c>
      <c r="P331" s="367">
        <f t="shared" si="78"/>
        <v>60.531409188906942</v>
      </c>
      <c r="Q331" s="367">
        <f t="shared" si="79"/>
        <v>0</v>
      </c>
      <c r="R331" s="368">
        <f t="shared" si="73"/>
        <v>72.03237693479926</v>
      </c>
      <c r="S331" s="384">
        <f>INDEX(FX!$D$3:$O$19,MATCH(B331,FX!$B$3:$B$32,0),MATCH(D331,FX!$D$2:$O$2,0))</f>
        <v>924</v>
      </c>
      <c r="T331" s="360" t="s">
        <v>81</v>
      </c>
      <c r="U331" s="360" t="s">
        <v>32</v>
      </c>
      <c r="V331" s="360" t="s">
        <v>83</v>
      </c>
      <c r="W331" s="364" t="str">
        <f>VLOOKUP(I331,Map!$F$18:$H$51,3,0)</f>
        <v>Variable</v>
      </c>
      <c r="X331" s="370" t="s">
        <v>480</v>
      </c>
      <c r="Y331" s="364" t="str">
        <f>VLOOKUP(L331,Map!$C$18:$D$29,2,0)</f>
        <v>CDT</v>
      </c>
      <c r="Z331" s="365">
        <v>146732.34468300652</v>
      </c>
      <c r="AA331" s="366">
        <f t="shared" si="70"/>
        <v>0</v>
      </c>
      <c r="AB331" s="366">
        <f t="shared" si="74"/>
        <v>174611.49017277776</v>
      </c>
      <c r="AC331" s="367">
        <f t="shared" si="71"/>
        <v>158.80123883442263</v>
      </c>
      <c r="AD331" s="367">
        <f t="shared" si="72"/>
        <v>0</v>
      </c>
      <c r="AE331" s="368">
        <f t="shared" si="75"/>
        <v>188.97347421296291</v>
      </c>
      <c r="AF331" s="385"/>
    </row>
    <row r="332" spans="2:32" s="1" customFormat="1" ht="13" hidden="1" x14ac:dyDescent="0.3">
      <c r="B332" s="383">
        <v>2026</v>
      </c>
      <c r="C332" s="361" t="s">
        <v>403</v>
      </c>
      <c r="D332" s="361" t="s">
        <v>80</v>
      </c>
      <c r="E332" s="360" t="s">
        <v>88</v>
      </c>
      <c r="F332" s="360" t="s">
        <v>480</v>
      </c>
      <c r="G332" s="362">
        <v>46232</v>
      </c>
      <c r="H332" s="363">
        <v>58305117</v>
      </c>
      <c r="I332" s="360" t="s">
        <v>146</v>
      </c>
      <c r="J332" s="364" t="str">
        <f>IFERROR(VLOOKUP(I332,Map!$F$18:$G$56,2,0),"Add in Map")</f>
        <v>OBS</v>
      </c>
      <c r="K332" s="364" t="str">
        <f>VLOOKUP(L332,Map!$C$18:$D$29,2,0)</f>
        <v>DFT</v>
      </c>
      <c r="L332" s="360" t="s">
        <v>40</v>
      </c>
      <c r="M332" s="365">
        <v>2747576.2067746553</v>
      </c>
      <c r="N332" s="366">
        <f t="shared" si="76"/>
        <v>0</v>
      </c>
      <c r="O332" s="366">
        <f t="shared" si="77"/>
        <v>3269615.6860618396</v>
      </c>
      <c r="P332" s="367">
        <f t="shared" si="78"/>
        <v>2973.5673233491939</v>
      </c>
      <c r="Q332" s="367">
        <f t="shared" si="79"/>
        <v>0</v>
      </c>
      <c r="R332" s="368">
        <f t="shared" si="73"/>
        <v>3538.5451147855406</v>
      </c>
      <c r="S332" s="384">
        <f>INDEX(FX!$D$3:$O$19,MATCH(B332,FX!$B$3:$B$32,0),MATCH(D332,FX!$D$2:$O$2,0))</f>
        <v>924</v>
      </c>
      <c r="T332" s="360" t="s">
        <v>81</v>
      </c>
      <c r="U332" s="360" t="s">
        <v>32</v>
      </c>
      <c r="V332" s="360" t="s">
        <v>83</v>
      </c>
      <c r="W332" s="364" t="str">
        <f>VLOOKUP(I332,Map!$F$18:$H$51,3,0)</f>
        <v>Variable</v>
      </c>
      <c r="X332" s="370" t="s">
        <v>480</v>
      </c>
      <c r="Y332" s="364" t="str">
        <f>VLOOKUP(L332,Map!$C$18:$D$29,2,0)</f>
        <v>DFT</v>
      </c>
      <c r="Z332" s="365">
        <v>2794584.2010081699</v>
      </c>
      <c r="AA332" s="366">
        <f t="shared" si="70"/>
        <v>0</v>
      </c>
      <c r="AB332" s="366">
        <f t="shared" si="74"/>
        <v>3325555.1991997221</v>
      </c>
      <c r="AC332" s="367">
        <f t="shared" si="71"/>
        <v>3024.441775982868</v>
      </c>
      <c r="AD332" s="367">
        <f t="shared" si="72"/>
        <v>0</v>
      </c>
      <c r="AE332" s="368">
        <f t="shared" si="75"/>
        <v>3599.0857134196126</v>
      </c>
      <c r="AF332" s="385"/>
    </row>
    <row r="333" spans="2:32" s="1" customFormat="1" ht="13" hidden="1" x14ac:dyDescent="0.3">
      <c r="B333" s="383">
        <v>2026</v>
      </c>
      <c r="C333" s="361" t="s">
        <v>403</v>
      </c>
      <c r="D333" s="361" t="s">
        <v>80</v>
      </c>
      <c r="E333" s="360" t="s">
        <v>88</v>
      </c>
      <c r="F333" s="360" t="s">
        <v>480</v>
      </c>
      <c r="G333" s="362">
        <v>46232</v>
      </c>
      <c r="H333" s="363">
        <v>58305117</v>
      </c>
      <c r="I333" s="360" t="s">
        <v>146</v>
      </c>
      <c r="J333" s="364" t="str">
        <f>IFERROR(VLOOKUP(I333,Map!$F$18:$G$56,2,0),"Add in Map")</f>
        <v>OBS</v>
      </c>
      <c r="K333" s="364" t="str">
        <f>VLOOKUP(L333,Map!$C$18:$D$29,2,0)</f>
        <v>DVT</v>
      </c>
      <c r="L333" s="360" t="s">
        <v>42</v>
      </c>
      <c r="M333" s="365">
        <v>0</v>
      </c>
      <c r="N333" s="366">
        <f t="shared" si="76"/>
        <v>0</v>
      </c>
      <c r="O333" s="366">
        <f t="shared" si="77"/>
        <v>0</v>
      </c>
      <c r="P333" s="367">
        <f t="shared" si="78"/>
        <v>0</v>
      </c>
      <c r="Q333" s="367">
        <f t="shared" si="79"/>
        <v>0</v>
      </c>
      <c r="R333" s="368">
        <f t="shared" si="73"/>
        <v>0</v>
      </c>
      <c r="S333" s="384">
        <f>INDEX(FX!$D$3:$O$19,MATCH(B333,FX!$B$3:$B$32,0),MATCH(D333,FX!$D$2:$O$2,0))</f>
        <v>924</v>
      </c>
      <c r="T333" s="360" t="s">
        <v>81</v>
      </c>
      <c r="U333" s="360" t="s">
        <v>32</v>
      </c>
      <c r="V333" s="360" t="s">
        <v>83</v>
      </c>
      <c r="W333" s="364" t="str">
        <f>VLOOKUP(I333,Map!$F$18:$H$51,3,0)</f>
        <v>Variable</v>
      </c>
      <c r="X333" s="370" t="s">
        <v>480</v>
      </c>
      <c r="Y333" s="364" t="str">
        <f>VLOOKUP(L333,Map!$C$18:$D$29,2,0)</f>
        <v>DVT</v>
      </c>
      <c r="Z333" s="365">
        <v>0</v>
      </c>
      <c r="AA333" s="366">
        <f t="shared" si="70"/>
        <v>0</v>
      </c>
      <c r="AB333" s="366">
        <f t="shared" si="74"/>
        <v>0</v>
      </c>
      <c r="AC333" s="367">
        <f t="shared" si="71"/>
        <v>0</v>
      </c>
      <c r="AD333" s="367">
        <f t="shared" si="72"/>
        <v>0</v>
      </c>
      <c r="AE333" s="368">
        <f t="shared" si="75"/>
        <v>0</v>
      </c>
      <c r="AF333" s="385"/>
    </row>
    <row r="334" spans="2:32" s="1" customFormat="1" ht="13" hidden="1" x14ac:dyDescent="0.3">
      <c r="B334" s="383">
        <v>2026</v>
      </c>
      <c r="C334" s="361" t="s">
        <v>403</v>
      </c>
      <c r="D334" s="361" t="s">
        <v>80</v>
      </c>
      <c r="E334" s="360" t="s">
        <v>88</v>
      </c>
      <c r="F334" s="360" t="s">
        <v>480</v>
      </c>
      <c r="G334" s="362">
        <v>46232</v>
      </c>
      <c r="H334" s="363">
        <v>58305117</v>
      </c>
      <c r="I334" s="360" t="s">
        <v>146</v>
      </c>
      <c r="J334" s="364" t="str">
        <f>IFERROR(VLOOKUP(I334,Map!$F$18:$G$56,2,0),"Add in Map")</f>
        <v>OBS</v>
      </c>
      <c r="K334" s="364" t="str">
        <f>VLOOKUP(L334,Map!$C$18:$D$29,2,0)</f>
        <v>GLT</v>
      </c>
      <c r="L334" s="360" t="s">
        <v>44</v>
      </c>
      <c r="M334" s="365">
        <v>1742083.6952306398</v>
      </c>
      <c r="N334" s="366">
        <f t="shared" si="76"/>
        <v>0</v>
      </c>
      <c r="O334" s="366">
        <f t="shared" si="77"/>
        <v>2073079.5973244612</v>
      </c>
      <c r="P334" s="367">
        <f t="shared" si="78"/>
        <v>1885.3719645353244</v>
      </c>
      <c r="Q334" s="367">
        <f t="shared" si="79"/>
        <v>0</v>
      </c>
      <c r="R334" s="368">
        <f t="shared" si="73"/>
        <v>2243.5926377970359</v>
      </c>
      <c r="S334" s="384">
        <f>INDEX(FX!$D$3:$O$19,MATCH(B334,FX!$B$3:$B$32,0),MATCH(D334,FX!$D$2:$O$2,0))</f>
        <v>924</v>
      </c>
      <c r="T334" s="360" t="s">
        <v>81</v>
      </c>
      <c r="U334" s="360" t="s">
        <v>32</v>
      </c>
      <c r="V334" s="360" t="s">
        <v>83</v>
      </c>
      <c r="W334" s="364" t="str">
        <f>VLOOKUP(I334,Map!$F$18:$H$51,3,0)</f>
        <v>Variable</v>
      </c>
      <c r="X334" s="370" t="s">
        <v>480</v>
      </c>
      <c r="Y334" s="364" t="str">
        <f>VLOOKUP(L334,Map!$C$18:$D$29,2,0)</f>
        <v>GLT</v>
      </c>
      <c r="Z334" s="365">
        <v>1507341.3590163398</v>
      </c>
      <c r="AA334" s="366">
        <f t="shared" si="70"/>
        <v>0</v>
      </c>
      <c r="AB334" s="366">
        <f t="shared" si="74"/>
        <v>1793736.2172294443</v>
      </c>
      <c r="AC334" s="367">
        <f t="shared" si="71"/>
        <v>1631.3218171172509</v>
      </c>
      <c r="AD334" s="367">
        <f t="shared" si="72"/>
        <v>0</v>
      </c>
      <c r="AE334" s="368">
        <f t="shared" si="75"/>
        <v>1941.2729623695286</v>
      </c>
      <c r="AF334" s="385"/>
    </row>
    <row r="335" spans="2:32" s="1" customFormat="1" ht="13" hidden="1" x14ac:dyDescent="0.3">
      <c r="B335" s="383">
        <v>2026</v>
      </c>
      <c r="C335" s="361" t="s">
        <v>403</v>
      </c>
      <c r="D335" s="361" t="s">
        <v>80</v>
      </c>
      <c r="E335" s="360" t="s">
        <v>88</v>
      </c>
      <c r="F335" s="360" t="s">
        <v>480</v>
      </c>
      <c r="G335" s="362">
        <v>46232</v>
      </c>
      <c r="H335" s="363">
        <v>58305117</v>
      </c>
      <c r="I335" s="360" t="s">
        <v>146</v>
      </c>
      <c r="J335" s="364" t="str">
        <f>IFERROR(VLOOKUP(I335,Map!$F$18:$G$56,2,0),"Add in Map")</f>
        <v>OBS</v>
      </c>
      <c r="K335" s="364" t="str">
        <f>VLOOKUP(L335,Map!$C$18:$D$29,2,0)</f>
        <v>PNT</v>
      </c>
      <c r="L335" s="360" t="s">
        <v>46</v>
      </c>
      <c r="M335" s="365">
        <v>138991.31826158785</v>
      </c>
      <c r="N335" s="366">
        <f t="shared" si="76"/>
        <v>0</v>
      </c>
      <c r="O335" s="366">
        <f t="shared" si="77"/>
        <v>165399.66873128954</v>
      </c>
      <c r="P335" s="367">
        <f t="shared" si="78"/>
        <v>150.42350461210805</v>
      </c>
      <c r="Q335" s="367">
        <f t="shared" si="79"/>
        <v>0</v>
      </c>
      <c r="R335" s="368">
        <f t="shared" si="73"/>
        <v>179.00397048840856</v>
      </c>
      <c r="S335" s="384">
        <f>INDEX(FX!$D$3:$O$19,MATCH(B335,FX!$B$3:$B$32,0),MATCH(D335,FX!$D$2:$O$2,0))</f>
        <v>924</v>
      </c>
      <c r="T335" s="360" t="s">
        <v>81</v>
      </c>
      <c r="U335" s="360" t="s">
        <v>32</v>
      </c>
      <c r="V335" s="360" t="s">
        <v>83</v>
      </c>
      <c r="W335" s="364" t="str">
        <f>VLOOKUP(I335,Map!$F$18:$H$51,3,0)</f>
        <v>Variable</v>
      </c>
      <c r="X335" s="370" t="s">
        <v>480</v>
      </c>
      <c r="Y335" s="364" t="str">
        <f>VLOOKUP(L335,Map!$C$18:$D$29,2,0)</f>
        <v>PNT</v>
      </c>
      <c r="Z335" s="365">
        <v>66696.520310457519</v>
      </c>
      <c r="AA335" s="366">
        <f t="shared" si="70"/>
        <v>0</v>
      </c>
      <c r="AB335" s="366">
        <f t="shared" si="74"/>
        <v>79368.859169444448</v>
      </c>
      <c r="AC335" s="367">
        <f t="shared" si="71"/>
        <v>72.182381288373932</v>
      </c>
      <c r="AD335" s="367">
        <f t="shared" si="72"/>
        <v>0</v>
      </c>
      <c r="AE335" s="368">
        <f t="shared" si="75"/>
        <v>85.897033733164974</v>
      </c>
      <c r="AF335" s="385"/>
    </row>
    <row r="336" spans="2:32" s="1" customFormat="1" ht="13" hidden="1" x14ac:dyDescent="0.3">
      <c r="B336" s="383">
        <v>2026</v>
      </c>
      <c r="C336" s="361" t="s">
        <v>403</v>
      </c>
      <c r="D336" s="361" t="s">
        <v>80</v>
      </c>
      <c r="E336" s="360" t="s">
        <v>88</v>
      </c>
      <c r="F336" s="360" t="s">
        <v>480</v>
      </c>
      <c r="G336" s="362">
        <v>46232</v>
      </c>
      <c r="H336" s="363">
        <v>58305117</v>
      </c>
      <c r="I336" s="360" t="s">
        <v>146</v>
      </c>
      <c r="J336" s="364" t="str">
        <f>IFERROR(VLOOKUP(I336,Map!$F$18:$G$56,2,0),"Add in Map")</f>
        <v>OBS</v>
      </c>
      <c r="K336" s="364" t="str">
        <f>VLOOKUP(L336,Map!$C$18:$D$29,2,0)</f>
        <v>GTT</v>
      </c>
      <c r="L336" s="360" t="s">
        <v>48</v>
      </c>
      <c r="M336" s="365">
        <v>183954.20117759533</v>
      </c>
      <c r="N336" s="366">
        <f t="shared" si="76"/>
        <v>0</v>
      </c>
      <c r="O336" s="366">
        <f t="shared" si="77"/>
        <v>218905.49940133843</v>
      </c>
      <c r="P336" s="367">
        <f t="shared" si="78"/>
        <v>199.08463330908586</v>
      </c>
      <c r="Q336" s="367">
        <f t="shared" si="79"/>
        <v>0</v>
      </c>
      <c r="R336" s="368">
        <f t="shared" si="73"/>
        <v>236.91071363781217</v>
      </c>
      <c r="S336" s="384">
        <f>INDEX(FX!$D$3:$O$19,MATCH(B336,FX!$B$3:$B$32,0),MATCH(D336,FX!$D$2:$O$2,0))</f>
        <v>924</v>
      </c>
      <c r="T336" s="360" t="s">
        <v>81</v>
      </c>
      <c r="U336" s="360" t="s">
        <v>32</v>
      </c>
      <c r="V336" s="360" t="s">
        <v>83</v>
      </c>
      <c r="W336" s="364" t="str">
        <f>VLOOKUP(I336,Map!$F$18:$H$51,3,0)</f>
        <v>Variable</v>
      </c>
      <c r="X336" s="370" t="s">
        <v>480</v>
      </c>
      <c r="Y336" s="364" t="str">
        <f>VLOOKUP(L336,Map!$C$18:$D$29,2,0)</f>
        <v>GTT</v>
      </c>
      <c r="Z336" s="365">
        <v>186750.25686928103</v>
      </c>
      <c r="AA336" s="366">
        <f t="shared" si="70"/>
        <v>0</v>
      </c>
      <c r="AB336" s="366">
        <f t="shared" si="74"/>
        <v>222232.80567444442</v>
      </c>
      <c r="AC336" s="367">
        <f t="shared" si="71"/>
        <v>202.110667607447</v>
      </c>
      <c r="AD336" s="367">
        <f t="shared" si="72"/>
        <v>0</v>
      </c>
      <c r="AE336" s="368">
        <f t="shared" si="75"/>
        <v>240.51169445286192</v>
      </c>
      <c r="AF336" s="385"/>
    </row>
    <row r="337" spans="2:32" s="1" customFormat="1" ht="13" hidden="1" x14ac:dyDescent="0.3">
      <c r="B337" s="383">
        <v>2026</v>
      </c>
      <c r="C337" s="361" t="s">
        <v>403</v>
      </c>
      <c r="D337" s="361" t="s">
        <v>80</v>
      </c>
      <c r="E337" s="360" t="s">
        <v>88</v>
      </c>
      <c r="F337" s="360" t="s">
        <v>480</v>
      </c>
      <c r="G337" s="362">
        <v>46232</v>
      </c>
      <c r="H337" s="363">
        <v>58305117</v>
      </c>
      <c r="I337" s="360" t="s">
        <v>146</v>
      </c>
      <c r="J337" s="364" t="str">
        <f>IFERROR(VLOOKUP(I337,Map!$F$18:$G$56,2,0),"Add in Map")</f>
        <v>OBS</v>
      </c>
      <c r="K337" s="364" t="str">
        <f>VLOOKUP(L337,Map!$C$18:$D$29,2,0)</f>
        <v>DGT</v>
      </c>
      <c r="L337" s="360" t="s">
        <v>50</v>
      </c>
      <c r="M337" s="365">
        <v>132438.63207702525</v>
      </c>
      <c r="N337" s="366">
        <f t="shared" si="76"/>
        <v>0</v>
      </c>
      <c r="O337" s="366">
        <f t="shared" si="77"/>
        <v>157601.97217166005</v>
      </c>
      <c r="P337" s="367">
        <f t="shared" si="78"/>
        <v>143.33185289721348</v>
      </c>
      <c r="Q337" s="367">
        <f t="shared" si="79"/>
        <v>0</v>
      </c>
      <c r="R337" s="368">
        <f t="shared" si="73"/>
        <v>170.56490494768403</v>
      </c>
      <c r="S337" s="384">
        <f>INDEX(FX!$D$3:$O$19,MATCH(B337,FX!$B$3:$B$32,0),MATCH(D337,FX!$D$2:$O$2,0))</f>
        <v>924</v>
      </c>
      <c r="T337" s="360" t="s">
        <v>81</v>
      </c>
      <c r="U337" s="360" t="s">
        <v>32</v>
      </c>
      <c r="V337" s="360" t="s">
        <v>83</v>
      </c>
      <c r="W337" s="364" t="str">
        <f>VLOOKUP(I337,Map!$F$18:$H$51,3,0)</f>
        <v>Variable</v>
      </c>
      <c r="X337" s="370" t="s">
        <v>480</v>
      </c>
      <c r="Y337" s="364" t="str">
        <f>VLOOKUP(L337,Map!$C$18:$D$29,2,0)</f>
        <v>DGT</v>
      </c>
      <c r="Z337" s="365">
        <v>126723.38858986927</v>
      </c>
      <c r="AA337" s="366">
        <f t="shared" ref="AA337:AA348" si="80">IF(Y337="TOTAL",(Z337*0.19),0)</f>
        <v>0</v>
      </c>
      <c r="AB337" s="366">
        <f t="shared" si="74"/>
        <v>150800.83242194442</v>
      </c>
      <c r="AC337" s="367">
        <f t="shared" ref="AC337:AC348" si="81">Z337/S337</f>
        <v>137.14652444791045</v>
      </c>
      <c r="AD337" s="367">
        <f t="shared" ref="AD337:AD348" si="82">IF(Y337="TOTAL",(AC337*0.19),0)</f>
        <v>0</v>
      </c>
      <c r="AE337" s="368">
        <f t="shared" si="75"/>
        <v>163.20436409301342</v>
      </c>
      <c r="AF337" s="385"/>
    </row>
    <row r="338" spans="2:32" s="1" customFormat="1" ht="13" hidden="1" x14ac:dyDescent="0.3">
      <c r="B338" s="383">
        <v>2026</v>
      </c>
      <c r="C338" s="361" t="s">
        <v>403</v>
      </c>
      <c r="D338" s="361" t="s">
        <v>80</v>
      </c>
      <c r="E338" s="360" t="s">
        <v>88</v>
      </c>
      <c r="F338" s="360" t="s">
        <v>480</v>
      </c>
      <c r="G338" s="362">
        <v>46232</v>
      </c>
      <c r="H338" s="363">
        <v>58305117</v>
      </c>
      <c r="I338" s="360" t="s">
        <v>146</v>
      </c>
      <c r="J338" s="364" t="str">
        <f>IFERROR(VLOOKUP(I338,Map!$F$18:$G$56,2,0),"Add in Map")</f>
        <v>OBS</v>
      </c>
      <c r="K338" s="364" t="str">
        <f>VLOOKUP(L338,Map!$C$18:$D$29,2,0)</f>
        <v>DLT</v>
      </c>
      <c r="L338" s="360" t="s">
        <v>52</v>
      </c>
      <c r="M338" s="365">
        <v>6297.579547053364</v>
      </c>
      <c r="N338" s="366">
        <f t="shared" si="76"/>
        <v>0</v>
      </c>
      <c r="O338" s="366">
        <f t="shared" si="77"/>
        <v>7494.1196609935032</v>
      </c>
      <c r="P338" s="367">
        <f t="shared" si="78"/>
        <v>6.8155622803607834</v>
      </c>
      <c r="Q338" s="367">
        <f t="shared" si="79"/>
        <v>0</v>
      </c>
      <c r="R338" s="368">
        <f t="shared" ref="R338:R349" si="83">P338*1.19</f>
        <v>8.1105191136293318</v>
      </c>
      <c r="S338" s="384">
        <f>INDEX(FX!$D$3:$O$19,MATCH(B338,FX!$B$3:$B$32,0),MATCH(D338,FX!$D$2:$O$2,0))</f>
        <v>924</v>
      </c>
      <c r="T338" s="360" t="s">
        <v>81</v>
      </c>
      <c r="U338" s="360" t="s">
        <v>32</v>
      </c>
      <c r="V338" s="360" t="s">
        <v>83</v>
      </c>
      <c r="W338" s="364" t="str">
        <f>VLOOKUP(I338,Map!$F$18:$H$51,3,0)</f>
        <v>Variable</v>
      </c>
      <c r="X338" s="370" t="s">
        <v>480</v>
      </c>
      <c r="Y338" s="364" t="str">
        <f>VLOOKUP(L338,Map!$C$18:$D$29,2,0)</f>
        <v>DLT</v>
      </c>
      <c r="Z338" s="365">
        <v>13339.304062091504</v>
      </c>
      <c r="AA338" s="366">
        <f t="shared" si="80"/>
        <v>0</v>
      </c>
      <c r="AB338" s="366">
        <f t="shared" ref="AB338:AB349" si="84">Z338*1.19</f>
        <v>15873.771833888888</v>
      </c>
      <c r="AC338" s="367">
        <f t="shared" si="81"/>
        <v>14.436476257674787</v>
      </c>
      <c r="AD338" s="367">
        <f t="shared" si="82"/>
        <v>0</v>
      </c>
      <c r="AE338" s="368">
        <f t="shared" ref="AE338:AE349" si="85">AC338*1.19</f>
        <v>17.179406746632996</v>
      </c>
      <c r="AF338" s="385"/>
    </row>
    <row r="339" spans="2:32" s="1" customFormat="1" ht="13" hidden="1" x14ac:dyDescent="0.3">
      <c r="B339" s="383">
        <v>2026</v>
      </c>
      <c r="C339" s="361" t="s">
        <v>403</v>
      </c>
      <c r="D339" s="361" t="s">
        <v>80</v>
      </c>
      <c r="E339" s="360" t="s">
        <v>88</v>
      </c>
      <c r="F339" s="360" t="s">
        <v>480</v>
      </c>
      <c r="G339" s="362">
        <v>46232</v>
      </c>
      <c r="H339" s="363">
        <v>58305117</v>
      </c>
      <c r="I339" s="360" t="s">
        <v>146</v>
      </c>
      <c r="J339" s="364" t="str">
        <f>IFERROR(VLOOKUP(I339,Map!$F$18:$G$56,2,0),"Add in Map")</f>
        <v>OBS</v>
      </c>
      <c r="K339" s="364" t="str">
        <f>VLOOKUP(L339,Map!$C$18:$D$29,2,0)</f>
        <v>DMT</v>
      </c>
      <c r="L339" s="360" t="s">
        <v>54</v>
      </c>
      <c r="M339" s="365">
        <v>0</v>
      </c>
      <c r="N339" s="366">
        <f t="shared" si="76"/>
        <v>0</v>
      </c>
      <c r="O339" s="366">
        <f t="shared" si="77"/>
        <v>0</v>
      </c>
      <c r="P339" s="386">
        <f t="shared" si="78"/>
        <v>0</v>
      </c>
      <c r="Q339" s="367">
        <f t="shared" si="79"/>
        <v>0</v>
      </c>
      <c r="R339" s="368">
        <f t="shared" si="83"/>
        <v>0</v>
      </c>
      <c r="S339" s="384">
        <f>INDEX(FX!$D$3:$O$19,MATCH(B339,FX!$B$3:$B$32,0),MATCH(D339,FX!$D$2:$O$2,0))</f>
        <v>924</v>
      </c>
      <c r="T339" s="360" t="s">
        <v>81</v>
      </c>
      <c r="U339" s="360" t="s">
        <v>32</v>
      </c>
      <c r="V339" s="360" t="s">
        <v>83</v>
      </c>
      <c r="W339" s="364" t="str">
        <f>VLOOKUP(I339,Map!$F$18:$H$51,3,0)</f>
        <v>Variable</v>
      </c>
      <c r="X339" s="370" t="s">
        <v>480</v>
      </c>
      <c r="Y339" s="364" t="str">
        <f>VLOOKUP(L339,Map!$C$18:$D$29,2,0)</f>
        <v>DMT</v>
      </c>
      <c r="Z339" s="365">
        <v>0</v>
      </c>
      <c r="AA339" s="366">
        <f t="shared" si="80"/>
        <v>0</v>
      </c>
      <c r="AB339" s="366">
        <f t="shared" si="84"/>
        <v>0</v>
      </c>
      <c r="AC339" s="386">
        <f t="shared" si="81"/>
        <v>0</v>
      </c>
      <c r="AD339" s="367">
        <f t="shared" si="82"/>
        <v>0</v>
      </c>
      <c r="AE339" s="368">
        <f t="shared" si="85"/>
        <v>0</v>
      </c>
      <c r="AF339" s="385"/>
    </row>
    <row r="340" spans="2:32" s="37" customFormat="1" hidden="1" x14ac:dyDescent="0.35">
      <c r="B340" s="387">
        <v>2026</v>
      </c>
      <c r="C340" s="389" t="s">
        <v>403</v>
      </c>
      <c r="D340" s="389" t="s">
        <v>80</v>
      </c>
      <c r="E340" s="388" t="s">
        <v>88</v>
      </c>
      <c r="F340" s="388" t="s">
        <v>480</v>
      </c>
      <c r="G340" s="390">
        <v>46232</v>
      </c>
      <c r="H340" s="391">
        <v>58305117</v>
      </c>
      <c r="I340" s="388" t="s">
        <v>146</v>
      </c>
      <c r="J340" s="392" t="str">
        <f>IFERROR(VLOOKUP(I340,Map!$F$18:$G$56,2,0),"Add in Map")</f>
        <v>OBS</v>
      </c>
      <c r="K340" s="392" t="str">
        <f>VLOOKUP(L340,Map!$C$18:$D$29,2,0)</f>
        <v>TOTAL</v>
      </c>
      <c r="L340" s="388" t="s">
        <v>56</v>
      </c>
      <c r="M340" s="393">
        <f>SUM(M329:M339)</f>
        <v>6322522</v>
      </c>
      <c r="N340" s="393">
        <f t="shared" si="76"/>
        <v>1201279.18</v>
      </c>
      <c r="O340" s="393">
        <f t="shared" si="77"/>
        <v>7523801.1799999997</v>
      </c>
      <c r="P340" s="394">
        <f t="shared" si="78"/>
        <v>6842.5562770562774</v>
      </c>
      <c r="Q340" s="394">
        <f t="shared" si="79"/>
        <v>1300.0856926406927</v>
      </c>
      <c r="R340" s="395">
        <f t="shared" si="83"/>
        <v>8142.6419696969697</v>
      </c>
      <c r="S340" s="396">
        <f>INDEX(FX!$D$3:$O$19,MATCH(B340,FX!$B$3:$B$32,0),MATCH(D340,FX!$D$2:$O$2,0))</f>
        <v>924</v>
      </c>
      <c r="T340" s="388" t="s">
        <v>81</v>
      </c>
      <c r="U340" s="388" t="s">
        <v>32</v>
      </c>
      <c r="V340" s="388" t="s">
        <v>83</v>
      </c>
      <c r="W340" s="392" t="str">
        <f>VLOOKUP(I340,Map!$F$18:$H$51,3,0)</f>
        <v>Variable</v>
      </c>
      <c r="X340" s="397" t="s">
        <v>480</v>
      </c>
      <c r="Y340" s="392" t="str">
        <f>VLOOKUP(L340,Map!$C$18:$D$29,2,0)</f>
        <v>TOTAL</v>
      </c>
      <c r="Z340" s="393">
        <f>SUM(Z329:Z339)</f>
        <v>6122740.5645000003</v>
      </c>
      <c r="AA340" s="393">
        <f t="shared" si="80"/>
        <v>1163320.707255</v>
      </c>
      <c r="AB340" s="393">
        <f t="shared" si="84"/>
        <v>7286061.2717549996</v>
      </c>
      <c r="AC340" s="394">
        <f t="shared" si="81"/>
        <v>6626.3426022727281</v>
      </c>
      <c r="AD340" s="394">
        <f t="shared" si="82"/>
        <v>1259.0050944318184</v>
      </c>
      <c r="AE340" s="395">
        <f t="shared" si="85"/>
        <v>7885.3476967045463</v>
      </c>
      <c r="AF340" s="398" t="s">
        <v>479</v>
      </c>
    </row>
    <row r="341" spans="2:32" s="5" customFormat="1" ht="13" hidden="1" x14ac:dyDescent="0.3">
      <c r="B341" s="400">
        <v>2026</v>
      </c>
      <c r="C341" s="402" t="s">
        <v>414</v>
      </c>
      <c r="D341" s="402" t="s">
        <v>159</v>
      </c>
      <c r="E341" s="401" t="s">
        <v>88</v>
      </c>
      <c r="F341" s="401" t="s">
        <v>87</v>
      </c>
      <c r="G341" s="403">
        <v>46169</v>
      </c>
      <c r="H341" s="404">
        <v>57910399</v>
      </c>
      <c r="I341" s="401" t="s">
        <v>146</v>
      </c>
      <c r="J341" s="405" t="str">
        <f>IFERROR(VLOOKUP(I341,Map!$F$18:$G$56,2,0),"Add in Map")</f>
        <v>OBS</v>
      </c>
      <c r="K341" s="405" t="str">
        <f>VLOOKUP(L341,Map!$C$18:$D$29,2,0)</f>
        <v>CNT</v>
      </c>
      <c r="L341" s="401" t="s">
        <v>31</v>
      </c>
      <c r="M341" s="406">
        <v>909244.37908496731</v>
      </c>
      <c r="N341" s="407">
        <f t="shared" ref="N341:N364" si="86">IF(L341="TOTAL",(M341*0.19),0)</f>
        <v>0</v>
      </c>
      <c r="O341" s="407">
        <f t="shared" ref="O341:O364" si="87">M341*1.19</f>
        <v>1082000.811111111</v>
      </c>
      <c r="P341" s="408">
        <f t="shared" ref="P341:P364" si="88">M341/S341</f>
        <v>1020.4762952693236</v>
      </c>
      <c r="Q341" s="408">
        <f t="shared" ref="Q341:Q364" si="89">IF(L341="TOTAL",(P341*0.19),0)</f>
        <v>0</v>
      </c>
      <c r="R341" s="409">
        <f t="shared" si="83"/>
        <v>1214.3667913704951</v>
      </c>
      <c r="S341" s="410">
        <f>INDEX(FX!$D$3:$O$19,MATCH(B341,FX!$B$3:$B$32,0),MATCH(D341,FX!$D$2:$O$2,0))</f>
        <v>891</v>
      </c>
      <c r="T341" s="401" t="s">
        <v>81</v>
      </c>
      <c r="U341" s="401" t="s">
        <v>32</v>
      </c>
      <c r="V341" s="401" t="s">
        <v>83</v>
      </c>
      <c r="W341" s="405" t="str">
        <f>VLOOKUP(I341,Map!$F$18:$H$51,3,0)</f>
        <v>Variable</v>
      </c>
      <c r="X341" s="411" t="s">
        <v>149</v>
      </c>
      <c r="Y341" s="405" t="str">
        <f>VLOOKUP(L341,Map!$C$18:$D$29,2,0)</f>
        <v>CNT</v>
      </c>
      <c r="Z341" s="406"/>
      <c r="AA341" s="407">
        <f t="shared" si="80"/>
        <v>0</v>
      </c>
      <c r="AB341" s="407">
        <f t="shared" si="84"/>
        <v>0</v>
      </c>
      <c r="AC341" s="408">
        <f t="shared" si="81"/>
        <v>0</v>
      </c>
      <c r="AD341" s="408">
        <f t="shared" si="82"/>
        <v>0</v>
      </c>
      <c r="AE341" s="409">
        <f t="shared" si="85"/>
        <v>0</v>
      </c>
      <c r="AF341" s="412"/>
    </row>
    <row r="342" spans="2:32" s="1" customFormat="1" ht="13" hidden="1" x14ac:dyDescent="0.3">
      <c r="B342" s="383">
        <v>2026</v>
      </c>
      <c r="C342" s="361" t="s">
        <v>414</v>
      </c>
      <c r="D342" s="361" t="s">
        <v>159</v>
      </c>
      <c r="E342" s="360" t="s">
        <v>88</v>
      </c>
      <c r="F342" s="360" t="s">
        <v>87</v>
      </c>
      <c r="G342" s="362">
        <v>46169</v>
      </c>
      <c r="H342" s="363">
        <v>57910399</v>
      </c>
      <c r="I342" s="360" t="s">
        <v>146</v>
      </c>
      <c r="J342" s="364" t="str">
        <f>IFERROR(VLOOKUP(I342,Map!$F$18:$G$56,2,0),"Add in Map")</f>
        <v>OBS</v>
      </c>
      <c r="K342" s="364" t="str">
        <f>VLOOKUP(L342,Map!$C$18:$D$29,2,0)</f>
        <v>CVT</v>
      </c>
      <c r="L342" s="360" t="s">
        <v>36</v>
      </c>
      <c r="M342" s="365">
        <v>9570.9934640522879</v>
      </c>
      <c r="N342" s="366">
        <f t="shared" si="86"/>
        <v>0</v>
      </c>
      <c r="O342" s="366">
        <f t="shared" si="87"/>
        <v>11389.482222222223</v>
      </c>
      <c r="P342" s="367">
        <f t="shared" si="88"/>
        <v>10.74185573967709</v>
      </c>
      <c r="Q342" s="367">
        <f t="shared" si="89"/>
        <v>0</v>
      </c>
      <c r="R342" s="368">
        <f t="shared" si="83"/>
        <v>12.782808330215737</v>
      </c>
      <c r="S342" s="384">
        <f>INDEX(FX!$D$3:$O$19,MATCH(B342,FX!$B$3:$B$32,0),MATCH(D342,FX!$D$2:$O$2,0))</f>
        <v>891</v>
      </c>
      <c r="T342" s="360" t="s">
        <v>81</v>
      </c>
      <c r="U342" s="360" t="s">
        <v>32</v>
      </c>
      <c r="V342" s="360" t="s">
        <v>83</v>
      </c>
      <c r="W342" s="364" t="str">
        <f>VLOOKUP(I342,Map!$F$18:$H$51,3,0)</f>
        <v>Variable</v>
      </c>
      <c r="X342" s="370" t="s">
        <v>149</v>
      </c>
      <c r="Y342" s="364" t="str">
        <f>VLOOKUP(L342,Map!$C$18:$D$29,2,0)</f>
        <v>CVT</v>
      </c>
      <c r="Z342" s="365"/>
      <c r="AA342" s="366">
        <f t="shared" si="80"/>
        <v>0</v>
      </c>
      <c r="AB342" s="366">
        <f t="shared" si="84"/>
        <v>0</v>
      </c>
      <c r="AC342" s="367">
        <f t="shared" si="81"/>
        <v>0</v>
      </c>
      <c r="AD342" s="367">
        <f t="shared" si="82"/>
        <v>0</v>
      </c>
      <c r="AE342" s="368">
        <f t="shared" si="85"/>
        <v>0</v>
      </c>
      <c r="AF342" s="385"/>
    </row>
    <row r="343" spans="2:32" s="1" customFormat="1" ht="13" hidden="1" x14ac:dyDescent="0.3">
      <c r="B343" s="383">
        <v>2026</v>
      </c>
      <c r="C343" s="361" t="s">
        <v>414</v>
      </c>
      <c r="D343" s="361" t="s">
        <v>159</v>
      </c>
      <c r="E343" s="360" t="s">
        <v>88</v>
      </c>
      <c r="F343" s="360" t="s">
        <v>87</v>
      </c>
      <c r="G343" s="362">
        <v>46169</v>
      </c>
      <c r="H343" s="363">
        <v>57910399</v>
      </c>
      <c r="I343" s="360" t="s">
        <v>146</v>
      </c>
      <c r="J343" s="364" t="str">
        <f>IFERROR(VLOOKUP(I343,Map!$F$18:$G$56,2,0),"Add in Map")</f>
        <v>OBS</v>
      </c>
      <c r="K343" s="364" t="str">
        <f>VLOOKUP(L343,Map!$C$18:$D$29,2,0)</f>
        <v>CDT</v>
      </c>
      <c r="L343" s="360" t="s">
        <v>38</v>
      </c>
      <c r="M343" s="365">
        <v>105280.92810457516</v>
      </c>
      <c r="N343" s="366">
        <f t="shared" si="86"/>
        <v>0</v>
      </c>
      <c r="O343" s="366">
        <f t="shared" si="87"/>
        <v>125284.30444444442</v>
      </c>
      <c r="P343" s="367">
        <f t="shared" si="88"/>
        <v>118.16041313644799</v>
      </c>
      <c r="Q343" s="367">
        <f t="shared" si="89"/>
        <v>0</v>
      </c>
      <c r="R343" s="368">
        <f t="shared" si="83"/>
        <v>140.6108916323731</v>
      </c>
      <c r="S343" s="384">
        <f>INDEX(FX!$D$3:$O$19,MATCH(B343,FX!$B$3:$B$32,0),MATCH(D343,FX!$D$2:$O$2,0))</f>
        <v>891</v>
      </c>
      <c r="T343" s="360" t="s">
        <v>81</v>
      </c>
      <c r="U343" s="360" t="s">
        <v>32</v>
      </c>
      <c r="V343" s="360" t="s">
        <v>83</v>
      </c>
      <c r="W343" s="364" t="str">
        <f>VLOOKUP(I343,Map!$F$18:$H$51,3,0)</f>
        <v>Variable</v>
      </c>
      <c r="X343" s="370" t="s">
        <v>149</v>
      </c>
      <c r="Y343" s="364" t="str">
        <f>VLOOKUP(L343,Map!$C$18:$D$29,2,0)</f>
        <v>CDT</v>
      </c>
      <c r="Z343" s="365"/>
      <c r="AA343" s="366">
        <f t="shared" si="80"/>
        <v>0</v>
      </c>
      <c r="AB343" s="366">
        <f t="shared" si="84"/>
        <v>0</v>
      </c>
      <c r="AC343" s="367">
        <f t="shared" si="81"/>
        <v>0</v>
      </c>
      <c r="AD343" s="367">
        <f t="shared" si="82"/>
        <v>0</v>
      </c>
      <c r="AE343" s="368">
        <f t="shared" si="85"/>
        <v>0</v>
      </c>
      <c r="AF343" s="385"/>
    </row>
    <row r="344" spans="2:32" s="1" customFormat="1" ht="13" hidden="1" x14ac:dyDescent="0.3">
      <c r="B344" s="383">
        <v>2026</v>
      </c>
      <c r="C344" s="361" t="s">
        <v>414</v>
      </c>
      <c r="D344" s="361" t="s">
        <v>159</v>
      </c>
      <c r="E344" s="360" t="s">
        <v>88</v>
      </c>
      <c r="F344" s="360" t="s">
        <v>87</v>
      </c>
      <c r="G344" s="362">
        <v>46169</v>
      </c>
      <c r="H344" s="363">
        <v>57910399</v>
      </c>
      <c r="I344" s="360" t="s">
        <v>146</v>
      </c>
      <c r="J344" s="364" t="str">
        <f>IFERROR(VLOOKUP(I344,Map!$F$18:$G$56,2,0),"Add in Map")</f>
        <v>OBS</v>
      </c>
      <c r="K344" s="364" t="str">
        <f>VLOOKUP(L344,Map!$C$18:$D$29,2,0)</f>
        <v>DFT</v>
      </c>
      <c r="L344" s="360" t="s">
        <v>40</v>
      </c>
      <c r="M344" s="365">
        <v>2005123.1307189544</v>
      </c>
      <c r="N344" s="366">
        <f t="shared" si="86"/>
        <v>0</v>
      </c>
      <c r="O344" s="366">
        <f t="shared" si="87"/>
        <v>2386096.5255555557</v>
      </c>
      <c r="P344" s="367">
        <f t="shared" si="88"/>
        <v>2250.4187774623506</v>
      </c>
      <c r="Q344" s="367">
        <f t="shared" si="89"/>
        <v>0</v>
      </c>
      <c r="R344" s="368">
        <f t="shared" si="83"/>
        <v>2677.9983451801972</v>
      </c>
      <c r="S344" s="384">
        <f>INDEX(FX!$D$3:$O$19,MATCH(B344,FX!$B$3:$B$32,0),MATCH(D344,FX!$D$2:$O$2,0))</f>
        <v>891</v>
      </c>
      <c r="T344" s="360" t="s">
        <v>81</v>
      </c>
      <c r="U344" s="360" t="s">
        <v>32</v>
      </c>
      <c r="V344" s="360" t="s">
        <v>83</v>
      </c>
      <c r="W344" s="364" t="str">
        <f>VLOOKUP(I344,Map!$F$18:$H$51,3,0)</f>
        <v>Variable</v>
      </c>
      <c r="X344" s="370" t="s">
        <v>149</v>
      </c>
      <c r="Y344" s="364" t="str">
        <f>VLOOKUP(L344,Map!$C$18:$D$29,2,0)</f>
        <v>DFT</v>
      </c>
      <c r="Z344" s="365"/>
      <c r="AA344" s="366">
        <f t="shared" si="80"/>
        <v>0</v>
      </c>
      <c r="AB344" s="366">
        <f t="shared" si="84"/>
        <v>0</v>
      </c>
      <c r="AC344" s="367">
        <f t="shared" si="81"/>
        <v>0</v>
      </c>
      <c r="AD344" s="367">
        <f t="shared" si="82"/>
        <v>0</v>
      </c>
      <c r="AE344" s="368">
        <f t="shared" si="85"/>
        <v>0</v>
      </c>
      <c r="AF344" s="385"/>
    </row>
    <row r="345" spans="2:32" s="1" customFormat="1" ht="13" hidden="1" x14ac:dyDescent="0.3">
      <c r="B345" s="383">
        <v>2026</v>
      </c>
      <c r="C345" s="361" t="s">
        <v>414</v>
      </c>
      <c r="D345" s="361" t="s">
        <v>159</v>
      </c>
      <c r="E345" s="360" t="s">
        <v>88</v>
      </c>
      <c r="F345" s="360" t="s">
        <v>87</v>
      </c>
      <c r="G345" s="362">
        <v>46169</v>
      </c>
      <c r="H345" s="363">
        <v>57910399</v>
      </c>
      <c r="I345" s="360" t="s">
        <v>146</v>
      </c>
      <c r="J345" s="364" t="str">
        <f>IFERROR(VLOOKUP(I345,Map!$F$18:$G$56,2,0),"Add in Map")</f>
        <v>OBS</v>
      </c>
      <c r="K345" s="364" t="str">
        <f>VLOOKUP(L345,Map!$C$18:$D$29,2,0)</f>
        <v>DVT</v>
      </c>
      <c r="L345" s="360" t="s">
        <v>42</v>
      </c>
      <c r="M345" s="365">
        <v>0</v>
      </c>
      <c r="N345" s="366">
        <f t="shared" si="86"/>
        <v>0</v>
      </c>
      <c r="O345" s="366">
        <f t="shared" si="87"/>
        <v>0</v>
      </c>
      <c r="P345" s="367">
        <f t="shared" si="88"/>
        <v>0</v>
      </c>
      <c r="Q345" s="367">
        <f t="shared" si="89"/>
        <v>0</v>
      </c>
      <c r="R345" s="368">
        <f t="shared" si="83"/>
        <v>0</v>
      </c>
      <c r="S345" s="384">
        <f>INDEX(FX!$D$3:$O$19,MATCH(B345,FX!$B$3:$B$32,0),MATCH(D345,FX!$D$2:$O$2,0))</f>
        <v>891</v>
      </c>
      <c r="T345" s="360" t="s">
        <v>81</v>
      </c>
      <c r="U345" s="360" t="s">
        <v>32</v>
      </c>
      <c r="V345" s="360" t="s">
        <v>83</v>
      </c>
      <c r="W345" s="364" t="str">
        <f>VLOOKUP(I345,Map!$F$18:$H$51,3,0)</f>
        <v>Variable</v>
      </c>
      <c r="X345" s="370" t="s">
        <v>149</v>
      </c>
      <c r="Y345" s="364" t="str">
        <f>VLOOKUP(L345,Map!$C$18:$D$29,2,0)</f>
        <v>DVT</v>
      </c>
      <c r="Z345" s="365"/>
      <c r="AA345" s="366">
        <f t="shared" si="80"/>
        <v>0</v>
      </c>
      <c r="AB345" s="366">
        <f t="shared" si="84"/>
        <v>0</v>
      </c>
      <c r="AC345" s="367">
        <f t="shared" si="81"/>
        <v>0</v>
      </c>
      <c r="AD345" s="367">
        <f t="shared" si="82"/>
        <v>0</v>
      </c>
      <c r="AE345" s="368">
        <f t="shared" si="85"/>
        <v>0</v>
      </c>
      <c r="AF345" s="385"/>
    </row>
    <row r="346" spans="2:32" s="1" customFormat="1" ht="13" hidden="1" x14ac:dyDescent="0.3">
      <c r="B346" s="383">
        <v>2026</v>
      </c>
      <c r="C346" s="361" t="s">
        <v>414</v>
      </c>
      <c r="D346" s="361" t="s">
        <v>159</v>
      </c>
      <c r="E346" s="360" t="s">
        <v>88</v>
      </c>
      <c r="F346" s="360" t="s">
        <v>87</v>
      </c>
      <c r="G346" s="362">
        <v>46169</v>
      </c>
      <c r="H346" s="363">
        <v>57910399</v>
      </c>
      <c r="I346" s="360" t="s">
        <v>146</v>
      </c>
      <c r="J346" s="364" t="str">
        <f>IFERROR(VLOOKUP(I346,Map!$F$18:$G$56,2,0),"Add in Map")</f>
        <v>OBS</v>
      </c>
      <c r="K346" s="364" t="str">
        <f>VLOOKUP(L346,Map!$C$18:$D$29,2,0)</f>
        <v>GLT</v>
      </c>
      <c r="L346" s="360" t="s">
        <v>44</v>
      </c>
      <c r="M346" s="365">
        <v>1081522.2614379085</v>
      </c>
      <c r="N346" s="366">
        <f t="shared" si="86"/>
        <v>0</v>
      </c>
      <c r="O346" s="366">
        <f t="shared" si="87"/>
        <v>1287011.4911111111</v>
      </c>
      <c r="P346" s="367">
        <f t="shared" si="88"/>
        <v>1213.8296985835113</v>
      </c>
      <c r="Q346" s="367">
        <f t="shared" si="89"/>
        <v>0</v>
      </c>
      <c r="R346" s="368">
        <f t="shared" si="83"/>
        <v>1444.4573413143785</v>
      </c>
      <c r="S346" s="384">
        <f>INDEX(FX!$D$3:$O$19,MATCH(B346,FX!$B$3:$B$32,0),MATCH(D346,FX!$D$2:$O$2,0))</f>
        <v>891</v>
      </c>
      <c r="T346" s="360" t="s">
        <v>81</v>
      </c>
      <c r="U346" s="360" t="s">
        <v>32</v>
      </c>
      <c r="V346" s="360" t="s">
        <v>83</v>
      </c>
      <c r="W346" s="364" t="str">
        <f>VLOOKUP(I346,Map!$F$18:$H$51,3,0)</f>
        <v>Variable</v>
      </c>
      <c r="X346" s="370" t="s">
        <v>149</v>
      </c>
      <c r="Y346" s="364" t="str">
        <f>VLOOKUP(L346,Map!$C$18:$D$29,2,0)</f>
        <v>GLT</v>
      </c>
      <c r="Z346" s="365"/>
      <c r="AA346" s="366">
        <f t="shared" si="80"/>
        <v>0</v>
      </c>
      <c r="AB346" s="366">
        <f t="shared" si="84"/>
        <v>0</v>
      </c>
      <c r="AC346" s="367">
        <f t="shared" si="81"/>
        <v>0</v>
      </c>
      <c r="AD346" s="367">
        <f t="shared" si="82"/>
        <v>0</v>
      </c>
      <c r="AE346" s="368">
        <f t="shared" si="85"/>
        <v>0</v>
      </c>
      <c r="AF346" s="385"/>
    </row>
    <row r="347" spans="2:32" s="1" customFormat="1" ht="13" hidden="1" x14ac:dyDescent="0.3">
      <c r="B347" s="383">
        <v>2026</v>
      </c>
      <c r="C347" s="361" t="s">
        <v>414</v>
      </c>
      <c r="D347" s="361" t="s">
        <v>159</v>
      </c>
      <c r="E347" s="360" t="s">
        <v>88</v>
      </c>
      <c r="F347" s="360" t="s">
        <v>87</v>
      </c>
      <c r="G347" s="362">
        <v>46169</v>
      </c>
      <c r="H347" s="363">
        <v>57910399</v>
      </c>
      <c r="I347" s="360" t="s">
        <v>146</v>
      </c>
      <c r="J347" s="364" t="str">
        <f>IFERROR(VLOOKUP(I347,Map!$F$18:$G$56,2,0),"Add in Map")</f>
        <v>OBS</v>
      </c>
      <c r="K347" s="364" t="str">
        <f>VLOOKUP(L347,Map!$C$18:$D$29,2,0)</f>
        <v>PNT</v>
      </c>
      <c r="L347" s="360" t="s">
        <v>46</v>
      </c>
      <c r="M347" s="365">
        <v>47854.967320261443</v>
      </c>
      <c r="N347" s="366">
        <f t="shared" si="86"/>
        <v>0</v>
      </c>
      <c r="O347" s="366">
        <f t="shared" si="87"/>
        <v>56947.411111111112</v>
      </c>
      <c r="P347" s="367">
        <f t="shared" si="88"/>
        <v>53.709278698385461</v>
      </c>
      <c r="Q347" s="367">
        <f t="shared" si="89"/>
        <v>0</v>
      </c>
      <c r="R347" s="368">
        <f t="shared" si="83"/>
        <v>63.914041651078698</v>
      </c>
      <c r="S347" s="384">
        <f>INDEX(FX!$D$3:$O$19,MATCH(B347,FX!$B$3:$B$32,0),MATCH(D347,FX!$D$2:$O$2,0))</f>
        <v>891</v>
      </c>
      <c r="T347" s="360" t="s">
        <v>81</v>
      </c>
      <c r="U347" s="360" t="s">
        <v>32</v>
      </c>
      <c r="V347" s="360" t="s">
        <v>83</v>
      </c>
      <c r="W347" s="364" t="str">
        <f>VLOOKUP(I347,Map!$F$18:$H$51,3,0)</f>
        <v>Variable</v>
      </c>
      <c r="X347" s="370" t="s">
        <v>149</v>
      </c>
      <c r="Y347" s="364" t="str">
        <f>VLOOKUP(L347,Map!$C$18:$D$29,2,0)</f>
        <v>PNT</v>
      </c>
      <c r="Z347" s="365"/>
      <c r="AA347" s="366">
        <f t="shared" si="80"/>
        <v>0</v>
      </c>
      <c r="AB347" s="366">
        <f t="shared" si="84"/>
        <v>0</v>
      </c>
      <c r="AC347" s="367">
        <f t="shared" si="81"/>
        <v>0</v>
      </c>
      <c r="AD347" s="367">
        <f t="shared" si="82"/>
        <v>0</v>
      </c>
      <c r="AE347" s="368">
        <f t="shared" si="85"/>
        <v>0</v>
      </c>
      <c r="AF347" s="385"/>
    </row>
    <row r="348" spans="2:32" s="1" customFormat="1" ht="13" hidden="1" x14ac:dyDescent="0.3">
      <c r="B348" s="383">
        <v>2026</v>
      </c>
      <c r="C348" s="361" t="s">
        <v>414</v>
      </c>
      <c r="D348" s="361" t="s">
        <v>159</v>
      </c>
      <c r="E348" s="360" t="s">
        <v>88</v>
      </c>
      <c r="F348" s="360" t="s">
        <v>87</v>
      </c>
      <c r="G348" s="362">
        <v>46169</v>
      </c>
      <c r="H348" s="363">
        <v>57910399</v>
      </c>
      <c r="I348" s="360" t="s">
        <v>146</v>
      </c>
      <c r="J348" s="364" t="str">
        <f>IFERROR(VLOOKUP(I348,Map!$F$18:$G$56,2,0),"Add in Map")</f>
        <v>OBS</v>
      </c>
      <c r="K348" s="364" t="str">
        <f>VLOOKUP(L348,Map!$C$18:$D$29,2,0)</f>
        <v>GTT</v>
      </c>
      <c r="L348" s="360" t="s">
        <v>48</v>
      </c>
      <c r="M348" s="365">
        <v>133993.90849673204</v>
      </c>
      <c r="N348" s="366">
        <f t="shared" si="86"/>
        <v>0</v>
      </c>
      <c r="O348" s="366">
        <f t="shared" si="87"/>
        <v>159452.75111111111</v>
      </c>
      <c r="P348" s="367">
        <f t="shared" si="88"/>
        <v>150.38598035547929</v>
      </c>
      <c r="Q348" s="367">
        <f t="shared" si="89"/>
        <v>0</v>
      </c>
      <c r="R348" s="368">
        <f t="shared" si="83"/>
        <v>178.95931662302036</v>
      </c>
      <c r="S348" s="384">
        <f>INDEX(FX!$D$3:$O$19,MATCH(B348,FX!$B$3:$B$32,0),MATCH(D348,FX!$D$2:$O$2,0))</f>
        <v>891</v>
      </c>
      <c r="T348" s="360" t="s">
        <v>81</v>
      </c>
      <c r="U348" s="360" t="s">
        <v>32</v>
      </c>
      <c r="V348" s="360" t="s">
        <v>83</v>
      </c>
      <c r="W348" s="364" t="str">
        <f>VLOOKUP(I348,Map!$F$18:$H$51,3,0)</f>
        <v>Variable</v>
      </c>
      <c r="X348" s="370" t="s">
        <v>149</v>
      </c>
      <c r="Y348" s="364" t="str">
        <f>VLOOKUP(L348,Map!$C$18:$D$29,2,0)</f>
        <v>GTT</v>
      </c>
      <c r="Z348" s="365"/>
      <c r="AA348" s="366">
        <f t="shared" si="80"/>
        <v>0</v>
      </c>
      <c r="AB348" s="366">
        <f t="shared" si="84"/>
        <v>0</v>
      </c>
      <c r="AC348" s="367">
        <f t="shared" si="81"/>
        <v>0</v>
      </c>
      <c r="AD348" s="367">
        <f t="shared" si="82"/>
        <v>0</v>
      </c>
      <c r="AE348" s="368">
        <f t="shared" si="85"/>
        <v>0</v>
      </c>
      <c r="AF348" s="385"/>
    </row>
    <row r="349" spans="2:32" s="1" customFormat="1" ht="13" hidden="1" x14ac:dyDescent="0.3">
      <c r="B349" s="383">
        <v>2026</v>
      </c>
      <c r="C349" s="361" t="s">
        <v>414</v>
      </c>
      <c r="D349" s="361" t="s">
        <v>159</v>
      </c>
      <c r="E349" s="360" t="s">
        <v>88</v>
      </c>
      <c r="F349" s="360" t="s">
        <v>87</v>
      </c>
      <c r="G349" s="362">
        <v>46169</v>
      </c>
      <c r="H349" s="363">
        <v>57910399</v>
      </c>
      <c r="I349" s="360" t="s">
        <v>146</v>
      </c>
      <c r="J349" s="364" t="str">
        <f>IFERROR(VLOOKUP(I349,Map!$F$18:$G$56,2,0),"Add in Map")</f>
        <v>OBS</v>
      </c>
      <c r="K349" s="364" t="str">
        <f>VLOOKUP(L349,Map!$C$18:$D$29,2,0)</f>
        <v>DGT</v>
      </c>
      <c r="L349" s="360" t="s">
        <v>50</v>
      </c>
      <c r="M349" s="365">
        <v>90924.437908496737</v>
      </c>
      <c r="N349" s="366">
        <f t="shared" si="86"/>
        <v>0</v>
      </c>
      <c r="O349" s="366">
        <f t="shared" si="87"/>
        <v>108200.08111111111</v>
      </c>
      <c r="P349" s="367">
        <f t="shared" si="88"/>
        <v>102.04762952693237</v>
      </c>
      <c r="Q349" s="367">
        <f t="shared" si="89"/>
        <v>0</v>
      </c>
      <c r="R349" s="368">
        <f t="shared" si="83"/>
        <v>121.43667913704951</v>
      </c>
      <c r="S349" s="384">
        <f>INDEX(FX!$D$3:$O$19,MATCH(B349,FX!$B$3:$B$32,0),MATCH(D349,FX!$D$2:$O$2,0))</f>
        <v>891</v>
      </c>
      <c r="T349" s="360" t="s">
        <v>81</v>
      </c>
      <c r="U349" s="360" t="s">
        <v>32</v>
      </c>
      <c r="V349" s="360" t="s">
        <v>83</v>
      </c>
      <c r="W349" s="364" t="str">
        <f>VLOOKUP(I349,Map!$F$18:$H$51,3,0)</f>
        <v>Variable</v>
      </c>
      <c r="X349" s="370" t="s">
        <v>149</v>
      </c>
      <c r="Y349" s="364" t="str">
        <f>VLOOKUP(L349,Map!$C$18:$D$29,2,0)</f>
        <v>DGT</v>
      </c>
      <c r="Z349" s="365"/>
      <c r="AA349" s="366">
        <f t="shared" ref="AA349:AA364" si="90">IF(Y349="TOTAL",(Z349*0.19),0)</f>
        <v>0</v>
      </c>
      <c r="AB349" s="366">
        <f t="shared" si="84"/>
        <v>0</v>
      </c>
      <c r="AC349" s="367">
        <f t="shared" ref="AC349:AC364" si="91">Z349/S349</f>
        <v>0</v>
      </c>
      <c r="AD349" s="367">
        <f t="shared" ref="AD349:AD364" si="92">IF(Y349="TOTAL",(AC349*0.19),0)</f>
        <v>0</v>
      </c>
      <c r="AE349" s="368">
        <f t="shared" si="85"/>
        <v>0</v>
      </c>
      <c r="AF349" s="385"/>
    </row>
    <row r="350" spans="2:32" s="1" customFormat="1" ht="13" hidden="1" x14ac:dyDescent="0.3">
      <c r="B350" s="383">
        <v>2026</v>
      </c>
      <c r="C350" s="361" t="s">
        <v>414</v>
      </c>
      <c r="D350" s="361" t="s">
        <v>159</v>
      </c>
      <c r="E350" s="360" t="s">
        <v>88</v>
      </c>
      <c r="F350" s="360" t="s">
        <v>87</v>
      </c>
      <c r="G350" s="362">
        <v>46169</v>
      </c>
      <c r="H350" s="363">
        <v>57910399</v>
      </c>
      <c r="I350" s="360" t="s">
        <v>146</v>
      </c>
      <c r="J350" s="364" t="str">
        <f>IFERROR(VLOOKUP(I350,Map!$F$18:$G$56,2,0),"Add in Map")</f>
        <v>OBS</v>
      </c>
      <c r="K350" s="364" t="str">
        <f>VLOOKUP(L350,Map!$C$18:$D$29,2,0)</f>
        <v>DLT</v>
      </c>
      <c r="L350" s="360" t="s">
        <v>52</v>
      </c>
      <c r="M350" s="365">
        <v>9570.9934640522879</v>
      </c>
      <c r="N350" s="366">
        <f t="shared" si="86"/>
        <v>0</v>
      </c>
      <c r="O350" s="366">
        <f t="shared" si="87"/>
        <v>11389.482222222223</v>
      </c>
      <c r="P350" s="367">
        <f t="shared" si="88"/>
        <v>10.74185573967709</v>
      </c>
      <c r="Q350" s="367">
        <f t="shared" si="89"/>
        <v>0</v>
      </c>
      <c r="R350" s="368">
        <f t="shared" ref="R350:R364" si="93">P350*1.19</f>
        <v>12.782808330215737</v>
      </c>
      <c r="S350" s="384">
        <f>INDEX(FX!$D$3:$O$19,MATCH(B350,FX!$B$3:$B$32,0),MATCH(D350,FX!$D$2:$O$2,0))</f>
        <v>891</v>
      </c>
      <c r="T350" s="360" t="s">
        <v>81</v>
      </c>
      <c r="U350" s="360" t="s">
        <v>32</v>
      </c>
      <c r="V350" s="360" t="s">
        <v>83</v>
      </c>
      <c r="W350" s="364" t="str">
        <f>VLOOKUP(I350,Map!$F$18:$H$51,3,0)</f>
        <v>Variable</v>
      </c>
      <c r="X350" s="370" t="s">
        <v>149</v>
      </c>
      <c r="Y350" s="364" t="str">
        <f>VLOOKUP(L350,Map!$C$18:$D$29,2,0)</f>
        <v>DLT</v>
      </c>
      <c r="Z350" s="365"/>
      <c r="AA350" s="366">
        <f t="shared" si="90"/>
        <v>0</v>
      </c>
      <c r="AB350" s="366">
        <f t="shared" ref="AB350:AB364" si="94">Z350*1.19</f>
        <v>0</v>
      </c>
      <c r="AC350" s="367">
        <f t="shared" si="91"/>
        <v>0</v>
      </c>
      <c r="AD350" s="367">
        <f t="shared" si="92"/>
        <v>0</v>
      </c>
      <c r="AE350" s="368">
        <f t="shared" ref="AE350:AE364" si="95">AC350*1.19</f>
        <v>0</v>
      </c>
      <c r="AF350" s="385"/>
    </row>
    <row r="351" spans="2:32" s="1" customFormat="1" ht="13" hidden="1" x14ac:dyDescent="0.3">
      <c r="B351" s="383">
        <v>2026</v>
      </c>
      <c r="C351" s="361" t="s">
        <v>414</v>
      </c>
      <c r="D351" s="361" t="s">
        <v>159</v>
      </c>
      <c r="E351" s="360" t="s">
        <v>88</v>
      </c>
      <c r="F351" s="360" t="s">
        <v>87</v>
      </c>
      <c r="G351" s="362">
        <v>46169</v>
      </c>
      <c r="H351" s="363">
        <v>57910399</v>
      </c>
      <c r="I351" s="360" t="s">
        <v>146</v>
      </c>
      <c r="J351" s="364" t="str">
        <f>IFERROR(VLOOKUP(I351,Map!$F$18:$G$56,2,0),"Add in Map")</f>
        <v>OBS</v>
      </c>
      <c r="K351" s="364" t="str">
        <f>VLOOKUP(L351,Map!$C$18:$D$29,2,0)</f>
        <v>DMT</v>
      </c>
      <c r="L351" s="360" t="s">
        <v>54</v>
      </c>
      <c r="M351" s="365">
        <v>0</v>
      </c>
      <c r="N351" s="366">
        <f t="shared" si="86"/>
        <v>0</v>
      </c>
      <c r="O351" s="366">
        <f t="shared" si="87"/>
        <v>0</v>
      </c>
      <c r="P351" s="386">
        <f t="shared" si="88"/>
        <v>0</v>
      </c>
      <c r="Q351" s="367">
        <f t="shared" si="89"/>
        <v>0</v>
      </c>
      <c r="R351" s="368">
        <f t="shared" si="93"/>
        <v>0</v>
      </c>
      <c r="S351" s="384">
        <f>INDEX(FX!$D$3:$O$19,MATCH(B351,FX!$B$3:$B$32,0),MATCH(D351,FX!$D$2:$O$2,0))</f>
        <v>891</v>
      </c>
      <c r="T351" s="360" t="s">
        <v>81</v>
      </c>
      <c r="U351" s="360" t="s">
        <v>32</v>
      </c>
      <c r="V351" s="360" t="s">
        <v>83</v>
      </c>
      <c r="W351" s="364" t="str">
        <f>VLOOKUP(I351,Map!$F$18:$H$51,3,0)</f>
        <v>Variable</v>
      </c>
      <c r="X351" s="370" t="s">
        <v>149</v>
      </c>
      <c r="Y351" s="364" t="str">
        <f>VLOOKUP(L351,Map!$C$18:$D$29,2,0)</f>
        <v>DMT</v>
      </c>
      <c r="Z351" s="365"/>
      <c r="AA351" s="366">
        <f t="shared" si="90"/>
        <v>0</v>
      </c>
      <c r="AB351" s="366">
        <f t="shared" si="94"/>
        <v>0</v>
      </c>
      <c r="AC351" s="386">
        <f t="shared" si="91"/>
        <v>0</v>
      </c>
      <c r="AD351" s="367">
        <f t="shared" si="92"/>
        <v>0</v>
      </c>
      <c r="AE351" s="368">
        <f t="shared" si="95"/>
        <v>0</v>
      </c>
      <c r="AF351" s="385"/>
    </row>
    <row r="352" spans="2:32" s="37" customFormat="1" hidden="1" x14ac:dyDescent="0.35">
      <c r="B352" s="387">
        <v>2026</v>
      </c>
      <c r="C352" s="389" t="s">
        <v>414</v>
      </c>
      <c r="D352" s="389" t="s">
        <v>159</v>
      </c>
      <c r="E352" s="388" t="s">
        <v>88</v>
      </c>
      <c r="F352" s="388" t="s">
        <v>87</v>
      </c>
      <c r="G352" s="390">
        <v>46169</v>
      </c>
      <c r="H352" s="391">
        <v>57910399</v>
      </c>
      <c r="I352" s="388" t="s">
        <v>146</v>
      </c>
      <c r="J352" s="392" t="str">
        <f>IFERROR(VLOOKUP(I352,Map!$F$18:$G$56,2,0),"Add in Map")</f>
        <v>OBS</v>
      </c>
      <c r="K352" s="392" t="str">
        <f>VLOOKUP(L352,Map!$C$18:$D$29,2,0)</f>
        <v>TOTAL</v>
      </c>
      <c r="L352" s="388" t="s">
        <v>56</v>
      </c>
      <c r="M352" s="393">
        <f>SUM(M341:M351)</f>
        <v>4393086.0000000009</v>
      </c>
      <c r="N352" s="393">
        <f t="shared" si="86"/>
        <v>834686.3400000002</v>
      </c>
      <c r="O352" s="393">
        <f t="shared" si="87"/>
        <v>5227772.3400000008</v>
      </c>
      <c r="P352" s="394">
        <f t="shared" si="88"/>
        <v>4930.5117845117857</v>
      </c>
      <c r="Q352" s="394">
        <f t="shared" si="89"/>
        <v>936.79723905723927</v>
      </c>
      <c r="R352" s="395">
        <f t="shared" si="93"/>
        <v>5867.3090235690242</v>
      </c>
      <c r="S352" s="396">
        <f>INDEX(FX!$D$3:$O$19,MATCH(B352,FX!$B$3:$B$32,0),MATCH(D352,FX!$D$2:$O$2,0))</f>
        <v>891</v>
      </c>
      <c r="T352" s="388" t="s">
        <v>81</v>
      </c>
      <c r="U352" s="388" t="s">
        <v>32</v>
      </c>
      <c r="V352" s="388" t="s">
        <v>83</v>
      </c>
      <c r="W352" s="392" t="str">
        <f>VLOOKUP(I352,Map!$F$18:$H$51,3,0)</f>
        <v>Variable</v>
      </c>
      <c r="X352" s="397" t="s">
        <v>149</v>
      </c>
      <c r="Y352" s="392" t="str">
        <f>VLOOKUP(L352,Map!$C$18:$D$29,2,0)</f>
        <v>TOTAL</v>
      </c>
      <c r="Z352" s="413"/>
      <c r="AA352" s="393">
        <f t="shared" si="90"/>
        <v>0</v>
      </c>
      <c r="AB352" s="393">
        <f t="shared" si="94"/>
        <v>0</v>
      </c>
      <c r="AC352" s="394">
        <f t="shared" si="91"/>
        <v>0</v>
      </c>
      <c r="AD352" s="394">
        <f t="shared" si="92"/>
        <v>0</v>
      </c>
      <c r="AE352" s="395">
        <f t="shared" si="95"/>
        <v>0</v>
      </c>
      <c r="AF352" s="398"/>
    </row>
    <row r="353" spans="2:32" s="5" customFormat="1" ht="13" x14ac:dyDescent="0.3">
      <c r="B353" s="400">
        <v>2026</v>
      </c>
      <c r="C353" s="401" t="s">
        <v>399</v>
      </c>
      <c r="D353" s="402" t="s">
        <v>159</v>
      </c>
      <c r="E353" s="401" t="s">
        <v>88</v>
      </c>
      <c r="F353" s="401" t="s">
        <v>457</v>
      </c>
      <c r="G353" s="403">
        <v>46167</v>
      </c>
      <c r="H353" s="404">
        <v>2726878</v>
      </c>
      <c r="I353" s="401" t="s">
        <v>180</v>
      </c>
      <c r="J353" s="405" t="str">
        <f>IFERROR(VLOOKUP(I353,Map!$F$18:$G$56,2,0),"Add in Map")</f>
        <v>OBS</v>
      </c>
      <c r="K353" s="405" t="str">
        <f>VLOOKUP(L353,Map!$C$18:$D$29,2,0)</f>
        <v>CNT</v>
      </c>
      <c r="L353" s="401" t="s">
        <v>31</v>
      </c>
      <c r="M353" s="406">
        <v>1050102.2570163356</v>
      </c>
      <c r="N353" s="407">
        <f t="shared" si="86"/>
        <v>0</v>
      </c>
      <c r="O353" s="407">
        <f t="shared" si="87"/>
        <v>1249621.6858494394</v>
      </c>
      <c r="P353" s="408">
        <f t="shared" si="88"/>
        <v>1178.5659450239457</v>
      </c>
      <c r="Q353" s="408">
        <f t="shared" si="89"/>
        <v>0</v>
      </c>
      <c r="R353" s="409">
        <f t="shared" si="93"/>
        <v>1402.4934745784954</v>
      </c>
      <c r="S353" s="410">
        <f>INDEX(FX!$D$3:$O$19,MATCH(B353,FX!$B$3:$B$32,0),MATCH(D353,FX!$D$2:$O$2,0))</f>
        <v>891</v>
      </c>
      <c r="T353" s="401" t="s">
        <v>81</v>
      </c>
      <c r="U353" s="401" t="s">
        <v>32</v>
      </c>
      <c r="V353" s="401" t="s">
        <v>83</v>
      </c>
      <c r="W353" s="405" t="str">
        <f>VLOOKUP(I353,Map!$F$18:$H$51,3,0)</f>
        <v>Variable</v>
      </c>
      <c r="X353" s="411" t="s">
        <v>457</v>
      </c>
      <c r="Y353" s="405" t="str">
        <f>VLOOKUP(L353,Map!$C$18:$D$29,2,0)</f>
        <v>CNT</v>
      </c>
      <c r="Z353" s="406"/>
      <c r="AA353" s="407">
        <f t="shared" si="90"/>
        <v>0</v>
      </c>
      <c r="AB353" s="407">
        <f t="shared" si="94"/>
        <v>0</v>
      </c>
      <c r="AC353" s="408">
        <f t="shared" si="91"/>
        <v>0</v>
      </c>
      <c r="AD353" s="408">
        <f t="shared" si="92"/>
        <v>0</v>
      </c>
      <c r="AE353" s="409">
        <f t="shared" si="95"/>
        <v>0</v>
      </c>
      <c r="AF353" s="412"/>
    </row>
    <row r="354" spans="2:32" s="1" customFormat="1" ht="13" x14ac:dyDescent="0.3">
      <c r="B354" s="383">
        <v>2026</v>
      </c>
      <c r="C354" s="360" t="s">
        <v>399</v>
      </c>
      <c r="D354" s="361" t="s">
        <v>159</v>
      </c>
      <c r="E354" s="360" t="s">
        <v>88</v>
      </c>
      <c r="F354" s="360" t="s">
        <v>457</v>
      </c>
      <c r="G354" s="362">
        <v>46167</v>
      </c>
      <c r="H354" s="363">
        <v>2726878</v>
      </c>
      <c r="I354" s="360" t="s">
        <v>180</v>
      </c>
      <c r="J354" s="364" t="str">
        <f>IFERROR(VLOOKUP(I354,Map!$F$18:$G$56,2,0),"Add in Map")</f>
        <v>OBS</v>
      </c>
      <c r="K354" s="364" t="str">
        <f>VLOOKUP(L354,Map!$C$18:$D$29,2,0)</f>
        <v>CVT</v>
      </c>
      <c r="L354" s="360" t="s">
        <v>36</v>
      </c>
      <c r="M354" s="365">
        <v>382.54324911615163</v>
      </c>
      <c r="N354" s="366">
        <f t="shared" si="86"/>
        <v>0</v>
      </c>
      <c r="O354" s="366">
        <f t="shared" si="87"/>
        <v>455.22646644822044</v>
      </c>
      <c r="P354" s="367">
        <f t="shared" si="88"/>
        <v>0.42934146926616346</v>
      </c>
      <c r="Q354" s="367">
        <f t="shared" si="89"/>
        <v>0</v>
      </c>
      <c r="R354" s="368">
        <f t="shared" si="93"/>
        <v>0.5109163484267345</v>
      </c>
      <c r="S354" s="384">
        <f>INDEX(FX!$D$3:$O$19,MATCH(B354,FX!$B$3:$B$32,0),MATCH(D354,FX!$D$2:$O$2,0))</f>
        <v>891</v>
      </c>
      <c r="T354" s="360" t="s">
        <v>81</v>
      </c>
      <c r="U354" s="360" t="s">
        <v>32</v>
      </c>
      <c r="V354" s="360" t="s">
        <v>83</v>
      </c>
      <c r="W354" s="364" t="str">
        <f>VLOOKUP(I354,Map!$F$18:$H$51,3,0)</f>
        <v>Variable</v>
      </c>
      <c r="X354" s="370" t="s">
        <v>457</v>
      </c>
      <c r="Y354" s="364" t="str">
        <f>VLOOKUP(L354,Map!$C$18:$D$29,2,0)</f>
        <v>CVT</v>
      </c>
      <c r="Z354" s="365"/>
      <c r="AA354" s="366">
        <f t="shared" si="90"/>
        <v>0</v>
      </c>
      <c r="AB354" s="366">
        <f t="shared" si="94"/>
        <v>0</v>
      </c>
      <c r="AC354" s="367">
        <f t="shared" si="91"/>
        <v>0</v>
      </c>
      <c r="AD354" s="367">
        <f t="shared" si="92"/>
        <v>0</v>
      </c>
      <c r="AE354" s="368">
        <f t="shared" si="95"/>
        <v>0</v>
      </c>
      <c r="AF354" s="385"/>
    </row>
    <row r="355" spans="2:32" s="1" customFormat="1" ht="13" x14ac:dyDescent="0.3">
      <c r="B355" s="383">
        <v>2026</v>
      </c>
      <c r="C355" s="360" t="s">
        <v>399</v>
      </c>
      <c r="D355" s="361" t="s">
        <v>159</v>
      </c>
      <c r="E355" s="360" t="s">
        <v>88</v>
      </c>
      <c r="F355" s="360" t="s">
        <v>457</v>
      </c>
      <c r="G355" s="362">
        <v>46167</v>
      </c>
      <c r="H355" s="363">
        <v>2726878</v>
      </c>
      <c r="I355" s="360" t="s">
        <v>180</v>
      </c>
      <c r="J355" s="364" t="str">
        <f>IFERROR(VLOOKUP(I355,Map!$F$18:$G$56,2,0),"Add in Map")</f>
        <v>OBS</v>
      </c>
      <c r="K355" s="364" t="str">
        <f>VLOOKUP(L355,Map!$C$18:$D$29,2,0)</f>
        <v>CDT</v>
      </c>
      <c r="L355" s="360" t="s">
        <v>38</v>
      </c>
      <c r="M355" s="365">
        <v>44671.901035268398</v>
      </c>
      <c r="N355" s="366">
        <f t="shared" si="86"/>
        <v>0</v>
      </c>
      <c r="O355" s="366">
        <f t="shared" si="87"/>
        <v>53159.562231969394</v>
      </c>
      <c r="P355" s="367">
        <f t="shared" si="88"/>
        <v>50.136813732063295</v>
      </c>
      <c r="Q355" s="367">
        <f t="shared" si="89"/>
        <v>0</v>
      </c>
      <c r="R355" s="368">
        <f t="shared" si="93"/>
        <v>59.662808341155319</v>
      </c>
      <c r="S355" s="384">
        <f>INDEX(FX!$D$3:$O$19,MATCH(B355,FX!$B$3:$B$32,0),MATCH(D355,FX!$D$2:$O$2,0))</f>
        <v>891</v>
      </c>
      <c r="T355" s="360" t="s">
        <v>81</v>
      </c>
      <c r="U355" s="360" t="s">
        <v>32</v>
      </c>
      <c r="V355" s="360" t="s">
        <v>83</v>
      </c>
      <c r="W355" s="364" t="str">
        <f>VLOOKUP(I355,Map!$F$18:$H$51,3,0)</f>
        <v>Variable</v>
      </c>
      <c r="X355" s="370" t="s">
        <v>457</v>
      </c>
      <c r="Y355" s="364" t="str">
        <f>VLOOKUP(L355,Map!$C$18:$D$29,2,0)</f>
        <v>CDT</v>
      </c>
      <c r="Z355" s="365"/>
      <c r="AA355" s="366">
        <f t="shared" si="90"/>
        <v>0</v>
      </c>
      <c r="AB355" s="366">
        <f t="shared" si="94"/>
        <v>0</v>
      </c>
      <c r="AC355" s="367">
        <f t="shared" si="91"/>
        <v>0</v>
      </c>
      <c r="AD355" s="367">
        <f t="shared" si="92"/>
        <v>0</v>
      </c>
      <c r="AE355" s="368">
        <f t="shared" si="95"/>
        <v>0</v>
      </c>
      <c r="AF355" s="385"/>
    </row>
    <row r="356" spans="2:32" s="1" customFormat="1" ht="13" x14ac:dyDescent="0.3">
      <c r="B356" s="383">
        <v>2026</v>
      </c>
      <c r="C356" s="360" t="s">
        <v>399</v>
      </c>
      <c r="D356" s="361" t="s">
        <v>159</v>
      </c>
      <c r="E356" s="360" t="s">
        <v>88</v>
      </c>
      <c r="F356" s="360" t="s">
        <v>457</v>
      </c>
      <c r="G356" s="362">
        <v>46167</v>
      </c>
      <c r="H356" s="363">
        <v>2726878</v>
      </c>
      <c r="I356" s="360" t="s">
        <v>180</v>
      </c>
      <c r="J356" s="364" t="str">
        <f>IFERROR(VLOOKUP(I356,Map!$F$18:$G$56,2,0),"Add in Map")</f>
        <v>OBS</v>
      </c>
      <c r="K356" s="364" t="str">
        <f>VLOOKUP(L356,Map!$C$18:$D$29,2,0)</f>
        <v>DFT</v>
      </c>
      <c r="L356" s="360" t="s">
        <v>40</v>
      </c>
      <c r="M356" s="365">
        <v>2194478.9815781559</v>
      </c>
      <c r="N356" s="366">
        <f t="shared" si="86"/>
        <v>0</v>
      </c>
      <c r="O356" s="366">
        <f t="shared" si="87"/>
        <v>2611429.9880780056</v>
      </c>
      <c r="P356" s="367">
        <f t="shared" si="88"/>
        <v>2462.9393732639237</v>
      </c>
      <c r="Q356" s="367">
        <f t="shared" si="89"/>
        <v>0</v>
      </c>
      <c r="R356" s="368">
        <f t="shared" si="93"/>
        <v>2930.8978541840693</v>
      </c>
      <c r="S356" s="384">
        <f>INDEX(FX!$D$3:$O$19,MATCH(B356,FX!$B$3:$B$32,0),MATCH(D356,FX!$D$2:$O$2,0))</f>
        <v>891</v>
      </c>
      <c r="T356" s="360" t="s">
        <v>81</v>
      </c>
      <c r="U356" s="360" t="s">
        <v>32</v>
      </c>
      <c r="V356" s="360" t="s">
        <v>83</v>
      </c>
      <c r="W356" s="364" t="str">
        <f>VLOOKUP(I356,Map!$F$18:$H$51,3,0)</f>
        <v>Variable</v>
      </c>
      <c r="X356" s="370" t="s">
        <v>457</v>
      </c>
      <c r="Y356" s="364" t="str">
        <f>VLOOKUP(L356,Map!$C$18:$D$29,2,0)</f>
        <v>DFT</v>
      </c>
      <c r="Z356" s="365"/>
      <c r="AA356" s="366">
        <f t="shared" si="90"/>
        <v>0</v>
      </c>
      <c r="AB356" s="366">
        <f t="shared" si="94"/>
        <v>0</v>
      </c>
      <c r="AC356" s="367">
        <f t="shared" si="91"/>
        <v>0</v>
      </c>
      <c r="AD356" s="367">
        <f t="shared" si="92"/>
        <v>0</v>
      </c>
      <c r="AE356" s="368">
        <f t="shared" si="95"/>
        <v>0</v>
      </c>
      <c r="AF356" s="385"/>
    </row>
    <row r="357" spans="2:32" s="1" customFormat="1" ht="13" x14ac:dyDescent="0.3">
      <c r="B357" s="383">
        <v>2026</v>
      </c>
      <c r="C357" s="360" t="s">
        <v>399</v>
      </c>
      <c r="D357" s="361" t="s">
        <v>159</v>
      </c>
      <c r="E357" s="360" t="s">
        <v>88</v>
      </c>
      <c r="F357" s="360" t="s">
        <v>457</v>
      </c>
      <c r="G357" s="362">
        <v>46167</v>
      </c>
      <c r="H357" s="363">
        <v>2726878</v>
      </c>
      <c r="I357" s="360" t="s">
        <v>180</v>
      </c>
      <c r="J357" s="364" t="str">
        <f>IFERROR(VLOOKUP(I357,Map!$F$18:$G$56,2,0),"Add in Map")</f>
        <v>OBS</v>
      </c>
      <c r="K357" s="364" t="str">
        <f>VLOOKUP(L357,Map!$C$18:$D$29,2,0)</f>
        <v>DVT</v>
      </c>
      <c r="L357" s="360" t="s">
        <v>42</v>
      </c>
      <c r="M357" s="365">
        <v>0</v>
      </c>
      <c r="N357" s="366">
        <f t="shared" si="86"/>
        <v>0</v>
      </c>
      <c r="O357" s="366">
        <f t="shared" si="87"/>
        <v>0</v>
      </c>
      <c r="P357" s="367">
        <f t="shared" si="88"/>
        <v>0</v>
      </c>
      <c r="Q357" s="367">
        <f t="shared" si="89"/>
        <v>0</v>
      </c>
      <c r="R357" s="368">
        <f t="shared" si="93"/>
        <v>0</v>
      </c>
      <c r="S357" s="384">
        <f>INDEX(FX!$D$3:$O$19,MATCH(B357,FX!$B$3:$B$32,0),MATCH(D357,FX!$D$2:$O$2,0))</f>
        <v>891</v>
      </c>
      <c r="T357" s="360" t="s">
        <v>81</v>
      </c>
      <c r="U357" s="360" t="s">
        <v>32</v>
      </c>
      <c r="V357" s="360" t="s">
        <v>83</v>
      </c>
      <c r="W357" s="364" t="str">
        <f>VLOOKUP(I357,Map!$F$18:$H$51,3,0)</f>
        <v>Variable</v>
      </c>
      <c r="X357" s="370" t="s">
        <v>457</v>
      </c>
      <c r="Y357" s="364" t="str">
        <f>VLOOKUP(L357,Map!$C$18:$D$29,2,0)</f>
        <v>DVT</v>
      </c>
      <c r="Z357" s="365"/>
      <c r="AA357" s="366">
        <f t="shared" si="90"/>
        <v>0</v>
      </c>
      <c r="AB357" s="366">
        <f t="shared" si="94"/>
        <v>0</v>
      </c>
      <c r="AC357" s="367">
        <f t="shared" si="91"/>
        <v>0</v>
      </c>
      <c r="AD357" s="367">
        <f t="shared" si="92"/>
        <v>0</v>
      </c>
      <c r="AE357" s="368">
        <f t="shared" si="95"/>
        <v>0</v>
      </c>
      <c r="AF357" s="385"/>
    </row>
    <row r="358" spans="2:32" s="1" customFormat="1" ht="13" x14ac:dyDescent="0.3">
      <c r="B358" s="383">
        <v>2026</v>
      </c>
      <c r="C358" s="360" t="s">
        <v>399</v>
      </c>
      <c r="D358" s="361" t="s">
        <v>159</v>
      </c>
      <c r="E358" s="360" t="s">
        <v>88</v>
      </c>
      <c r="F358" s="360" t="s">
        <v>457</v>
      </c>
      <c r="G358" s="362">
        <v>46167</v>
      </c>
      <c r="H358" s="363">
        <v>2726878</v>
      </c>
      <c r="I358" s="360" t="s">
        <v>180</v>
      </c>
      <c r="J358" s="364" t="str">
        <f>IFERROR(VLOOKUP(I358,Map!$F$18:$G$56,2,0),"Add in Map")</f>
        <v>OBS</v>
      </c>
      <c r="K358" s="364" t="str">
        <f>VLOOKUP(L358,Map!$C$18:$D$29,2,0)</f>
        <v>GLT</v>
      </c>
      <c r="L358" s="360" t="s">
        <v>44</v>
      </c>
      <c r="M358" s="365">
        <v>1391395.8214907444</v>
      </c>
      <c r="N358" s="366">
        <f t="shared" si="86"/>
        <v>0</v>
      </c>
      <c r="O358" s="366">
        <f t="shared" si="87"/>
        <v>1655761.0275739857</v>
      </c>
      <c r="P358" s="367">
        <f t="shared" si="88"/>
        <v>1561.6114719312507</v>
      </c>
      <c r="Q358" s="367">
        <f t="shared" si="89"/>
        <v>0</v>
      </c>
      <c r="R358" s="368">
        <f t="shared" si="93"/>
        <v>1858.3176515981881</v>
      </c>
      <c r="S358" s="384">
        <f>INDEX(FX!$D$3:$O$19,MATCH(B358,FX!$B$3:$B$32,0),MATCH(D358,FX!$D$2:$O$2,0))</f>
        <v>891</v>
      </c>
      <c r="T358" s="360" t="s">
        <v>81</v>
      </c>
      <c r="U358" s="360" t="s">
        <v>32</v>
      </c>
      <c r="V358" s="360" t="s">
        <v>83</v>
      </c>
      <c r="W358" s="364" t="str">
        <f>VLOOKUP(I358,Map!$F$18:$H$51,3,0)</f>
        <v>Variable</v>
      </c>
      <c r="X358" s="370" t="s">
        <v>457</v>
      </c>
      <c r="Y358" s="364" t="str">
        <f>VLOOKUP(L358,Map!$C$18:$D$29,2,0)</f>
        <v>GLT</v>
      </c>
      <c r="Z358" s="365"/>
      <c r="AA358" s="366">
        <f t="shared" si="90"/>
        <v>0</v>
      </c>
      <c r="AB358" s="366">
        <f t="shared" si="94"/>
        <v>0</v>
      </c>
      <c r="AC358" s="367">
        <f t="shared" si="91"/>
        <v>0</v>
      </c>
      <c r="AD358" s="367">
        <f t="shared" si="92"/>
        <v>0</v>
      </c>
      <c r="AE358" s="368">
        <f t="shared" si="95"/>
        <v>0</v>
      </c>
      <c r="AF358" s="385"/>
    </row>
    <row r="359" spans="2:32" s="1" customFormat="1" ht="13" x14ac:dyDescent="0.3">
      <c r="B359" s="383">
        <v>2026</v>
      </c>
      <c r="C359" s="360" t="s">
        <v>399</v>
      </c>
      <c r="D359" s="361" t="s">
        <v>159</v>
      </c>
      <c r="E359" s="360" t="s">
        <v>88</v>
      </c>
      <c r="F359" s="360" t="s">
        <v>457</v>
      </c>
      <c r="G359" s="362">
        <v>46167</v>
      </c>
      <c r="H359" s="363">
        <v>2726878</v>
      </c>
      <c r="I359" s="360" t="s">
        <v>180</v>
      </c>
      <c r="J359" s="364" t="str">
        <f>IFERROR(VLOOKUP(I359,Map!$F$18:$G$56,2,0),"Add in Map")</f>
        <v>OBS</v>
      </c>
      <c r="K359" s="364" t="str">
        <f>VLOOKUP(L359,Map!$C$18:$D$29,2,0)</f>
        <v>PNT</v>
      </c>
      <c r="L359" s="360" t="s">
        <v>46</v>
      </c>
      <c r="M359" s="365">
        <v>111011.85320895835</v>
      </c>
      <c r="N359" s="366">
        <f t="shared" si="86"/>
        <v>0</v>
      </c>
      <c r="O359" s="366">
        <f t="shared" si="87"/>
        <v>132104.10531866041</v>
      </c>
      <c r="P359" s="367">
        <f t="shared" si="88"/>
        <v>124.59242784394876</v>
      </c>
      <c r="Q359" s="367">
        <f t="shared" si="89"/>
        <v>0</v>
      </c>
      <c r="R359" s="368">
        <f t="shared" si="93"/>
        <v>148.26498913429901</v>
      </c>
      <c r="S359" s="384">
        <f>INDEX(FX!$D$3:$O$19,MATCH(B359,FX!$B$3:$B$32,0),MATCH(D359,FX!$D$2:$O$2,0))</f>
        <v>891</v>
      </c>
      <c r="T359" s="360" t="s">
        <v>81</v>
      </c>
      <c r="U359" s="360" t="s">
        <v>32</v>
      </c>
      <c r="V359" s="360" t="s">
        <v>83</v>
      </c>
      <c r="W359" s="364" t="str">
        <f>VLOOKUP(I359,Map!$F$18:$H$51,3,0)</f>
        <v>Variable</v>
      </c>
      <c r="X359" s="370" t="s">
        <v>457</v>
      </c>
      <c r="Y359" s="364" t="str">
        <f>VLOOKUP(L359,Map!$C$18:$D$29,2,0)</f>
        <v>PNT</v>
      </c>
      <c r="Z359" s="365"/>
      <c r="AA359" s="366">
        <f t="shared" si="90"/>
        <v>0</v>
      </c>
      <c r="AB359" s="366">
        <f t="shared" si="94"/>
        <v>0</v>
      </c>
      <c r="AC359" s="367">
        <f t="shared" si="91"/>
        <v>0</v>
      </c>
      <c r="AD359" s="367">
        <f t="shared" si="92"/>
        <v>0</v>
      </c>
      <c r="AE359" s="368">
        <f t="shared" si="95"/>
        <v>0</v>
      </c>
      <c r="AF359" s="385"/>
    </row>
    <row r="360" spans="2:32" s="1" customFormat="1" ht="13" x14ac:dyDescent="0.3">
      <c r="B360" s="383">
        <v>2026</v>
      </c>
      <c r="C360" s="360" t="s">
        <v>399</v>
      </c>
      <c r="D360" s="361" t="s">
        <v>159</v>
      </c>
      <c r="E360" s="360" t="s">
        <v>88</v>
      </c>
      <c r="F360" s="360" t="s">
        <v>457</v>
      </c>
      <c r="G360" s="362">
        <v>46167</v>
      </c>
      <c r="H360" s="363">
        <v>2726878</v>
      </c>
      <c r="I360" s="360" t="s">
        <v>180</v>
      </c>
      <c r="J360" s="364" t="str">
        <f>IFERROR(VLOOKUP(I360,Map!$F$18:$G$56,2,0),"Add in Map")</f>
        <v>OBS</v>
      </c>
      <c r="K360" s="364" t="str">
        <f>VLOOKUP(L360,Map!$C$18:$D$29,2,0)</f>
        <v>GTT</v>
      </c>
      <c r="L360" s="360" t="s">
        <v>48</v>
      </c>
      <c r="M360" s="365">
        <v>146923.54194284993</v>
      </c>
      <c r="N360" s="366">
        <f t="shared" si="86"/>
        <v>0</v>
      </c>
      <c r="O360" s="366">
        <f t="shared" si="87"/>
        <v>174839.0149119914</v>
      </c>
      <c r="P360" s="367">
        <f t="shared" si="88"/>
        <v>164.89735347121203</v>
      </c>
      <c r="Q360" s="367">
        <f t="shared" si="89"/>
        <v>0</v>
      </c>
      <c r="R360" s="368">
        <f t="shared" si="93"/>
        <v>196.2278506307423</v>
      </c>
      <c r="S360" s="384">
        <f>INDEX(FX!$D$3:$O$19,MATCH(B360,FX!$B$3:$B$32,0),MATCH(D360,FX!$D$2:$O$2,0))</f>
        <v>891</v>
      </c>
      <c r="T360" s="360" t="s">
        <v>81</v>
      </c>
      <c r="U360" s="360" t="s">
        <v>32</v>
      </c>
      <c r="V360" s="360" t="s">
        <v>83</v>
      </c>
      <c r="W360" s="364" t="str">
        <f>VLOOKUP(I360,Map!$F$18:$H$51,3,0)</f>
        <v>Variable</v>
      </c>
      <c r="X360" s="370" t="s">
        <v>457</v>
      </c>
      <c r="Y360" s="364" t="str">
        <f>VLOOKUP(L360,Map!$C$18:$D$29,2,0)</f>
        <v>GTT</v>
      </c>
      <c r="Z360" s="365"/>
      <c r="AA360" s="366">
        <f t="shared" si="90"/>
        <v>0</v>
      </c>
      <c r="AB360" s="366">
        <f t="shared" si="94"/>
        <v>0</v>
      </c>
      <c r="AC360" s="367">
        <f t="shared" si="91"/>
        <v>0</v>
      </c>
      <c r="AD360" s="367">
        <f t="shared" si="92"/>
        <v>0</v>
      </c>
      <c r="AE360" s="368">
        <f t="shared" si="95"/>
        <v>0</v>
      </c>
      <c r="AF360" s="385"/>
    </row>
    <row r="361" spans="2:32" s="1" customFormat="1" ht="13" x14ac:dyDescent="0.3">
      <c r="B361" s="383">
        <v>2026</v>
      </c>
      <c r="C361" s="360" t="s">
        <v>399</v>
      </c>
      <c r="D361" s="361" t="s">
        <v>159</v>
      </c>
      <c r="E361" s="360" t="s">
        <v>88</v>
      </c>
      <c r="F361" s="360" t="s">
        <v>457</v>
      </c>
      <c r="G361" s="362">
        <v>46167</v>
      </c>
      <c r="H361" s="363">
        <v>2726878</v>
      </c>
      <c r="I361" s="360" t="s">
        <v>180</v>
      </c>
      <c r="J361" s="364" t="str">
        <f>IFERROR(VLOOKUP(I361,Map!$F$18:$G$56,2,0),"Add in Map")</f>
        <v>OBS</v>
      </c>
      <c r="K361" s="364" t="str">
        <f>VLOOKUP(L361,Map!$C$18:$D$29,2,0)</f>
        <v>DGT</v>
      </c>
      <c r="L361" s="360" t="s">
        <v>50</v>
      </c>
      <c r="M361" s="365">
        <v>105778.2469237371</v>
      </c>
      <c r="N361" s="366">
        <f t="shared" si="86"/>
        <v>0</v>
      </c>
      <c r="O361" s="366">
        <f t="shared" si="87"/>
        <v>125876.11383924713</v>
      </c>
      <c r="P361" s="367">
        <f t="shared" si="88"/>
        <v>118.71857118264545</v>
      </c>
      <c r="Q361" s="367">
        <f t="shared" si="89"/>
        <v>0</v>
      </c>
      <c r="R361" s="368">
        <f t="shared" si="93"/>
        <v>141.27509970734809</v>
      </c>
      <c r="S361" s="384">
        <f>INDEX(FX!$D$3:$O$19,MATCH(B361,FX!$B$3:$B$32,0),MATCH(D361,FX!$D$2:$O$2,0))</f>
        <v>891</v>
      </c>
      <c r="T361" s="360" t="s">
        <v>81</v>
      </c>
      <c r="U361" s="360" t="s">
        <v>32</v>
      </c>
      <c r="V361" s="360" t="s">
        <v>83</v>
      </c>
      <c r="W361" s="364" t="str">
        <f>VLOOKUP(I361,Map!$F$18:$H$51,3,0)</f>
        <v>Variable</v>
      </c>
      <c r="X361" s="370" t="s">
        <v>457</v>
      </c>
      <c r="Y361" s="364" t="str">
        <f>VLOOKUP(L361,Map!$C$18:$D$29,2,0)</f>
        <v>DGT</v>
      </c>
      <c r="Z361" s="365"/>
      <c r="AA361" s="366">
        <f t="shared" si="90"/>
        <v>0</v>
      </c>
      <c r="AB361" s="366">
        <f t="shared" si="94"/>
        <v>0</v>
      </c>
      <c r="AC361" s="367">
        <f t="shared" si="91"/>
        <v>0</v>
      </c>
      <c r="AD361" s="367">
        <f t="shared" si="92"/>
        <v>0</v>
      </c>
      <c r="AE361" s="368">
        <f t="shared" si="95"/>
        <v>0</v>
      </c>
      <c r="AF361" s="385"/>
    </row>
    <row r="362" spans="2:32" s="1" customFormat="1" ht="13" x14ac:dyDescent="0.3">
      <c r="B362" s="383">
        <v>2026</v>
      </c>
      <c r="C362" s="360" t="s">
        <v>399</v>
      </c>
      <c r="D362" s="361" t="s">
        <v>159</v>
      </c>
      <c r="E362" s="360" t="s">
        <v>88</v>
      </c>
      <c r="F362" s="360" t="s">
        <v>457</v>
      </c>
      <c r="G362" s="362">
        <v>46167</v>
      </c>
      <c r="H362" s="363">
        <v>2726878</v>
      </c>
      <c r="I362" s="360" t="s">
        <v>180</v>
      </c>
      <c r="J362" s="364" t="str">
        <f>IFERROR(VLOOKUP(I362,Map!$F$18:$G$56,2,0),"Add in Map")</f>
        <v>OBS</v>
      </c>
      <c r="K362" s="364" t="str">
        <f>VLOOKUP(L362,Map!$C$18:$D$29,2,0)</f>
        <v>DLT</v>
      </c>
      <c r="L362" s="360" t="s">
        <v>52</v>
      </c>
      <c r="M362" s="365">
        <v>5029.8535548348273</v>
      </c>
      <c r="N362" s="366">
        <f t="shared" si="86"/>
        <v>0</v>
      </c>
      <c r="O362" s="366">
        <f t="shared" si="87"/>
        <v>5985.5257302534437</v>
      </c>
      <c r="P362" s="367">
        <f t="shared" si="88"/>
        <v>5.6451779515542393</v>
      </c>
      <c r="Q362" s="367">
        <f t="shared" si="89"/>
        <v>0</v>
      </c>
      <c r="R362" s="368">
        <f t="shared" si="93"/>
        <v>6.7177617623495447</v>
      </c>
      <c r="S362" s="384">
        <f>INDEX(FX!$D$3:$O$19,MATCH(B362,FX!$B$3:$B$32,0),MATCH(D362,FX!$D$2:$O$2,0))</f>
        <v>891</v>
      </c>
      <c r="T362" s="360" t="s">
        <v>81</v>
      </c>
      <c r="U362" s="360" t="s">
        <v>32</v>
      </c>
      <c r="V362" s="360" t="s">
        <v>83</v>
      </c>
      <c r="W362" s="364" t="str">
        <f>VLOOKUP(I362,Map!$F$18:$H$51,3,0)</f>
        <v>Variable</v>
      </c>
      <c r="X362" s="370" t="s">
        <v>457</v>
      </c>
      <c r="Y362" s="364" t="str">
        <f>VLOOKUP(L362,Map!$C$18:$D$29,2,0)</f>
        <v>DLT</v>
      </c>
      <c r="Z362" s="365"/>
      <c r="AA362" s="366">
        <f t="shared" si="90"/>
        <v>0</v>
      </c>
      <c r="AB362" s="366">
        <f t="shared" si="94"/>
        <v>0</v>
      </c>
      <c r="AC362" s="367">
        <f t="shared" si="91"/>
        <v>0</v>
      </c>
      <c r="AD362" s="367">
        <f t="shared" si="92"/>
        <v>0</v>
      </c>
      <c r="AE362" s="368">
        <f t="shared" si="95"/>
        <v>0</v>
      </c>
      <c r="AF362" s="385"/>
    </row>
    <row r="363" spans="2:32" s="1" customFormat="1" ht="13" x14ac:dyDescent="0.3">
      <c r="B363" s="383">
        <v>2026</v>
      </c>
      <c r="C363" s="360" t="s">
        <v>399</v>
      </c>
      <c r="D363" s="361" t="s">
        <v>159</v>
      </c>
      <c r="E363" s="360" t="s">
        <v>88</v>
      </c>
      <c r="F363" s="360" t="s">
        <v>457</v>
      </c>
      <c r="G363" s="362">
        <v>46167</v>
      </c>
      <c r="H363" s="363">
        <v>2726878</v>
      </c>
      <c r="I363" s="360" t="s">
        <v>180</v>
      </c>
      <c r="J363" s="364" t="str">
        <f>IFERROR(VLOOKUP(I363,Map!$F$18:$G$56,2,0),"Add in Map")</f>
        <v>OBS</v>
      </c>
      <c r="K363" s="364" t="str">
        <f>VLOOKUP(L363,Map!$C$18:$D$29,2,0)</f>
        <v>DMT</v>
      </c>
      <c r="L363" s="360" t="s">
        <v>54</v>
      </c>
      <c r="M363" s="365"/>
      <c r="N363" s="366">
        <f t="shared" si="86"/>
        <v>0</v>
      </c>
      <c r="O363" s="366">
        <f t="shared" si="87"/>
        <v>0</v>
      </c>
      <c r="P363" s="386">
        <f t="shared" si="88"/>
        <v>0</v>
      </c>
      <c r="Q363" s="367">
        <f t="shared" si="89"/>
        <v>0</v>
      </c>
      <c r="R363" s="368">
        <f t="shared" si="93"/>
        <v>0</v>
      </c>
      <c r="S363" s="384">
        <f>INDEX(FX!$D$3:$O$19,MATCH(B363,FX!$B$3:$B$32,0),MATCH(D363,FX!$D$2:$O$2,0))</f>
        <v>891</v>
      </c>
      <c r="T363" s="360" t="s">
        <v>81</v>
      </c>
      <c r="U363" s="360" t="s">
        <v>32</v>
      </c>
      <c r="V363" s="360" t="s">
        <v>83</v>
      </c>
      <c r="W363" s="364" t="str">
        <f>VLOOKUP(I363,Map!$F$18:$H$51,3,0)</f>
        <v>Variable</v>
      </c>
      <c r="X363" s="370" t="s">
        <v>457</v>
      </c>
      <c r="Y363" s="364" t="str">
        <f>VLOOKUP(L363,Map!$C$18:$D$29,2,0)</f>
        <v>DMT</v>
      </c>
      <c r="Z363" s="365"/>
      <c r="AA363" s="366">
        <f t="shared" si="90"/>
        <v>0</v>
      </c>
      <c r="AB363" s="366">
        <f t="shared" si="94"/>
        <v>0</v>
      </c>
      <c r="AC363" s="386">
        <f t="shared" si="91"/>
        <v>0</v>
      </c>
      <c r="AD363" s="367">
        <f t="shared" si="92"/>
        <v>0</v>
      </c>
      <c r="AE363" s="368">
        <f t="shared" si="95"/>
        <v>0</v>
      </c>
      <c r="AF363" s="385"/>
    </row>
    <row r="364" spans="2:32" s="37" customFormat="1" x14ac:dyDescent="0.35">
      <c r="B364" s="387">
        <v>2026</v>
      </c>
      <c r="C364" s="388" t="s">
        <v>399</v>
      </c>
      <c r="D364" s="389" t="s">
        <v>159</v>
      </c>
      <c r="E364" s="388" t="s">
        <v>88</v>
      </c>
      <c r="F364" s="388" t="s">
        <v>457</v>
      </c>
      <c r="G364" s="390">
        <v>46167</v>
      </c>
      <c r="H364" s="391">
        <v>2726878</v>
      </c>
      <c r="I364" s="388" t="s">
        <v>180</v>
      </c>
      <c r="J364" s="392" t="str">
        <f>IFERROR(VLOOKUP(I364,Map!$F$18:$G$56,2,0),"Add in Map")</f>
        <v>OBS</v>
      </c>
      <c r="K364" s="392" t="str">
        <f>VLOOKUP(L364,Map!$C$18:$D$29,2,0)</f>
        <v>TOTAL</v>
      </c>
      <c r="L364" s="388" t="s">
        <v>56</v>
      </c>
      <c r="M364" s="393">
        <f>SUM(M353:M363)</f>
        <v>5049775</v>
      </c>
      <c r="N364" s="393">
        <f t="shared" si="86"/>
        <v>959457.25</v>
      </c>
      <c r="O364" s="393">
        <f t="shared" si="87"/>
        <v>6009232.25</v>
      </c>
      <c r="P364" s="394">
        <f t="shared" si="88"/>
        <v>5667.5364758698088</v>
      </c>
      <c r="Q364" s="394">
        <f t="shared" si="89"/>
        <v>1076.8319304152637</v>
      </c>
      <c r="R364" s="395">
        <f t="shared" si="93"/>
        <v>6744.3684062850725</v>
      </c>
      <c r="S364" s="396">
        <f>INDEX(FX!$D$3:$O$19,MATCH(B364,FX!$B$3:$B$32,0),MATCH(D364,FX!$D$2:$O$2,0))</f>
        <v>891</v>
      </c>
      <c r="T364" s="388" t="s">
        <v>81</v>
      </c>
      <c r="U364" s="388" t="s">
        <v>32</v>
      </c>
      <c r="V364" s="388" t="s">
        <v>83</v>
      </c>
      <c r="W364" s="392" t="str">
        <f>VLOOKUP(I364,Map!$F$18:$H$51,3,0)</f>
        <v>Variable</v>
      </c>
      <c r="X364" s="397" t="s">
        <v>457</v>
      </c>
      <c r="Y364" s="392" t="str">
        <f>VLOOKUP(L364,Map!$C$18:$D$29,2,0)</f>
        <v>TOTAL</v>
      </c>
      <c r="Z364" s="413"/>
      <c r="AA364" s="393">
        <f t="shared" si="90"/>
        <v>0</v>
      </c>
      <c r="AB364" s="393">
        <f t="shared" si="94"/>
        <v>0</v>
      </c>
      <c r="AC364" s="394">
        <f t="shared" si="91"/>
        <v>0</v>
      </c>
      <c r="AD364" s="394">
        <f t="shared" si="92"/>
        <v>0</v>
      </c>
      <c r="AE364" s="395">
        <f t="shared" si="95"/>
        <v>0</v>
      </c>
      <c r="AF364" s="398"/>
    </row>
    <row r="365" spans="2:32" s="5" customFormat="1" ht="13" x14ac:dyDescent="0.3">
      <c r="B365" s="400">
        <v>2026</v>
      </c>
      <c r="C365" s="402" t="s">
        <v>412</v>
      </c>
      <c r="D365" s="402" t="s">
        <v>162</v>
      </c>
      <c r="E365" s="401" t="s">
        <v>88</v>
      </c>
      <c r="F365" s="401" t="s">
        <v>87</v>
      </c>
      <c r="G365" s="403">
        <v>46198</v>
      </c>
      <c r="H365" s="404">
        <v>2797165</v>
      </c>
      <c r="I365" s="401" t="s">
        <v>180</v>
      </c>
      <c r="J365" s="405" t="s">
        <v>181</v>
      </c>
      <c r="K365" s="405" t="s">
        <v>30</v>
      </c>
      <c r="L365" s="401" t="s">
        <v>31</v>
      </c>
      <c r="M365" s="406">
        <v>141205.96301702355</v>
      </c>
      <c r="N365" s="407">
        <v>0</v>
      </c>
      <c r="O365" s="407">
        <v>170769.09502799995</v>
      </c>
      <c r="P365" s="408">
        <v>155.4750175514626</v>
      </c>
      <c r="Q365" s="408">
        <v>0</v>
      </c>
      <c r="R365" s="409">
        <v>185.01527088624047</v>
      </c>
      <c r="S365" s="410">
        <v>923</v>
      </c>
      <c r="T365" s="401" t="s">
        <v>81</v>
      </c>
      <c r="U365" s="401" t="s">
        <v>32</v>
      </c>
      <c r="V365" s="401" t="s">
        <v>83</v>
      </c>
      <c r="W365" s="405" t="s">
        <v>33</v>
      </c>
      <c r="X365" s="411" t="s">
        <v>149</v>
      </c>
      <c r="Y365" s="405" t="s">
        <v>30</v>
      </c>
      <c r="Z365" s="406">
        <v>143503.44119999997</v>
      </c>
      <c r="AA365" s="407">
        <v>0</v>
      </c>
      <c r="AB365" s="407">
        <v>0</v>
      </c>
      <c r="AC365" s="408">
        <v>0</v>
      </c>
      <c r="AD365" s="408">
        <v>0</v>
      </c>
      <c r="AE365" s="409">
        <v>0</v>
      </c>
      <c r="AF365" s="412"/>
    </row>
    <row r="366" spans="2:32" s="1" customFormat="1" ht="13" x14ac:dyDescent="0.3">
      <c r="B366" s="383">
        <v>2026</v>
      </c>
      <c r="C366" s="361" t="s">
        <v>412</v>
      </c>
      <c r="D366" s="361" t="s">
        <v>162</v>
      </c>
      <c r="E366" s="360" t="s">
        <v>88</v>
      </c>
      <c r="F366" s="360" t="s">
        <v>87</v>
      </c>
      <c r="G366" s="362">
        <v>46198</v>
      </c>
      <c r="H366" s="363">
        <v>2797165</v>
      </c>
      <c r="I366" s="360" t="s">
        <v>180</v>
      </c>
      <c r="J366" s="364" t="s">
        <v>181</v>
      </c>
      <c r="K366" s="364" t="s">
        <v>35</v>
      </c>
      <c r="L366" s="360" t="s">
        <v>36</v>
      </c>
      <c r="M366" s="365">
        <v>1355994.1697683982</v>
      </c>
      <c r="N366" s="366">
        <v>0</v>
      </c>
      <c r="O366" s="366">
        <v>1639887.5251937965</v>
      </c>
      <c r="P366" s="367">
        <v>1493.0192241173709</v>
      </c>
      <c r="Q366" s="367">
        <v>0</v>
      </c>
      <c r="R366" s="368">
        <v>1776.6928766996712</v>
      </c>
      <c r="S366" s="384">
        <v>923</v>
      </c>
      <c r="T366" s="360" t="s">
        <v>81</v>
      </c>
      <c r="U366" s="360" t="s">
        <v>32</v>
      </c>
      <c r="V366" s="360" t="s">
        <v>83</v>
      </c>
      <c r="W366" s="364" t="s">
        <v>33</v>
      </c>
      <c r="X366" s="370" t="s">
        <v>149</v>
      </c>
      <c r="Y366" s="364" t="s">
        <v>35</v>
      </c>
      <c r="Z366" s="365">
        <v>1378056.7438603332</v>
      </c>
      <c r="AA366" s="366">
        <v>0</v>
      </c>
      <c r="AB366" s="366">
        <v>0</v>
      </c>
      <c r="AC366" s="367">
        <v>0</v>
      </c>
      <c r="AD366" s="367">
        <v>0</v>
      </c>
      <c r="AE366" s="368">
        <v>0</v>
      </c>
      <c r="AF366" s="385"/>
    </row>
    <row r="367" spans="2:32" s="1" customFormat="1" ht="13" x14ac:dyDescent="0.3">
      <c r="B367" s="383">
        <v>2026</v>
      </c>
      <c r="C367" s="361" t="s">
        <v>412</v>
      </c>
      <c r="D367" s="361" t="s">
        <v>162</v>
      </c>
      <c r="E367" s="360" t="s">
        <v>88</v>
      </c>
      <c r="F367" s="360" t="s">
        <v>87</v>
      </c>
      <c r="G367" s="362">
        <v>46198</v>
      </c>
      <c r="H367" s="363">
        <v>2797165</v>
      </c>
      <c r="I367" s="360" t="s">
        <v>180</v>
      </c>
      <c r="J367" s="364" t="s">
        <v>181</v>
      </c>
      <c r="K367" s="364" t="s">
        <v>37</v>
      </c>
      <c r="L367" s="360" t="s">
        <v>38</v>
      </c>
      <c r="M367" s="365">
        <v>32749.552494291594</v>
      </c>
      <c r="N367" s="366">
        <v>0</v>
      </c>
      <c r="O367" s="366">
        <v>39606.057156013441</v>
      </c>
      <c r="P367" s="367">
        <v>36.058939297334639</v>
      </c>
      <c r="Q367" s="367">
        <v>0</v>
      </c>
      <c r="R367" s="368">
        <v>42.910137763828217</v>
      </c>
      <c r="S367" s="384">
        <v>923</v>
      </c>
      <c r="T367" s="360" t="s">
        <v>81</v>
      </c>
      <c r="U367" s="360" t="s">
        <v>32</v>
      </c>
      <c r="V367" s="360" t="s">
        <v>83</v>
      </c>
      <c r="W367" s="364" t="s">
        <v>33</v>
      </c>
      <c r="X367" s="370" t="s">
        <v>149</v>
      </c>
      <c r="Y367" s="364" t="s">
        <v>37</v>
      </c>
      <c r="Z367" s="365">
        <v>33282.400971439871</v>
      </c>
      <c r="AA367" s="366">
        <v>0</v>
      </c>
      <c r="AB367" s="366">
        <v>0</v>
      </c>
      <c r="AC367" s="367">
        <v>0</v>
      </c>
      <c r="AD367" s="367">
        <v>0</v>
      </c>
      <c r="AE367" s="368">
        <v>0</v>
      </c>
      <c r="AF367" s="385"/>
    </row>
    <row r="368" spans="2:32" s="1" customFormat="1" ht="13" x14ac:dyDescent="0.3">
      <c r="B368" s="383">
        <v>2026</v>
      </c>
      <c r="C368" s="361" t="s">
        <v>412</v>
      </c>
      <c r="D368" s="361" t="s">
        <v>162</v>
      </c>
      <c r="E368" s="360" t="s">
        <v>88</v>
      </c>
      <c r="F368" s="360" t="s">
        <v>87</v>
      </c>
      <c r="G368" s="362">
        <v>46198</v>
      </c>
      <c r="H368" s="363">
        <v>2797165</v>
      </c>
      <c r="I368" s="360" t="s">
        <v>180</v>
      </c>
      <c r="J368" s="364" t="s">
        <v>181</v>
      </c>
      <c r="K368" s="364" t="s">
        <v>39</v>
      </c>
      <c r="L368" s="360" t="s">
        <v>40</v>
      </c>
      <c r="M368" s="365">
        <v>0</v>
      </c>
      <c r="N368" s="366">
        <v>0</v>
      </c>
      <c r="O368" s="366">
        <v>0</v>
      </c>
      <c r="P368" s="367">
        <v>0</v>
      </c>
      <c r="Q368" s="367">
        <v>0</v>
      </c>
      <c r="R368" s="368">
        <v>0</v>
      </c>
      <c r="S368" s="384">
        <v>923</v>
      </c>
      <c r="T368" s="360" t="s">
        <v>81</v>
      </c>
      <c r="U368" s="360" t="s">
        <v>32</v>
      </c>
      <c r="V368" s="360" t="s">
        <v>83</v>
      </c>
      <c r="W368" s="364" t="s">
        <v>33</v>
      </c>
      <c r="X368" s="370" t="s">
        <v>149</v>
      </c>
      <c r="Y368" s="364" t="s">
        <v>39</v>
      </c>
      <c r="Z368" s="365">
        <v>0</v>
      </c>
      <c r="AA368" s="366">
        <v>0</v>
      </c>
      <c r="AB368" s="366">
        <v>0</v>
      </c>
      <c r="AC368" s="367">
        <v>0</v>
      </c>
      <c r="AD368" s="367">
        <v>0</v>
      </c>
      <c r="AE368" s="368">
        <v>0</v>
      </c>
      <c r="AF368" s="385"/>
    </row>
    <row r="369" spans="2:32" s="1" customFormat="1" ht="13" x14ac:dyDescent="0.3">
      <c r="B369" s="383">
        <v>2026</v>
      </c>
      <c r="C369" s="361" t="s">
        <v>412</v>
      </c>
      <c r="D369" s="361" t="s">
        <v>162</v>
      </c>
      <c r="E369" s="360" t="s">
        <v>88</v>
      </c>
      <c r="F369" s="360" t="s">
        <v>87</v>
      </c>
      <c r="G369" s="362">
        <v>46198</v>
      </c>
      <c r="H369" s="363">
        <v>2797165</v>
      </c>
      <c r="I369" s="360" t="s">
        <v>180</v>
      </c>
      <c r="J369" s="364" t="s">
        <v>181</v>
      </c>
      <c r="K369" s="364" t="s">
        <v>41</v>
      </c>
      <c r="L369" s="360" t="s">
        <v>42</v>
      </c>
      <c r="M369" s="365">
        <v>3446630.6081542405</v>
      </c>
      <c r="N369" s="366">
        <v>0</v>
      </c>
      <c r="O369" s="366">
        <v>4168223.3333116882</v>
      </c>
      <c r="P369" s="367">
        <v>3794.9173168528714</v>
      </c>
      <c r="Q369" s="367">
        <v>0</v>
      </c>
      <c r="R369" s="368">
        <v>4515.9516070549171</v>
      </c>
      <c r="S369" s="384">
        <v>923</v>
      </c>
      <c r="T369" s="360" t="s">
        <v>81</v>
      </c>
      <c r="U369" s="360" t="s">
        <v>32</v>
      </c>
      <c r="V369" s="360" t="s">
        <v>83</v>
      </c>
      <c r="W369" s="364" t="s">
        <v>33</v>
      </c>
      <c r="X369" s="370" t="s">
        <v>149</v>
      </c>
      <c r="Y369" s="364" t="s">
        <v>41</v>
      </c>
      <c r="Z369" s="365">
        <v>3502708.6834552004</v>
      </c>
      <c r="AA369" s="366">
        <v>0</v>
      </c>
      <c r="AB369" s="366">
        <v>0</v>
      </c>
      <c r="AC369" s="367">
        <v>0</v>
      </c>
      <c r="AD369" s="367">
        <v>0</v>
      </c>
      <c r="AE369" s="368">
        <v>0</v>
      </c>
      <c r="AF369" s="385"/>
    </row>
    <row r="370" spans="2:32" s="1" customFormat="1" ht="13" x14ac:dyDescent="0.3">
      <c r="B370" s="383">
        <v>2026</v>
      </c>
      <c r="C370" s="361" t="s">
        <v>412</v>
      </c>
      <c r="D370" s="361" t="s">
        <v>162</v>
      </c>
      <c r="E370" s="360" t="s">
        <v>88</v>
      </c>
      <c r="F370" s="360" t="s">
        <v>87</v>
      </c>
      <c r="G370" s="362">
        <v>46198</v>
      </c>
      <c r="H370" s="363">
        <v>2797165</v>
      </c>
      <c r="I370" s="360" t="s">
        <v>180</v>
      </c>
      <c r="J370" s="364" t="s">
        <v>181</v>
      </c>
      <c r="K370" s="364" t="s">
        <v>43</v>
      </c>
      <c r="L370" s="360" t="s">
        <v>44</v>
      </c>
      <c r="M370" s="365">
        <v>0</v>
      </c>
      <c r="N370" s="366">
        <v>0</v>
      </c>
      <c r="O370" s="366">
        <v>0</v>
      </c>
      <c r="P370" s="367">
        <v>0</v>
      </c>
      <c r="Q370" s="367">
        <v>0</v>
      </c>
      <c r="R370" s="368">
        <v>0</v>
      </c>
      <c r="S370" s="384">
        <v>923</v>
      </c>
      <c r="T370" s="360" t="s">
        <v>81</v>
      </c>
      <c r="U370" s="360" t="s">
        <v>32</v>
      </c>
      <c r="V370" s="360" t="s">
        <v>83</v>
      </c>
      <c r="W370" s="364" t="s">
        <v>33</v>
      </c>
      <c r="X370" s="370" t="s">
        <v>149</v>
      </c>
      <c r="Y370" s="364" t="s">
        <v>43</v>
      </c>
      <c r="Z370" s="365">
        <v>0</v>
      </c>
      <c r="AA370" s="366">
        <v>0</v>
      </c>
      <c r="AB370" s="366">
        <v>0</v>
      </c>
      <c r="AC370" s="367">
        <v>0</v>
      </c>
      <c r="AD370" s="367">
        <v>0</v>
      </c>
      <c r="AE370" s="368">
        <v>0</v>
      </c>
      <c r="AF370" s="385"/>
    </row>
    <row r="371" spans="2:32" s="1" customFormat="1" ht="13" x14ac:dyDescent="0.3">
      <c r="B371" s="383">
        <v>2026</v>
      </c>
      <c r="C371" s="361" t="s">
        <v>412</v>
      </c>
      <c r="D371" s="361" t="s">
        <v>162</v>
      </c>
      <c r="E371" s="360" t="s">
        <v>88</v>
      </c>
      <c r="F371" s="360" t="s">
        <v>87</v>
      </c>
      <c r="G371" s="362">
        <v>46198</v>
      </c>
      <c r="H371" s="363">
        <v>2797165</v>
      </c>
      <c r="I371" s="360" t="s">
        <v>180</v>
      </c>
      <c r="J371" s="364" t="s">
        <v>181</v>
      </c>
      <c r="K371" s="364" t="s">
        <v>45</v>
      </c>
      <c r="L371" s="360" t="s">
        <v>46</v>
      </c>
      <c r="M371" s="365">
        <v>2838407.315655923</v>
      </c>
      <c r="N371" s="366">
        <v>0</v>
      </c>
      <c r="O371" s="366">
        <v>3432661.3285940378</v>
      </c>
      <c r="P371" s="367">
        <v>3125.2322337591504</v>
      </c>
      <c r="Q371" s="367">
        <v>0</v>
      </c>
      <c r="R371" s="368">
        <v>3719.0263581733889</v>
      </c>
      <c r="S371" s="384">
        <v>923</v>
      </c>
      <c r="T371" s="360" t="s">
        <v>81</v>
      </c>
      <c r="U371" s="360" t="s">
        <v>32</v>
      </c>
      <c r="V371" s="360" t="s">
        <v>83</v>
      </c>
      <c r="W371" s="364" t="s">
        <v>33</v>
      </c>
      <c r="X371" s="370" t="s">
        <v>149</v>
      </c>
      <c r="Y371" s="364" t="s">
        <v>45</v>
      </c>
      <c r="Z371" s="365">
        <v>2884589.3517596959</v>
      </c>
      <c r="AA371" s="366">
        <v>0</v>
      </c>
      <c r="AB371" s="366">
        <v>0</v>
      </c>
      <c r="AC371" s="367">
        <v>0</v>
      </c>
      <c r="AD371" s="367">
        <v>0</v>
      </c>
      <c r="AE371" s="368">
        <v>0</v>
      </c>
      <c r="AF371" s="385"/>
    </row>
    <row r="372" spans="2:32" s="1" customFormat="1" ht="13" x14ac:dyDescent="0.3">
      <c r="B372" s="383">
        <v>2026</v>
      </c>
      <c r="C372" s="361" t="s">
        <v>412</v>
      </c>
      <c r="D372" s="361" t="s">
        <v>162</v>
      </c>
      <c r="E372" s="360" t="s">
        <v>88</v>
      </c>
      <c r="F372" s="360" t="s">
        <v>87</v>
      </c>
      <c r="G372" s="362">
        <v>46198</v>
      </c>
      <c r="H372" s="363">
        <v>2797165</v>
      </c>
      <c r="I372" s="360" t="s">
        <v>180</v>
      </c>
      <c r="J372" s="364" t="s">
        <v>181</v>
      </c>
      <c r="K372" s="364" t="s">
        <v>47</v>
      </c>
      <c r="L372" s="360" t="s">
        <v>48</v>
      </c>
      <c r="M372" s="365">
        <v>329947.60481471464</v>
      </c>
      <c r="N372" s="366">
        <v>0</v>
      </c>
      <c r="O372" s="366">
        <v>399026.02324288635</v>
      </c>
      <c r="P372" s="367">
        <v>363.28925884982874</v>
      </c>
      <c r="Q372" s="367">
        <v>0</v>
      </c>
      <c r="R372" s="368">
        <v>432.31421803129621</v>
      </c>
      <c r="S372" s="384">
        <v>923</v>
      </c>
      <c r="T372" s="360" t="s">
        <v>81</v>
      </c>
      <c r="U372" s="360" t="s">
        <v>32</v>
      </c>
      <c r="V372" s="360" t="s">
        <v>83</v>
      </c>
      <c r="W372" s="364" t="s">
        <v>33</v>
      </c>
      <c r="X372" s="370" t="s">
        <v>149</v>
      </c>
      <c r="Y372" s="364" t="s">
        <v>47</v>
      </c>
      <c r="Z372" s="365">
        <v>335315.9859183919</v>
      </c>
      <c r="AA372" s="366">
        <v>0</v>
      </c>
      <c r="AB372" s="366">
        <v>0</v>
      </c>
      <c r="AC372" s="367">
        <v>0</v>
      </c>
      <c r="AD372" s="367">
        <v>0</v>
      </c>
      <c r="AE372" s="368">
        <v>0</v>
      </c>
      <c r="AF372" s="385"/>
    </row>
    <row r="373" spans="2:32" s="1" customFormat="1" ht="13" x14ac:dyDescent="0.3">
      <c r="B373" s="383">
        <v>2026</v>
      </c>
      <c r="C373" s="361" t="s">
        <v>412</v>
      </c>
      <c r="D373" s="361" t="s">
        <v>162</v>
      </c>
      <c r="E373" s="360" t="s">
        <v>88</v>
      </c>
      <c r="F373" s="360" t="s">
        <v>87</v>
      </c>
      <c r="G373" s="362">
        <v>46198</v>
      </c>
      <c r="H373" s="363">
        <v>2797165</v>
      </c>
      <c r="I373" s="360" t="s">
        <v>180</v>
      </c>
      <c r="J373" s="364" t="s">
        <v>181</v>
      </c>
      <c r="K373" s="364" t="s">
        <v>49</v>
      </c>
      <c r="L373" s="360" t="s">
        <v>50</v>
      </c>
      <c r="M373" s="365">
        <v>244608.92368318717</v>
      </c>
      <c r="N373" s="366">
        <v>0</v>
      </c>
      <c r="O373" s="366">
        <v>295820.68377746246</v>
      </c>
      <c r="P373" s="367">
        <v>269.32698797077711</v>
      </c>
      <c r="Q373" s="367">
        <v>0</v>
      </c>
      <c r="R373" s="368">
        <v>320.49911568522475</v>
      </c>
      <c r="S373" s="384">
        <v>923</v>
      </c>
      <c r="T373" s="360" t="s">
        <v>81</v>
      </c>
      <c r="U373" s="360" t="s">
        <v>32</v>
      </c>
      <c r="V373" s="360" t="s">
        <v>83</v>
      </c>
      <c r="W373" s="364" t="s">
        <v>33</v>
      </c>
      <c r="X373" s="370" t="s">
        <v>149</v>
      </c>
      <c r="Y373" s="364" t="s">
        <v>49</v>
      </c>
      <c r="Z373" s="365">
        <v>248588.8098970273</v>
      </c>
      <c r="AA373" s="366">
        <v>0</v>
      </c>
      <c r="AB373" s="366">
        <v>0</v>
      </c>
      <c r="AC373" s="367">
        <v>0</v>
      </c>
      <c r="AD373" s="367">
        <v>0</v>
      </c>
      <c r="AE373" s="368">
        <v>0</v>
      </c>
      <c r="AF373" s="385"/>
    </row>
    <row r="374" spans="2:32" s="1" customFormat="1" ht="13" x14ac:dyDescent="0.3">
      <c r="B374" s="383">
        <v>2026</v>
      </c>
      <c r="C374" s="361" t="s">
        <v>412</v>
      </c>
      <c r="D374" s="361" t="s">
        <v>162</v>
      </c>
      <c r="E374" s="360" t="s">
        <v>88</v>
      </c>
      <c r="F374" s="360" t="s">
        <v>87</v>
      </c>
      <c r="G374" s="362">
        <v>46198</v>
      </c>
      <c r="H374" s="363">
        <v>2797165</v>
      </c>
      <c r="I374" s="360" t="s">
        <v>180</v>
      </c>
      <c r="J374" s="364" t="s">
        <v>181</v>
      </c>
      <c r="K374" s="364" t="s">
        <v>51</v>
      </c>
      <c r="L374" s="360" t="s">
        <v>52</v>
      </c>
      <c r="M374" s="365">
        <v>407042.76281150337</v>
      </c>
      <c r="N374" s="366">
        <v>0</v>
      </c>
      <c r="O374" s="366">
        <v>492261.96088218474</v>
      </c>
      <c r="P374" s="367">
        <v>448.17498737418606</v>
      </c>
      <c r="Q374" s="367">
        <v>0</v>
      </c>
      <c r="R374" s="368">
        <v>533.32823497528136</v>
      </c>
      <c r="S374" s="384">
        <v>923</v>
      </c>
      <c r="T374" s="360" t="s">
        <v>81</v>
      </c>
      <c r="U374" s="360" t="s">
        <v>32</v>
      </c>
      <c r="V374" s="360" t="s">
        <v>83</v>
      </c>
      <c r="W374" s="364" t="s">
        <v>33</v>
      </c>
      <c r="X374" s="370" t="s">
        <v>149</v>
      </c>
      <c r="Y374" s="364" t="s">
        <v>51</v>
      </c>
      <c r="Z374" s="365">
        <v>413665.51334637374</v>
      </c>
      <c r="AA374" s="366">
        <v>0</v>
      </c>
      <c r="AB374" s="366">
        <v>0</v>
      </c>
      <c r="AC374" s="367">
        <v>0</v>
      </c>
      <c r="AD374" s="367">
        <v>0</v>
      </c>
      <c r="AE374" s="368">
        <v>0</v>
      </c>
      <c r="AF374" s="385"/>
    </row>
    <row r="375" spans="2:32" s="1" customFormat="1" ht="13" x14ac:dyDescent="0.3">
      <c r="B375" s="383">
        <v>2026</v>
      </c>
      <c r="C375" s="361" t="s">
        <v>412</v>
      </c>
      <c r="D375" s="361" t="s">
        <v>162</v>
      </c>
      <c r="E375" s="360" t="s">
        <v>88</v>
      </c>
      <c r="F375" s="360" t="s">
        <v>87</v>
      </c>
      <c r="G375" s="362">
        <v>46198</v>
      </c>
      <c r="H375" s="363">
        <v>2797165</v>
      </c>
      <c r="I375" s="360" t="s">
        <v>180</v>
      </c>
      <c r="J375" s="364" t="s">
        <v>181</v>
      </c>
      <c r="K375" s="364" t="s">
        <v>53</v>
      </c>
      <c r="L375" s="360" t="s">
        <v>54</v>
      </c>
      <c r="M375" s="365">
        <v>23319.099600717003</v>
      </c>
      <c r="N375" s="366">
        <v>0</v>
      </c>
      <c r="O375" s="366">
        <v>28201.227841930111</v>
      </c>
      <c r="P375" s="386">
        <v>25.675526318025902</v>
      </c>
      <c r="Q375" s="367">
        <v>0</v>
      </c>
      <c r="R375" s="368">
        <v>30.553876318450822</v>
      </c>
      <c r="S375" s="384">
        <v>923</v>
      </c>
      <c r="T375" s="360" t="s">
        <v>81</v>
      </c>
      <c r="U375" s="360" t="s">
        <v>32</v>
      </c>
      <c r="V375" s="360" t="s">
        <v>83</v>
      </c>
      <c r="W375" s="364" t="s">
        <v>33</v>
      </c>
      <c r="X375" s="370" t="s">
        <v>149</v>
      </c>
      <c r="Y375" s="364" t="s">
        <v>53</v>
      </c>
      <c r="Z375" s="365">
        <v>23698.510791537909</v>
      </c>
      <c r="AA375" s="366">
        <v>0</v>
      </c>
      <c r="AB375" s="366">
        <v>0</v>
      </c>
      <c r="AC375" s="386">
        <v>0</v>
      </c>
      <c r="AD375" s="367">
        <v>0</v>
      </c>
      <c r="AE375" s="368">
        <v>0</v>
      </c>
      <c r="AF375" s="385"/>
    </row>
    <row r="376" spans="2:32" s="37" customFormat="1" x14ac:dyDescent="0.35">
      <c r="B376" s="387">
        <v>2026</v>
      </c>
      <c r="C376" s="389" t="s">
        <v>412</v>
      </c>
      <c r="D376" s="389" t="s">
        <v>162</v>
      </c>
      <c r="E376" s="388" t="s">
        <v>88</v>
      </c>
      <c r="F376" s="388" t="s">
        <v>87</v>
      </c>
      <c r="G376" s="390">
        <v>46198</v>
      </c>
      <c r="H376" s="391">
        <v>2797165</v>
      </c>
      <c r="I376" s="388" t="s">
        <v>180</v>
      </c>
      <c r="J376" s="392" t="s">
        <v>181</v>
      </c>
      <c r="K376" s="392" t="s">
        <v>56</v>
      </c>
      <c r="L376" s="388" t="s">
        <v>56</v>
      </c>
      <c r="M376" s="393">
        <f>SUM(M365:M375)</f>
        <v>8819906</v>
      </c>
      <c r="N376" s="393">
        <v>1703047.7938280003</v>
      </c>
      <c r="O376" s="393">
        <v>10666457.235028001</v>
      </c>
      <c r="P376" s="394">
        <v>9711.1694920910086</v>
      </c>
      <c r="Q376" s="394">
        <v>1845.1222034972916</v>
      </c>
      <c r="R376" s="395">
        <v>11556.291695588299</v>
      </c>
      <c r="S376" s="396">
        <v>923</v>
      </c>
      <c r="T376" s="388" t="s">
        <v>81</v>
      </c>
      <c r="U376" s="388" t="s">
        <v>32</v>
      </c>
      <c r="V376" s="388" t="s">
        <v>83</v>
      </c>
      <c r="W376" s="392" t="s">
        <v>33</v>
      </c>
      <c r="X376" s="397" t="s">
        <v>149</v>
      </c>
      <c r="Y376" s="392" t="s">
        <v>56</v>
      </c>
      <c r="Z376" s="393">
        <v>8963409.4412000012</v>
      </c>
      <c r="AA376" s="393">
        <v>0</v>
      </c>
      <c r="AB376" s="393">
        <v>0</v>
      </c>
      <c r="AC376" s="394">
        <v>0</v>
      </c>
      <c r="AD376" s="394">
        <v>0</v>
      </c>
      <c r="AE376" s="395">
        <v>0</v>
      </c>
      <c r="AF376" s="398"/>
    </row>
    <row r="377" spans="2:32" s="5" customFormat="1" ht="13" x14ac:dyDescent="0.3">
      <c r="B377" s="400">
        <v>2026</v>
      </c>
      <c r="C377" s="402" t="s">
        <v>410</v>
      </c>
      <c r="D377" s="402" t="s">
        <v>80</v>
      </c>
      <c r="E377" s="401" t="s">
        <v>88</v>
      </c>
      <c r="F377" s="401" t="s">
        <v>457</v>
      </c>
      <c r="G377" s="403">
        <v>46228</v>
      </c>
      <c r="H377" s="404">
        <v>2864715</v>
      </c>
      <c r="I377" s="401" t="s">
        <v>180</v>
      </c>
      <c r="J377" s="405" t="s">
        <v>181</v>
      </c>
      <c r="K377" s="405" t="s">
        <v>30</v>
      </c>
      <c r="L377" s="401" t="s">
        <v>31</v>
      </c>
      <c r="M377" s="406">
        <v>1201729.4306638185</v>
      </c>
      <c r="N377" s="407">
        <v>0</v>
      </c>
      <c r="O377" s="407">
        <v>1693760.448074074</v>
      </c>
      <c r="P377" s="408">
        <v>1540.398384875836</v>
      </c>
      <c r="Q377" s="408">
        <v>0</v>
      </c>
      <c r="R377" s="409">
        <v>1833.0740780022447</v>
      </c>
      <c r="S377" s="410">
        <v>924</v>
      </c>
      <c r="T377" s="401" t="s">
        <v>81</v>
      </c>
      <c r="U377" s="401" t="s">
        <v>32</v>
      </c>
      <c r="V377" s="401" t="s">
        <v>83</v>
      </c>
      <c r="W377" s="405" t="s">
        <v>33</v>
      </c>
      <c r="X377" s="411" t="s">
        <v>457</v>
      </c>
      <c r="Y377" s="405" t="s">
        <v>30</v>
      </c>
      <c r="Z377" s="406"/>
      <c r="AA377" s="407">
        <v>0</v>
      </c>
      <c r="AB377" s="407">
        <v>0</v>
      </c>
      <c r="AC377" s="408">
        <v>0</v>
      </c>
      <c r="AD377" s="408">
        <v>0</v>
      </c>
      <c r="AE377" s="409">
        <v>0</v>
      </c>
      <c r="AF377" s="412"/>
    </row>
    <row r="378" spans="2:32" s="1" customFormat="1" ht="13" x14ac:dyDescent="0.3">
      <c r="B378" s="383">
        <v>2026</v>
      </c>
      <c r="C378" s="361" t="s">
        <v>410</v>
      </c>
      <c r="D378" s="361" t="s">
        <v>80</v>
      </c>
      <c r="E378" s="360" t="s">
        <v>88</v>
      </c>
      <c r="F378" s="360" t="s">
        <v>457</v>
      </c>
      <c r="G378" s="362">
        <v>46228</v>
      </c>
      <c r="H378" s="363">
        <v>2864715</v>
      </c>
      <c r="I378" s="360" t="s">
        <v>180</v>
      </c>
      <c r="J378" s="364" t="s">
        <v>181</v>
      </c>
      <c r="K378" s="364" t="s">
        <v>35</v>
      </c>
      <c r="L378" s="360" t="s">
        <v>36</v>
      </c>
      <c r="M378" s="365">
        <v>437.77972849123091</v>
      </c>
      <c r="N378" s="366">
        <v>0</v>
      </c>
      <c r="O378" s="366">
        <v>17829.057348148148</v>
      </c>
      <c r="P378" s="367">
        <v>16.214719840798274</v>
      </c>
      <c r="Q378" s="367">
        <v>0</v>
      </c>
      <c r="R378" s="368">
        <v>19.295516610549946</v>
      </c>
      <c r="S378" s="384">
        <v>924</v>
      </c>
      <c r="T378" s="360" t="s">
        <v>81</v>
      </c>
      <c r="U378" s="360" t="s">
        <v>32</v>
      </c>
      <c r="V378" s="360" t="s">
        <v>83</v>
      </c>
      <c r="W378" s="364" t="s">
        <v>33</v>
      </c>
      <c r="X378" s="370" t="s">
        <v>457</v>
      </c>
      <c r="Y378" s="364" t="s">
        <v>35</v>
      </c>
      <c r="Z378" s="365"/>
      <c r="AA378" s="366">
        <v>0</v>
      </c>
      <c r="AB378" s="366">
        <v>0</v>
      </c>
      <c r="AC378" s="367">
        <v>0</v>
      </c>
      <c r="AD378" s="367">
        <v>0</v>
      </c>
      <c r="AE378" s="368">
        <v>0</v>
      </c>
      <c r="AF378" s="385"/>
    </row>
    <row r="379" spans="2:32" s="1" customFormat="1" ht="13" x14ac:dyDescent="0.3">
      <c r="B379" s="383">
        <v>2026</v>
      </c>
      <c r="C379" s="361" t="s">
        <v>410</v>
      </c>
      <c r="D379" s="361" t="s">
        <v>80</v>
      </c>
      <c r="E379" s="360" t="s">
        <v>88</v>
      </c>
      <c r="F379" s="360" t="s">
        <v>457</v>
      </c>
      <c r="G379" s="362">
        <v>46228</v>
      </c>
      <c r="H379" s="363">
        <v>2864715</v>
      </c>
      <c r="I379" s="360" t="s">
        <v>180</v>
      </c>
      <c r="J379" s="364" t="s">
        <v>181</v>
      </c>
      <c r="K379" s="364" t="s">
        <v>37</v>
      </c>
      <c r="L379" s="360" t="s">
        <v>38</v>
      </c>
      <c r="M379" s="365">
        <v>51122.2005657954</v>
      </c>
      <c r="N379" s="366">
        <v>0</v>
      </c>
      <c r="O379" s="366">
        <v>196119.63082962963</v>
      </c>
      <c r="P379" s="367">
        <v>178.361918248781</v>
      </c>
      <c r="Q379" s="367">
        <v>0</v>
      </c>
      <c r="R379" s="368">
        <v>212.25068271604937</v>
      </c>
      <c r="S379" s="384">
        <v>924</v>
      </c>
      <c r="T379" s="360" t="s">
        <v>81</v>
      </c>
      <c r="U379" s="360" t="s">
        <v>32</v>
      </c>
      <c r="V379" s="360" t="s">
        <v>83</v>
      </c>
      <c r="W379" s="364" t="s">
        <v>33</v>
      </c>
      <c r="X379" s="370" t="s">
        <v>457</v>
      </c>
      <c r="Y379" s="364" t="s">
        <v>37</v>
      </c>
      <c r="Z379" s="365"/>
      <c r="AA379" s="366">
        <v>0</v>
      </c>
      <c r="AB379" s="366">
        <v>0</v>
      </c>
      <c r="AC379" s="367">
        <v>0</v>
      </c>
      <c r="AD379" s="367">
        <v>0</v>
      </c>
      <c r="AE379" s="368">
        <v>0</v>
      </c>
      <c r="AF379" s="385"/>
    </row>
    <row r="380" spans="2:32" s="1" customFormat="1" ht="13" x14ac:dyDescent="0.3">
      <c r="B380" s="383">
        <v>2026</v>
      </c>
      <c r="C380" s="361" t="s">
        <v>410</v>
      </c>
      <c r="D380" s="361" t="s">
        <v>80</v>
      </c>
      <c r="E380" s="360" t="s">
        <v>88</v>
      </c>
      <c r="F380" s="360" t="s">
        <v>457</v>
      </c>
      <c r="G380" s="362">
        <v>46228</v>
      </c>
      <c r="H380" s="363">
        <v>2864715</v>
      </c>
      <c r="I380" s="360" t="s">
        <v>180</v>
      </c>
      <c r="J380" s="364" t="s">
        <v>181</v>
      </c>
      <c r="K380" s="364" t="s">
        <v>39</v>
      </c>
      <c r="L380" s="360" t="s">
        <v>40</v>
      </c>
      <c r="M380" s="365">
        <v>2511345.8803799232</v>
      </c>
      <c r="N380" s="366">
        <v>0</v>
      </c>
      <c r="O380" s="366">
        <v>3735187.5144370371</v>
      </c>
      <c r="P380" s="367">
        <v>3396.9838066472385</v>
      </c>
      <c r="Q380" s="367">
        <v>0</v>
      </c>
      <c r="R380" s="368">
        <v>4042.4107299102134</v>
      </c>
      <c r="S380" s="384">
        <v>924</v>
      </c>
      <c r="T380" s="360" t="s">
        <v>81</v>
      </c>
      <c r="U380" s="360" t="s">
        <v>32</v>
      </c>
      <c r="V380" s="360" t="s">
        <v>83</v>
      </c>
      <c r="W380" s="364" t="s">
        <v>33</v>
      </c>
      <c r="X380" s="370" t="s">
        <v>457</v>
      </c>
      <c r="Y380" s="364" t="s">
        <v>39</v>
      </c>
      <c r="Z380" s="365"/>
      <c r="AA380" s="366">
        <v>0</v>
      </c>
      <c r="AB380" s="366">
        <v>0</v>
      </c>
      <c r="AC380" s="367">
        <v>0</v>
      </c>
      <c r="AD380" s="367">
        <v>0</v>
      </c>
      <c r="AE380" s="368">
        <v>0</v>
      </c>
      <c r="AF380" s="385"/>
    </row>
    <row r="381" spans="2:32" s="1" customFormat="1" ht="13" x14ac:dyDescent="0.3">
      <c r="B381" s="383">
        <v>2026</v>
      </c>
      <c r="C381" s="361" t="s">
        <v>410</v>
      </c>
      <c r="D381" s="361" t="s">
        <v>80</v>
      </c>
      <c r="E381" s="360" t="s">
        <v>88</v>
      </c>
      <c r="F381" s="360" t="s">
        <v>457</v>
      </c>
      <c r="G381" s="362">
        <v>46228</v>
      </c>
      <c r="H381" s="363">
        <v>2864715</v>
      </c>
      <c r="I381" s="360" t="s">
        <v>180</v>
      </c>
      <c r="J381" s="364" t="s">
        <v>181</v>
      </c>
      <c r="K381" s="364" t="s">
        <v>41</v>
      </c>
      <c r="L381" s="360" t="s">
        <v>42</v>
      </c>
      <c r="M381" s="365">
        <v>0</v>
      </c>
      <c r="N381" s="366">
        <v>0</v>
      </c>
      <c r="O381" s="366">
        <v>0</v>
      </c>
      <c r="P381" s="367">
        <v>0</v>
      </c>
      <c r="Q381" s="367">
        <v>0</v>
      </c>
      <c r="R381" s="368">
        <v>0</v>
      </c>
      <c r="S381" s="384">
        <v>924</v>
      </c>
      <c r="T381" s="360" t="s">
        <v>81</v>
      </c>
      <c r="U381" s="360" t="s">
        <v>32</v>
      </c>
      <c r="V381" s="360" t="s">
        <v>83</v>
      </c>
      <c r="W381" s="364" t="s">
        <v>33</v>
      </c>
      <c r="X381" s="370" t="s">
        <v>457</v>
      </c>
      <c r="Y381" s="364" t="s">
        <v>41</v>
      </c>
      <c r="Z381" s="365"/>
      <c r="AA381" s="366">
        <v>0</v>
      </c>
      <c r="AB381" s="366">
        <v>0</v>
      </c>
      <c r="AC381" s="367">
        <v>0</v>
      </c>
      <c r="AD381" s="367">
        <v>0</v>
      </c>
      <c r="AE381" s="368">
        <v>0</v>
      </c>
      <c r="AF381" s="385"/>
    </row>
    <row r="382" spans="2:32" s="1" customFormat="1" ht="13" x14ac:dyDescent="0.3">
      <c r="B382" s="383">
        <v>2026</v>
      </c>
      <c r="C382" s="361" t="s">
        <v>410</v>
      </c>
      <c r="D382" s="361" t="s">
        <v>80</v>
      </c>
      <c r="E382" s="360" t="s">
        <v>88</v>
      </c>
      <c r="F382" s="360" t="s">
        <v>457</v>
      </c>
      <c r="G382" s="362">
        <v>46228</v>
      </c>
      <c r="H382" s="363">
        <v>2864715</v>
      </c>
      <c r="I382" s="360" t="s">
        <v>180</v>
      </c>
      <c r="J382" s="364" t="s">
        <v>181</v>
      </c>
      <c r="K382" s="364" t="s">
        <v>43</v>
      </c>
      <c r="L382" s="360" t="s">
        <v>44</v>
      </c>
      <c r="M382" s="365">
        <v>1592303.3182872944</v>
      </c>
      <c r="N382" s="366">
        <v>0</v>
      </c>
      <c r="O382" s="366">
        <v>2014683.4803407406</v>
      </c>
      <c r="P382" s="367">
        <v>1832.2633420102047</v>
      </c>
      <c r="Q382" s="367">
        <v>0</v>
      </c>
      <c r="R382" s="368">
        <v>2180.3933769921437</v>
      </c>
      <c r="S382" s="384">
        <v>924</v>
      </c>
      <c r="T382" s="360" t="s">
        <v>81</v>
      </c>
      <c r="U382" s="360" t="s">
        <v>32</v>
      </c>
      <c r="V382" s="360" t="s">
        <v>83</v>
      </c>
      <c r="W382" s="364" t="s">
        <v>33</v>
      </c>
      <c r="X382" s="370" t="s">
        <v>457</v>
      </c>
      <c r="Y382" s="364" t="s">
        <v>43</v>
      </c>
      <c r="Z382" s="365"/>
      <c r="AA382" s="366">
        <v>0</v>
      </c>
      <c r="AB382" s="366">
        <v>0</v>
      </c>
      <c r="AC382" s="367">
        <v>0</v>
      </c>
      <c r="AD382" s="367">
        <v>0</v>
      </c>
      <c r="AE382" s="368">
        <v>0</v>
      </c>
      <c r="AF382" s="385"/>
    </row>
    <row r="383" spans="2:32" s="1" customFormat="1" ht="13" x14ac:dyDescent="0.3">
      <c r="B383" s="383">
        <v>2026</v>
      </c>
      <c r="C383" s="361" t="s">
        <v>410</v>
      </c>
      <c r="D383" s="361" t="s">
        <v>80</v>
      </c>
      <c r="E383" s="360" t="s">
        <v>88</v>
      </c>
      <c r="F383" s="360" t="s">
        <v>457</v>
      </c>
      <c r="G383" s="362">
        <v>46228</v>
      </c>
      <c r="H383" s="363">
        <v>2864715</v>
      </c>
      <c r="I383" s="360" t="s">
        <v>180</v>
      </c>
      <c r="J383" s="364" t="s">
        <v>181</v>
      </c>
      <c r="K383" s="364" t="s">
        <v>45</v>
      </c>
      <c r="L383" s="360" t="s">
        <v>46</v>
      </c>
      <c r="M383" s="365">
        <v>127041.16219384682</v>
      </c>
      <c r="N383" s="366">
        <v>0</v>
      </c>
      <c r="O383" s="366">
        <v>89145.286740740747</v>
      </c>
      <c r="P383" s="367">
        <v>81.073599203991364</v>
      </c>
      <c r="Q383" s="367">
        <v>0</v>
      </c>
      <c r="R383" s="368">
        <v>96.477583052749722</v>
      </c>
      <c r="S383" s="384">
        <v>924</v>
      </c>
      <c r="T383" s="360" t="s">
        <v>81</v>
      </c>
      <c r="U383" s="360" t="s">
        <v>32</v>
      </c>
      <c r="V383" s="360" t="s">
        <v>83</v>
      </c>
      <c r="W383" s="364" t="s">
        <v>33</v>
      </c>
      <c r="X383" s="370" t="s">
        <v>457</v>
      </c>
      <c r="Y383" s="364" t="s">
        <v>45</v>
      </c>
      <c r="Z383" s="365"/>
      <c r="AA383" s="366">
        <v>0</v>
      </c>
      <c r="AB383" s="366">
        <v>0</v>
      </c>
      <c r="AC383" s="367">
        <v>0</v>
      </c>
      <c r="AD383" s="367">
        <v>0</v>
      </c>
      <c r="AE383" s="368">
        <v>0</v>
      </c>
      <c r="AF383" s="385"/>
    </row>
    <row r="384" spans="2:32" s="1" customFormat="1" ht="13" x14ac:dyDescent="0.3">
      <c r="B384" s="383">
        <v>2026</v>
      </c>
      <c r="C384" s="361" t="s">
        <v>410</v>
      </c>
      <c r="D384" s="361" t="s">
        <v>80</v>
      </c>
      <c r="E384" s="360" t="s">
        <v>88</v>
      </c>
      <c r="F384" s="360" t="s">
        <v>457</v>
      </c>
      <c r="G384" s="362">
        <v>46228</v>
      </c>
      <c r="H384" s="363">
        <v>2864715</v>
      </c>
      <c r="I384" s="360" t="s">
        <v>180</v>
      </c>
      <c r="J384" s="364" t="s">
        <v>181</v>
      </c>
      <c r="K384" s="364" t="s">
        <v>47</v>
      </c>
      <c r="L384" s="360" t="s">
        <v>48</v>
      </c>
      <c r="M384" s="365">
        <v>168138.23913850141</v>
      </c>
      <c r="N384" s="366">
        <v>0</v>
      </c>
      <c r="O384" s="366">
        <v>249606.80287407408</v>
      </c>
      <c r="P384" s="367">
        <v>227.00607777117582</v>
      </c>
      <c r="Q384" s="367">
        <v>0</v>
      </c>
      <c r="R384" s="368">
        <v>270.13723254769923</v>
      </c>
      <c r="S384" s="384">
        <v>924</v>
      </c>
      <c r="T384" s="360" t="s">
        <v>81</v>
      </c>
      <c r="U384" s="360" t="s">
        <v>32</v>
      </c>
      <c r="V384" s="360" t="s">
        <v>83</v>
      </c>
      <c r="W384" s="364" t="s">
        <v>33</v>
      </c>
      <c r="X384" s="370" t="s">
        <v>457</v>
      </c>
      <c r="Y384" s="364" t="s">
        <v>47</v>
      </c>
      <c r="Z384" s="365"/>
      <c r="AA384" s="366">
        <v>0</v>
      </c>
      <c r="AB384" s="366">
        <v>0</v>
      </c>
      <c r="AC384" s="367">
        <v>0</v>
      </c>
      <c r="AD384" s="367">
        <v>0</v>
      </c>
      <c r="AE384" s="368">
        <v>0</v>
      </c>
      <c r="AF384" s="385"/>
    </row>
    <row r="385" spans="2:32" s="1" customFormat="1" ht="13" x14ac:dyDescent="0.3">
      <c r="B385" s="383">
        <v>2026</v>
      </c>
      <c r="C385" s="361" t="s">
        <v>410</v>
      </c>
      <c r="D385" s="361" t="s">
        <v>80</v>
      </c>
      <c r="E385" s="360" t="s">
        <v>88</v>
      </c>
      <c r="F385" s="360" t="s">
        <v>457</v>
      </c>
      <c r="G385" s="362">
        <v>46228</v>
      </c>
      <c r="H385" s="363">
        <v>2864715</v>
      </c>
      <c r="I385" s="360" t="s">
        <v>180</v>
      </c>
      <c r="J385" s="364" t="s">
        <v>181</v>
      </c>
      <c r="K385" s="364" t="s">
        <v>49</v>
      </c>
      <c r="L385" s="360" t="s">
        <v>50</v>
      </c>
      <c r="M385" s="365">
        <v>121051.86100014443</v>
      </c>
      <c r="N385" s="366">
        <v>0</v>
      </c>
      <c r="O385" s="366">
        <v>169376.04480740742</v>
      </c>
      <c r="P385" s="367">
        <v>154.03983848758361</v>
      </c>
      <c r="Q385" s="367">
        <v>0</v>
      </c>
      <c r="R385" s="368">
        <v>183.3074078002245</v>
      </c>
      <c r="S385" s="384">
        <v>924</v>
      </c>
      <c r="T385" s="360" t="s">
        <v>81</v>
      </c>
      <c r="U385" s="360" t="s">
        <v>32</v>
      </c>
      <c r="V385" s="360" t="s">
        <v>83</v>
      </c>
      <c r="W385" s="364" t="s">
        <v>33</v>
      </c>
      <c r="X385" s="370" t="s">
        <v>457</v>
      </c>
      <c r="Y385" s="364" t="s">
        <v>49</v>
      </c>
      <c r="Z385" s="365"/>
      <c r="AA385" s="366">
        <v>0</v>
      </c>
      <c r="AB385" s="366">
        <v>0</v>
      </c>
      <c r="AC385" s="367">
        <v>0</v>
      </c>
      <c r="AD385" s="367">
        <v>0</v>
      </c>
      <c r="AE385" s="368">
        <v>0</v>
      </c>
      <c r="AF385" s="385"/>
    </row>
    <row r="386" spans="2:32" s="1" customFormat="1" ht="13" x14ac:dyDescent="0.3">
      <c r="B386" s="383">
        <v>2026</v>
      </c>
      <c r="C386" s="361" t="s">
        <v>410</v>
      </c>
      <c r="D386" s="361" t="s">
        <v>80</v>
      </c>
      <c r="E386" s="360" t="s">
        <v>88</v>
      </c>
      <c r="F386" s="360" t="s">
        <v>457</v>
      </c>
      <c r="G386" s="362">
        <v>46228</v>
      </c>
      <c r="H386" s="363">
        <v>2864715</v>
      </c>
      <c r="I386" s="360" t="s">
        <v>180</v>
      </c>
      <c r="J386" s="364" t="s">
        <v>181</v>
      </c>
      <c r="K386" s="364" t="s">
        <v>51</v>
      </c>
      <c r="L386" s="360" t="s">
        <v>52</v>
      </c>
      <c r="M386" s="365">
        <v>5756.1280421855254</v>
      </c>
      <c r="N386" s="366">
        <v>0</v>
      </c>
      <c r="O386" s="366">
        <v>17829.057348148148</v>
      </c>
      <c r="P386" s="367">
        <v>16.214719840798274</v>
      </c>
      <c r="Q386" s="367">
        <v>0</v>
      </c>
      <c r="R386" s="368">
        <v>19.295516610549946</v>
      </c>
      <c r="S386" s="384">
        <v>924</v>
      </c>
      <c r="T386" s="360" t="s">
        <v>81</v>
      </c>
      <c r="U386" s="360" t="s">
        <v>32</v>
      </c>
      <c r="V386" s="360" t="s">
        <v>83</v>
      </c>
      <c r="W386" s="364" t="s">
        <v>33</v>
      </c>
      <c r="X386" s="370" t="s">
        <v>457</v>
      </c>
      <c r="Y386" s="364" t="s">
        <v>51</v>
      </c>
      <c r="Z386" s="365"/>
      <c r="AA386" s="366">
        <v>0</v>
      </c>
      <c r="AB386" s="366">
        <v>0</v>
      </c>
      <c r="AC386" s="367">
        <v>0</v>
      </c>
      <c r="AD386" s="367">
        <v>0</v>
      </c>
      <c r="AE386" s="368">
        <v>0</v>
      </c>
      <c r="AF386" s="385"/>
    </row>
    <row r="387" spans="2:32" s="1" customFormat="1" ht="13" x14ac:dyDescent="0.3">
      <c r="B387" s="383">
        <v>2026</v>
      </c>
      <c r="C387" s="361" t="s">
        <v>410</v>
      </c>
      <c r="D387" s="361" t="s">
        <v>80</v>
      </c>
      <c r="E387" s="360" t="s">
        <v>88</v>
      </c>
      <c r="F387" s="360" t="s">
        <v>457</v>
      </c>
      <c r="G387" s="362">
        <v>46228</v>
      </c>
      <c r="H387" s="363">
        <v>2864715</v>
      </c>
      <c r="I387" s="360" t="s">
        <v>180</v>
      </c>
      <c r="J387" s="364" t="s">
        <v>181</v>
      </c>
      <c r="K387" s="364" t="s">
        <v>53</v>
      </c>
      <c r="L387" s="360" t="s">
        <v>54</v>
      </c>
      <c r="M387" s="365"/>
      <c r="N387" s="366">
        <v>0</v>
      </c>
      <c r="O387" s="366">
        <v>0</v>
      </c>
      <c r="P387" s="386">
        <v>0</v>
      </c>
      <c r="Q387" s="367">
        <v>0</v>
      </c>
      <c r="R387" s="368">
        <v>0</v>
      </c>
      <c r="S387" s="384">
        <v>924</v>
      </c>
      <c r="T387" s="360" t="s">
        <v>81</v>
      </c>
      <c r="U387" s="360" t="s">
        <v>32</v>
      </c>
      <c r="V387" s="360" t="s">
        <v>83</v>
      </c>
      <c r="W387" s="364" t="s">
        <v>33</v>
      </c>
      <c r="X387" s="370" t="s">
        <v>457</v>
      </c>
      <c r="Y387" s="364" t="s">
        <v>53</v>
      </c>
      <c r="Z387" s="365"/>
      <c r="AA387" s="366">
        <v>0</v>
      </c>
      <c r="AB387" s="366">
        <v>0</v>
      </c>
      <c r="AC387" s="386">
        <v>0</v>
      </c>
      <c r="AD387" s="367">
        <v>0</v>
      </c>
      <c r="AE387" s="368">
        <v>0</v>
      </c>
      <c r="AF387" s="385"/>
    </row>
    <row r="388" spans="2:32" s="37" customFormat="1" x14ac:dyDescent="0.35">
      <c r="B388" s="387">
        <v>2026</v>
      </c>
      <c r="C388" s="389" t="s">
        <v>410</v>
      </c>
      <c r="D388" s="389" t="s">
        <v>80</v>
      </c>
      <c r="E388" s="388" t="s">
        <v>88</v>
      </c>
      <c r="F388" s="388" t="s">
        <v>457</v>
      </c>
      <c r="G388" s="390">
        <v>46228</v>
      </c>
      <c r="H388" s="391">
        <v>2864715</v>
      </c>
      <c r="I388" s="388" t="s">
        <v>180</v>
      </c>
      <c r="J388" s="392" t="s">
        <v>181</v>
      </c>
      <c r="K388" s="392" t="s">
        <v>56</v>
      </c>
      <c r="L388" s="388" t="s">
        <v>56</v>
      </c>
      <c r="M388" s="393">
        <f>SUM(M377:M387)</f>
        <v>5778926.0000000019</v>
      </c>
      <c r="N388" s="393">
        <v>1306615.2028000003</v>
      </c>
      <c r="O388" s="393">
        <v>8183537.3228000011</v>
      </c>
      <c r="P388" s="394">
        <v>7442.5564069264083</v>
      </c>
      <c r="Q388" s="394">
        <v>1414.0857173160175</v>
      </c>
      <c r="R388" s="395">
        <v>8856.6421242424258</v>
      </c>
      <c r="S388" s="396">
        <v>924</v>
      </c>
      <c r="T388" s="388" t="s">
        <v>81</v>
      </c>
      <c r="U388" s="388" t="s">
        <v>32</v>
      </c>
      <c r="V388" s="388" t="s">
        <v>83</v>
      </c>
      <c r="W388" s="392" t="s">
        <v>33</v>
      </c>
      <c r="X388" s="397" t="s">
        <v>457</v>
      </c>
      <c r="Y388" s="392" t="s">
        <v>56</v>
      </c>
      <c r="Z388" s="413"/>
      <c r="AA388" s="393">
        <v>0</v>
      </c>
      <c r="AB388" s="393">
        <v>0</v>
      </c>
      <c r="AC388" s="394">
        <v>0</v>
      </c>
      <c r="AD388" s="394">
        <v>0</v>
      </c>
      <c r="AE388" s="395">
        <v>0</v>
      </c>
      <c r="AF388" s="398"/>
    </row>
    <row r="389" spans="2:32" s="5" customFormat="1" ht="13" hidden="1" x14ac:dyDescent="0.3">
      <c r="B389" s="400">
        <v>2026</v>
      </c>
      <c r="C389" s="402" t="s">
        <v>405</v>
      </c>
      <c r="D389" s="402" t="s">
        <v>87</v>
      </c>
      <c r="E389" s="401" t="s">
        <v>177</v>
      </c>
      <c r="F389" s="401" t="s">
        <v>172</v>
      </c>
      <c r="G389" s="403"/>
      <c r="H389" s="404">
        <v>494026</v>
      </c>
      <c r="I389" s="401" t="s">
        <v>29</v>
      </c>
      <c r="J389" s="405" t="str">
        <f>IFERROR(VLOOKUP(I389,Map!$F$18:$G$56,2,0),"Add in Map")</f>
        <v>3P</v>
      </c>
      <c r="K389" s="405" t="str">
        <f>VLOOKUP(L389,Map!$C$18:$D$29,2,0)</f>
        <v>CNT</v>
      </c>
      <c r="L389" s="401" t="s">
        <v>31</v>
      </c>
      <c r="M389" s="406">
        <v>39026563.778931223</v>
      </c>
      <c r="N389" s="407">
        <f t="shared" ref="N389:N440" si="96">IF(L389="TOTAL",(M389*0.19),0)</f>
        <v>0</v>
      </c>
      <c r="O389" s="407">
        <f t="shared" ref="O389:O440" si="97">M389*1.19</f>
        <v>46441610.896928154</v>
      </c>
      <c r="P389" s="408">
        <f t="shared" ref="P389:P440" si="98">M389/S389</f>
        <v>42466.337082623744</v>
      </c>
      <c r="Q389" s="408">
        <f t="shared" ref="Q389:Q440" si="99">IF(L389="TOTAL",(P389*0.19),0)</f>
        <v>0</v>
      </c>
      <c r="R389" s="409">
        <f t="shared" ref="R389:R440" si="100">P389*1.19</f>
        <v>50534.941128322251</v>
      </c>
      <c r="S389" s="410">
        <f>INDEX(FX!$D$3:$O$19,MATCH(B389,FX!$B$3:$B$32,0),MATCH(D389,FX!$D$2:$O$2,0))</f>
        <v>919</v>
      </c>
      <c r="T389" s="401" t="s">
        <v>81</v>
      </c>
      <c r="U389" s="401" t="s">
        <v>32</v>
      </c>
      <c r="V389" s="401" t="s">
        <v>83</v>
      </c>
      <c r="W389" s="405" t="str">
        <f>VLOOKUP(I389,Map!$F$18:$H$51,3,0)</f>
        <v>Variable</v>
      </c>
      <c r="X389" s="411" t="s">
        <v>172</v>
      </c>
      <c r="Y389" s="405" t="str">
        <f>VLOOKUP(L389,Map!$C$18:$D$29,2,0)</f>
        <v>CNT</v>
      </c>
      <c r="Z389" s="406"/>
      <c r="AA389" s="407">
        <f t="shared" ref="AA389:AA440" si="101">IF(Y389="TOTAL",(Z389*0.19),0)</f>
        <v>0</v>
      </c>
      <c r="AB389" s="407">
        <f t="shared" ref="AB389:AB440" si="102">Z389*1.19</f>
        <v>0</v>
      </c>
      <c r="AC389" s="408">
        <f t="shared" ref="AC389:AC440" si="103">Z389/S389</f>
        <v>0</v>
      </c>
      <c r="AD389" s="408">
        <f t="shared" ref="AD389:AD440" si="104">IF(Y389="TOTAL",(AC389*0.19),0)</f>
        <v>0</v>
      </c>
      <c r="AE389" s="409">
        <f t="shared" ref="AE389:AE440" si="105">AC389*1.19</f>
        <v>0</v>
      </c>
      <c r="AF389" s="412"/>
    </row>
    <row r="390" spans="2:32" s="1" customFormat="1" ht="13" hidden="1" x14ac:dyDescent="0.3">
      <c r="B390" s="383">
        <v>2026</v>
      </c>
      <c r="C390" s="361" t="s">
        <v>405</v>
      </c>
      <c r="D390" s="361" t="s">
        <v>87</v>
      </c>
      <c r="E390" s="360" t="s">
        <v>177</v>
      </c>
      <c r="F390" s="360" t="s">
        <v>172</v>
      </c>
      <c r="G390" s="362"/>
      <c r="H390" s="363">
        <v>494026</v>
      </c>
      <c r="I390" s="360" t="s">
        <v>29</v>
      </c>
      <c r="J390" s="364" t="str">
        <f>IFERROR(VLOOKUP(I390,Map!$F$18:$G$56,2,0),"Add in Map")</f>
        <v>3P</v>
      </c>
      <c r="K390" s="364" t="str">
        <f>VLOOKUP(L390,Map!$C$18:$D$29,2,0)</f>
        <v>CVT</v>
      </c>
      <c r="L390" s="360" t="s">
        <v>36</v>
      </c>
      <c r="M390" s="365">
        <v>0</v>
      </c>
      <c r="N390" s="366">
        <f t="shared" si="96"/>
        <v>0</v>
      </c>
      <c r="O390" s="366">
        <f t="shared" si="97"/>
        <v>0</v>
      </c>
      <c r="P390" s="367">
        <f t="shared" si="98"/>
        <v>0</v>
      </c>
      <c r="Q390" s="367">
        <f t="shared" si="99"/>
        <v>0</v>
      </c>
      <c r="R390" s="368">
        <f t="shared" si="100"/>
        <v>0</v>
      </c>
      <c r="S390" s="384">
        <f>INDEX(FX!$D$3:$O$19,MATCH(B390,FX!$B$3:$B$32,0),MATCH(D390,FX!$D$2:$O$2,0))</f>
        <v>919</v>
      </c>
      <c r="T390" s="360" t="s">
        <v>81</v>
      </c>
      <c r="U390" s="360" t="s">
        <v>32</v>
      </c>
      <c r="V390" s="360" t="s">
        <v>83</v>
      </c>
      <c r="W390" s="364" t="str">
        <f>VLOOKUP(I390,Map!$F$18:$H$51,3,0)</f>
        <v>Variable</v>
      </c>
      <c r="X390" s="370" t="s">
        <v>172</v>
      </c>
      <c r="Y390" s="364" t="str">
        <f>VLOOKUP(L390,Map!$C$18:$D$29,2,0)</f>
        <v>CVT</v>
      </c>
      <c r="Z390" s="365"/>
      <c r="AA390" s="366">
        <f t="shared" si="101"/>
        <v>0</v>
      </c>
      <c r="AB390" s="366">
        <f t="shared" si="102"/>
        <v>0</v>
      </c>
      <c r="AC390" s="367">
        <f t="shared" si="103"/>
        <v>0</v>
      </c>
      <c r="AD390" s="367">
        <f t="shared" si="104"/>
        <v>0</v>
      </c>
      <c r="AE390" s="368">
        <f t="shared" si="105"/>
        <v>0</v>
      </c>
      <c r="AF390" s="385"/>
    </row>
    <row r="391" spans="2:32" s="1" customFormat="1" ht="13" hidden="1" x14ac:dyDescent="0.3">
      <c r="B391" s="383">
        <v>2026</v>
      </c>
      <c r="C391" s="361" t="s">
        <v>405</v>
      </c>
      <c r="D391" s="361" t="s">
        <v>87</v>
      </c>
      <c r="E391" s="360" t="s">
        <v>177</v>
      </c>
      <c r="F391" s="360" t="s">
        <v>172</v>
      </c>
      <c r="G391" s="362"/>
      <c r="H391" s="363">
        <v>494026</v>
      </c>
      <c r="I391" s="360" t="s">
        <v>29</v>
      </c>
      <c r="J391" s="364" t="str">
        <f>IFERROR(VLOOKUP(I391,Map!$F$18:$G$56,2,0),"Add in Map")</f>
        <v>3P</v>
      </c>
      <c r="K391" s="364" t="str">
        <f>VLOOKUP(L391,Map!$C$18:$D$29,2,0)</f>
        <v>CDT</v>
      </c>
      <c r="L391" s="360" t="s">
        <v>38</v>
      </c>
      <c r="M391" s="365">
        <v>473160.78820911876</v>
      </c>
      <c r="N391" s="366">
        <f t="shared" si="96"/>
        <v>0</v>
      </c>
      <c r="O391" s="366">
        <f t="shared" si="97"/>
        <v>563061.33796885132</v>
      </c>
      <c r="P391" s="367">
        <f t="shared" si="98"/>
        <v>514.86484027107588</v>
      </c>
      <c r="Q391" s="367">
        <f t="shared" si="99"/>
        <v>0</v>
      </c>
      <c r="R391" s="368">
        <f t="shared" si="100"/>
        <v>612.6891599225803</v>
      </c>
      <c r="S391" s="384">
        <f>INDEX(FX!$D$3:$O$19,MATCH(B391,FX!$B$3:$B$32,0),MATCH(D391,FX!$D$2:$O$2,0))</f>
        <v>919</v>
      </c>
      <c r="T391" s="360" t="s">
        <v>81</v>
      </c>
      <c r="U391" s="360" t="s">
        <v>32</v>
      </c>
      <c r="V391" s="360" t="s">
        <v>83</v>
      </c>
      <c r="W391" s="364" t="str">
        <f>VLOOKUP(I391,Map!$F$18:$H$51,3,0)</f>
        <v>Variable</v>
      </c>
      <c r="X391" s="370" t="s">
        <v>172</v>
      </c>
      <c r="Y391" s="364" t="str">
        <f>VLOOKUP(L391,Map!$C$18:$D$29,2,0)</f>
        <v>CDT</v>
      </c>
      <c r="Z391" s="365"/>
      <c r="AA391" s="366">
        <f t="shared" si="101"/>
        <v>0</v>
      </c>
      <c r="AB391" s="366">
        <f t="shared" si="102"/>
        <v>0</v>
      </c>
      <c r="AC391" s="367">
        <f t="shared" si="103"/>
        <v>0</v>
      </c>
      <c r="AD391" s="367">
        <f t="shared" si="104"/>
        <v>0</v>
      </c>
      <c r="AE391" s="368">
        <f t="shared" si="105"/>
        <v>0</v>
      </c>
      <c r="AF391" s="385"/>
    </row>
    <row r="392" spans="2:32" s="1" customFormat="1" ht="13" hidden="1" x14ac:dyDescent="0.3">
      <c r="B392" s="383">
        <v>2026</v>
      </c>
      <c r="C392" s="361" t="s">
        <v>405</v>
      </c>
      <c r="D392" s="361" t="s">
        <v>87</v>
      </c>
      <c r="E392" s="360" t="s">
        <v>177</v>
      </c>
      <c r="F392" s="360" t="s">
        <v>172</v>
      </c>
      <c r="G392" s="362"/>
      <c r="H392" s="363">
        <v>494026</v>
      </c>
      <c r="I392" s="360" t="s">
        <v>29</v>
      </c>
      <c r="J392" s="364" t="str">
        <f>IFERROR(VLOOKUP(I392,Map!$F$18:$G$56,2,0),"Add in Map")</f>
        <v>3P</v>
      </c>
      <c r="K392" s="364" t="str">
        <f>VLOOKUP(L392,Map!$C$18:$D$29,2,0)</f>
        <v>DFT</v>
      </c>
      <c r="L392" s="360" t="s">
        <v>40</v>
      </c>
      <c r="M392" s="365">
        <v>90612105.831013575</v>
      </c>
      <c r="N392" s="366">
        <f t="shared" si="96"/>
        <v>0</v>
      </c>
      <c r="O392" s="366">
        <f t="shared" si="97"/>
        <v>107828405.93890615</v>
      </c>
      <c r="P392" s="367">
        <f t="shared" si="98"/>
        <v>98598.591763888544</v>
      </c>
      <c r="Q392" s="367">
        <f t="shared" si="99"/>
        <v>0</v>
      </c>
      <c r="R392" s="368">
        <f t="shared" si="100"/>
        <v>117332.32419902737</v>
      </c>
      <c r="S392" s="384">
        <f>INDEX(FX!$D$3:$O$19,MATCH(B392,FX!$B$3:$B$32,0),MATCH(D392,FX!$D$2:$O$2,0))</f>
        <v>919</v>
      </c>
      <c r="T392" s="360" t="s">
        <v>81</v>
      </c>
      <c r="U392" s="360" t="s">
        <v>32</v>
      </c>
      <c r="V392" s="360" t="s">
        <v>83</v>
      </c>
      <c r="W392" s="364" t="str">
        <f>VLOOKUP(I392,Map!$F$18:$H$51,3,0)</f>
        <v>Variable</v>
      </c>
      <c r="X392" s="370" t="s">
        <v>172</v>
      </c>
      <c r="Y392" s="364" t="str">
        <f>VLOOKUP(L392,Map!$C$18:$D$29,2,0)</f>
        <v>DFT</v>
      </c>
      <c r="Z392" s="365"/>
      <c r="AA392" s="366">
        <f t="shared" si="101"/>
        <v>0</v>
      </c>
      <c r="AB392" s="366">
        <f t="shared" si="102"/>
        <v>0</v>
      </c>
      <c r="AC392" s="367">
        <f t="shared" si="103"/>
        <v>0</v>
      </c>
      <c r="AD392" s="367">
        <f t="shared" si="104"/>
        <v>0</v>
      </c>
      <c r="AE392" s="368">
        <f t="shared" si="105"/>
        <v>0</v>
      </c>
      <c r="AF392" s="385"/>
    </row>
    <row r="393" spans="2:32" s="1" customFormat="1" ht="13" hidden="1" x14ac:dyDescent="0.3">
      <c r="B393" s="383">
        <v>2026</v>
      </c>
      <c r="C393" s="361" t="s">
        <v>405</v>
      </c>
      <c r="D393" s="361" t="s">
        <v>87</v>
      </c>
      <c r="E393" s="360" t="s">
        <v>177</v>
      </c>
      <c r="F393" s="360" t="s">
        <v>172</v>
      </c>
      <c r="G393" s="362"/>
      <c r="H393" s="363">
        <v>494026</v>
      </c>
      <c r="I393" s="360" t="s">
        <v>29</v>
      </c>
      <c r="J393" s="364" t="str">
        <f>IFERROR(VLOOKUP(I393,Map!$F$18:$G$56,2,0),"Add in Map")</f>
        <v>3P</v>
      </c>
      <c r="K393" s="364" t="str">
        <f>VLOOKUP(L393,Map!$C$18:$D$29,2,0)</f>
        <v>DVT</v>
      </c>
      <c r="L393" s="360" t="s">
        <v>42</v>
      </c>
      <c r="M393" s="365">
        <v>0</v>
      </c>
      <c r="N393" s="366">
        <f t="shared" si="96"/>
        <v>0</v>
      </c>
      <c r="O393" s="366">
        <f t="shared" si="97"/>
        <v>0</v>
      </c>
      <c r="P393" s="367">
        <f t="shared" si="98"/>
        <v>0</v>
      </c>
      <c r="Q393" s="367">
        <f t="shared" si="99"/>
        <v>0</v>
      </c>
      <c r="R393" s="368">
        <f t="shared" si="100"/>
        <v>0</v>
      </c>
      <c r="S393" s="384">
        <f>INDEX(FX!$D$3:$O$19,MATCH(B393,FX!$B$3:$B$32,0),MATCH(D393,FX!$D$2:$O$2,0))</f>
        <v>919</v>
      </c>
      <c r="T393" s="360" t="s">
        <v>81</v>
      </c>
      <c r="U393" s="360" t="s">
        <v>32</v>
      </c>
      <c r="V393" s="360" t="s">
        <v>83</v>
      </c>
      <c r="W393" s="364" t="str">
        <f>VLOOKUP(I393,Map!$F$18:$H$51,3,0)</f>
        <v>Variable</v>
      </c>
      <c r="X393" s="370" t="s">
        <v>172</v>
      </c>
      <c r="Y393" s="364" t="str">
        <f>VLOOKUP(L393,Map!$C$18:$D$29,2,0)</f>
        <v>DVT</v>
      </c>
      <c r="Z393" s="365"/>
      <c r="AA393" s="366">
        <f t="shared" si="101"/>
        <v>0</v>
      </c>
      <c r="AB393" s="366">
        <f t="shared" si="102"/>
        <v>0</v>
      </c>
      <c r="AC393" s="367">
        <f t="shared" si="103"/>
        <v>0</v>
      </c>
      <c r="AD393" s="367">
        <f t="shared" si="104"/>
        <v>0</v>
      </c>
      <c r="AE393" s="368">
        <f t="shared" si="105"/>
        <v>0</v>
      </c>
      <c r="AF393" s="385"/>
    </row>
    <row r="394" spans="2:32" s="1" customFormat="1" ht="13" hidden="1" x14ac:dyDescent="0.3">
      <c r="B394" s="383">
        <v>2026</v>
      </c>
      <c r="C394" s="361" t="s">
        <v>405</v>
      </c>
      <c r="D394" s="361" t="s">
        <v>87</v>
      </c>
      <c r="E394" s="360" t="s">
        <v>177</v>
      </c>
      <c r="F394" s="360" t="s">
        <v>172</v>
      </c>
      <c r="G394" s="362"/>
      <c r="H394" s="363">
        <v>494026</v>
      </c>
      <c r="I394" s="360" t="s">
        <v>29</v>
      </c>
      <c r="J394" s="364" t="str">
        <f>IFERROR(VLOOKUP(I394,Map!$F$18:$G$56,2,0),"Add in Map")</f>
        <v>3P</v>
      </c>
      <c r="K394" s="364" t="str">
        <f>VLOOKUP(L394,Map!$C$18:$D$29,2,0)</f>
        <v>GLT</v>
      </c>
      <c r="L394" s="360" t="s">
        <v>44</v>
      </c>
      <c r="M394" s="365">
        <v>57911326.961136214</v>
      </c>
      <c r="N394" s="366">
        <f t="shared" si="96"/>
        <v>0</v>
      </c>
      <c r="O394" s="366">
        <f t="shared" si="97"/>
        <v>68914479.083752096</v>
      </c>
      <c r="P394" s="367">
        <f t="shared" si="98"/>
        <v>63015.589729201536</v>
      </c>
      <c r="Q394" s="367">
        <f t="shared" si="99"/>
        <v>0</v>
      </c>
      <c r="R394" s="368">
        <f t="shared" si="100"/>
        <v>74988.551777749832</v>
      </c>
      <c r="S394" s="384">
        <f>INDEX(FX!$D$3:$O$19,MATCH(B394,FX!$B$3:$B$32,0),MATCH(D394,FX!$D$2:$O$2,0))</f>
        <v>919</v>
      </c>
      <c r="T394" s="360" t="s">
        <v>81</v>
      </c>
      <c r="U394" s="360" t="s">
        <v>32</v>
      </c>
      <c r="V394" s="360" t="s">
        <v>83</v>
      </c>
      <c r="W394" s="364" t="str">
        <f>VLOOKUP(I394,Map!$F$18:$H$51,3,0)</f>
        <v>Variable</v>
      </c>
      <c r="X394" s="370" t="s">
        <v>172</v>
      </c>
      <c r="Y394" s="364" t="str">
        <f>VLOOKUP(L394,Map!$C$18:$D$29,2,0)</f>
        <v>GLT</v>
      </c>
      <c r="Z394" s="365"/>
      <c r="AA394" s="366">
        <f t="shared" si="101"/>
        <v>0</v>
      </c>
      <c r="AB394" s="366">
        <f t="shared" si="102"/>
        <v>0</v>
      </c>
      <c r="AC394" s="367">
        <f t="shared" si="103"/>
        <v>0</v>
      </c>
      <c r="AD394" s="367">
        <f t="shared" si="104"/>
        <v>0</v>
      </c>
      <c r="AE394" s="368">
        <f t="shared" si="105"/>
        <v>0</v>
      </c>
      <c r="AF394" s="385"/>
    </row>
    <row r="395" spans="2:32" s="1" customFormat="1" ht="13" hidden="1" x14ac:dyDescent="0.3">
      <c r="B395" s="383">
        <v>2026</v>
      </c>
      <c r="C395" s="361" t="s">
        <v>405</v>
      </c>
      <c r="D395" s="361" t="s">
        <v>87</v>
      </c>
      <c r="E395" s="360" t="s">
        <v>177</v>
      </c>
      <c r="F395" s="360" t="s">
        <v>172</v>
      </c>
      <c r="G395" s="362"/>
      <c r="H395" s="363">
        <v>494026</v>
      </c>
      <c r="I395" s="360" t="s">
        <v>29</v>
      </c>
      <c r="J395" s="364" t="str">
        <f>IFERROR(VLOOKUP(I395,Map!$F$18:$G$56,2,0),"Add in Map")</f>
        <v>3P</v>
      </c>
      <c r="K395" s="364" t="str">
        <f>VLOOKUP(L395,Map!$C$18:$D$29,2,0)</f>
        <v>PNT</v>
      </c>
      <c r="L395" s="360" t="s">
        <v>46</v>
      </c>
      <c r="M395" s="365">
        <v>5584927.54774296</v>
      </c>
      <c r="N395" s="366">
        <f t="shared" si="96"/>
        <v>0</v>
      </c>
      <c r="O395" s="366">
        <f t="shared" si="97"/>
        <v>6646063.7818141226</v>
      </c>
      <c r="P395" s="367">
        <f t="shared" si="98"/>
        <v>6077.179050862851</v>
      </c>
      <c r="Q395" s="367">
        <f t="shared" si="99"/>
        <v>0</v>
      </c>
      <c r="R395" s="368">
        <f t="shared" si="100"/>
        <v>7231.843070526792</v>
      </c>
      <c r="S395" s="384">
        <f>INDEX(FX!$D$3:$O$19,MATCH(B395,FX!$B$3:$B$32,0),MATCH(D395,FX!$D$2:$O$2,0))</f>
        <v>919</v>
      </c>
      <c r="T395" s="360" t="s">
        <v>81</v>
      </c>
      <c r="U395" s="360" t="s">
        <v>32</v>
      </c>
      <c r="V395" s="360" t="s">
        <v>83</v>
      </c>
      <c r="W395" s="364" t="str">
        <f>VLOOKUP(I395,Map!$F$18:$H$51,3,0)</f>
        <v>Variable</v>
      </c>
      <c r="X395" s="370" t="s">
        <v>172</v>
      </c>
      <c r="Y395" s="364" t="str">
        <f>VLOOKUP(L395,Map!$C$18:$D$29,2,0)</f>
        <v>PNT</v>
      </c>
      <c r="Z395" s="365"/>
      <c r="AA395" s="366">
        <f t="shared" si="101"/>
        <v>0</v>
      </c>
      <c r="AB395" s="366">
        <f t="shared" si="102"/>
        <v>0</v>
      </c>
      <c r="AC395" s="367">
        <f t="shared" si="103"/>
        <v>0</v>
      </c>
      <c r="AD395" s="367">
        <f t="shared" si="104"/>
        <v>0</v>
      </c>
      <c r="AE395" s="368">
        <f t="shared" si="105"/>
        <v>0</v>
      </c>
      <c r="AF395" s="385"/>
    </row>
    <row r="396" spans="2:32" s="1" customFormat="1" ht="13" hidden="1" x14ac:dyDescent="0.3">
      <c r="B396" s="383">
        <v>2026</v>
      </c>
      <c r="C396" s="361" t="s">
        <v>405</v>
      </c>
      <c r="D396" s="361" t="s">
        <v>87</v>
      </c>
      <c r="E396" s="360" t="s">
        <v>177</v>
      </c>
      <c r="F396" s="360" t="s">
        <v>172</v>
      </c>
      <c r="G396" s="362"/>
      <c r="H396" s="363">
        <v>494026</v>
      </c>
      <c r="I396" s="360" t="s">
        <v>29</v>
      </c>
      <c r="J396" s="364" t="str">
        <f>IFERROR(VLOOKUP(I396,Map!$F$18:$G$56,2,0),"Add in Map")</f>
        <v>3P</v>
      </c>
      <c r="K396" s="364" t="str">
        <f>VLOOKUP(L396,Map!$C$18:$D$29,2,0)</f>
        <v>GTT</v>
      </c>
      <c r="L396" s="360" t="s">
        <v>48</v>
      </c>
      <c r="M396" s="365">
        <v>8834891.8793289121</v>
      </c>
      <c r="N396" s="366">
        <f t="shared" si="96"/>
        <v>0</v>
      </c>
      <c r="O396" s="366">
        <f t="shared" si="97"/>
        <v>10513521.336401405</v>
      </c>
      <c r="P396" s="367">
        <f t="shared" si="98"/>
        <v>9613.5929046016463</v>
      </c>
      <c r="Q396" s="367">
        <f t="shared" si="99"/>
        <v>0</v>
      </c>
      <c r="R396" s="368">
        <f t="shared" si="100"/>
        <v>11440.175556475959</v>
      </c>
      <c r="S396" s="384">
        <f>INDEX(FX!$D$3:$O$19,MATCH(B396,FX!$B$3:$B$32,0),MATCH(D396,FX!$D$2:$O$2,0))</f>
        <v>919</v>
      </c>
      <c r="T396" s="360" t="s">
        <v>81</v>
      </c>
      <c r="U396" s="360" t="s">
        <v>32</v>
      </c>
      <c r="V396" s="360" t="s">
        <v>83</v>
      </c>
      <c r="W396" s="364" t="str">
        <f>VLOOKUP(I396,Map!$F$18:$H$51,3,0)</f>
        <v>Variable</v>
      </c>
      <c r="X396" s="370" t="s">
        <v>172</v>
      </c>
      <c r="Y396" s="364" t="str">
        <f>VLOOKUP(L396,Map!$C$18:$D$29,2,0)</f>
        <v>GTT</v>
      </c>
      <c r="Z396" s="365"/>
      <c r="AA396" s="366">
        <f t="shared" si="101"/>
        <v>0</v>
      </c>
      <c r="AB396" s="366">
        <f t="shared" si="102"/>
        <v>0</v>
      </c>
      <c r="AC396" s="367">
        <f t="shared" si="103"/>
        <v>0</v>
      </c>
      <c r="AD396" s="367">
        <f t="shared" si="104"/>
        <v>0</v>
      </c>
      <c r="AE396" s="368">
        <f t="shared" si="105"/>
        <v>0</v>
      </c>
      <c r="AF396" s="385"/>
    </row>
    <row r="397" spans="2:32" s="1" customFormat="1" ht="13" hidden="1" x14ac:dyDescent="0.3">
      <c r="B397" s="383">
        <v>2026</v>
      </c>
      <c r="C397" s="361" t="s">
        <v>405</v>
      </c>
      <c r="D397" s="361" t="s">
        <v>87</v>
      </c>
      <c r="E397" s="360" t="s">
        <v>177</v>
      </c>
      <c r="F397" s="360" t="s">
        <v>172</v>
      </c>
      <c r="G397" s="362"/>
      <c r="H397" s="363">
        <v>494026</v>
      </c>
      <c r="I397" s="360" t="s">
        <v>29</v>
      </c>
      <c r="J397" s="364" t="str">
        <f>IFERROR(VLOOKUP(I397,Map!$F$18:$G$56,2,0),"Add in Map")</f>
        <v>3P</v>
      </c>
      <c r="K397" s="364" t="str">
        <f>VLOOKUP(L397,Map!$C$18:$D$29,2,0)</f>
        <v>DGT</v>
      </c>
      <c r="L397" s="360" t="s">
        <v>50</v>
      </c>
      <c r="M397" s="365">
        <v>887073.71751840529</v>
      </c>
      <c r="N397" s="366">
        <f t="shared" si="96"/>
        <v>0</v>
      </c>
      <c r="O397" s="366">
        <f t="shared" si="97"/>
        <v>1055617.7238469021</v>
      </c>
      <c r="P397" s="367">
        <f t="shared" si="98"/>
        <v>965.25975790903726</v>
      </c>
      <c r="Q397" s="367">
        <f t="shared" si="99"/>
        <v>0</v>
      </c>
      <c r="R397" s="368">
        <f t="shared" si="100"/>
        <v>1148.6591119117543</v>
      </c>
      <c r="S397" s="384">
        <f>INDEX(FX!$D$3:$O$19,MATCH(B397,FX!$B$3:$B$32,0),MATCH(D397,FX!$D$2:$O$2,0))</f>
        <v>919</v>
      </c>
      <c r="T397" s="360" t="s">
        <v>81</v>
      </c>
      <c r="U397" s="360" t="s">
        <v>32</v>
      </c>
      <c r="V397" s="360" t="s">
        <v>83</v>
      </c>
      <c r="W397" s="364" t="str">
        <f>VLOOKUP(I397,Map!$F$18:$H$51,3,0)</f>
        <v>Variable</v>
      </c>
      <c r="X397" s="370" t="s">
        <v>172</v>
      </c>
      <c r="Y397" s="364" t="str">
        <f>VLOOKUP(L397,Map!$C$18:$D$29,2,0)</f>
        <v>DGT</v>
      </c>
      <c r="Z397" s="365"/>
      <c r="AA397" s="366">
        <f t="shared" si="101"/>
        <v>0</v>
      </c>
      <c r="AB397" s="366">
        <f t="shared" si="102"/>
        <v>0</v>
      </c>
      <c r="AC397" s="367">
        <f t="shared" si="103"/>
        <v>0</v>
      </c>
      <c r="AD397" s="367">
        <f t="shared" si="104"/>
        <v>0</v>
      </c>
      <c r="AE397" s="368">
        <f t="shared" si="105"/>
        <v>0</v>
      </c>
      <c r="AF397" s="385"/>
    </row>
    <row r="398" spans="2:32" s="1" customFormat="1" ht="13" hidden="1" x14ac:dyDescent="0.3">
      <c r="B398" s="383">
        <v>2026</v>
      </c>
      <c r="C398" s="361" t="s">
        <v>405</v>
      </c>
      <c r="D398" s="361" t="s">
        <v>87</v>
      </c>
      <c r="E398" s="360" t="s">
        <v>177</v>
      </c>
      <c r="F398" s="360" t="s">
        <v>172</v>
      </c>
      <c r="G398" s="362"/>
      <c r="H398" s="363">
        <v>494026</v>
      </c>
      <c r="I398" s="360" t="s">
        <v>29</v>
      </c>
      <c r="J398" s="364" t="str">
        <f>IFERROR(VLOOKUP(I398,Map!$F$18:$G$56,2,0),"Add in Map")</f>
        <v>3P</v>
      </c>
      <c r="K398" s="364" t="str">
        <f>VLOOKUP(L398,Map!$C$18:$D$29,2,0)</f>
        <v>DLT</v>
      </c>
      <c r="L398" s="360" t="s">
        <v>52</v>
      </c>
      <c r="M398" s="365">
        <v>0</v>
      </c>
      <c r="N398" s="366">
        <f t="shared" si="96"/>
        <v>0</v>
      </c>
      <c r="O398" s="366">
        <f t="shared" si="97"/>
        <v>0</v>
      </c>
      <c r="P398" s="367">
        <f t="shared" si="98"/>
        <v>0</v>
      </c>
      <c r="Q398" s="367">
        <f t="shared" si="99"/>
        <v>0</v>
      </c>
      <c r="R398" s="368">
        <f t="shared" si="100"/>
        <v>0</v>
      </c>
      <c r="S398" s="384">
        <f>INDEX(FX!$D$3:$O$19,MATCH(B398,FX!$B$3:$B$32,0),MATCH(D398,FX!$D$2:$O$2,0))</f>
        <v>919</v>
      </c>
      <c r="T398" s="360" t="s">
        <v>81</v>
      </c>
      <c r="U398" s="360" t="s">
        <v>32</v>
      </c>
      <c r="V398" s="360" t="s">
        <v>83</v>
      </c>
      <c r="W398" s="364" t="str">
        <f>VLOOKUP(I398,Map!$F$18:$H$51,3,0)</f>
        <v>Variable</v>
      </c>
      <c r="X398" s="370" t="s">
        <v>172</v>
      </c>
      <c r="Y398" s="364" t="str">
        <f>VLOOKUP(L398,Map!$C$18:$D$29,2,0)</f>
        <v>DLT</v>
      </c>
      <c r="Z398" s="365"/>
      <c r="AA398" s="366">
        <f t="shared" si="101"/>
        <v>0</v>
      </c>
      <c r="AB398" s="366">
        <f t="shared" si="102"/>
        <v>0</v>
      </c>
      <c r="AC398" s="367">
        <f t="shared" si="103"/>
        <v>0</v>
      </c>
      <c r="AD398" s="367">
        <f t="shared" si="104"/>
        <v>0</v>
      </c>
      <c r="AE398" s="368">
        <f t="shared" si="105"/>
        <v>0</v>
      </c>
      <c r="AF398" s="385"/>
    </row>
    <row r="399" spans="2:32" s="1" customFormat="1" ht="13" hidden="1" x14ac:dyDescent="0.3">
      <c r="B399" s="383">
        <v>2026</v>
      </c>
      <c r="C399" s="361" t="s">
        <v>405</v>
      </c>
      <c r="D399" s="361" t="s">
        <v>87</v>
      </c>
      <c r="E399" s="360" t="s">
        <v>177</v>
      </c>
      <c r="F399" s="360" t="s">
        <v>172</v>
      </c>
      <c r="G399" s="362"/>
      <c r="H399" s="363">
        <v>494026</v>
      </c>
      <c r="I399" s="360" t="s">
        <v>29</v>
      </c>
      <c r="J399" s="364" t="str">
        <f>IFERROR(VLOOKUP(I399,Map!$F$18:$G$56,2,0),"Add in Map")</f>
        <v>3P</v>
      </c>
      <c r="K399" s="364" t="str">
        <f>VLOOKUP(L399,Map!$C$18:$D$29,2,0)</f>
        <v>DMT</v>
      </c>
      <c r="L399" s="360" t="s">
        <v>54</v>
      </c>
      <c r="M399" s="365">
        <v>0</v>
      </c>
      <c r="N399" s="366">
        <f t="shared" si="96"/>
        <v>0</v>
      </c>
      <c r="O399" s="366">
        <f t="shared" si="97"/>
        <v>0</v>
      </c>
      <c r="P399" s="386">
        <f t="shared" si="98"/>
        <v>0</v>
      </c>
      <c r="Q399" s="367">
        <f t="shared" si="99"/>
        <v>0</v>
      </c>
      <c r="R399" s="368">
        <f t="shared" si="100"/>
        <v>0</v>
      </c>
      <c r="S399" s="384">
        <f>INDEX(FX!$D$3:$O$19,MATCH(B399,FX!$B$3:$B$32,0),MATCH(D399,FX!$D$2:$O$2,0))</f>
        <v>919</v>
      </c>
      <c r="T399" s="360" t="s">
        <v>81</v>
      </c>
      <c r="U399" s="360" t="s">
        <v>32</v>
      </c>
      <c r="V399" s="360" t="s">
        <v>83</v>
      </c>
      <c r="W399" s="364" t="str">
        <f>VLOOKUP(I399,Map!$F$18:$H$51,3,0)</f>
        <v>Variable</v>
      </c>
      <c r="X399" s="370" t="s">
        <v>172</v>
      </c>
      <c r="Y399" s="364" t="str">
        <f>VLOOKUP(L399,Map!$C$18:$D$29,2,0)</f>
        <v>DMT</v>
      </c>
      <c r="Z399" s="365"/>
      <c r="AA399" s="366">
        <f t="shared" si="101"/>
        <v>0</v>
      </c>
      <c r="AB399" s="366">
        <f t="shared" si="102"/>
        <v>0</v>
      </c>
      <c r="AC399" s="386">
        <f t="shared" si="103"/>
        <v>0</v>
      </c>
      <c r="AD399" s="367">
        <f t="shared" si="104"/>
        <v>0</v>
      </c>
      <c r="AE399" s="368">
        <f t="shared" si="105"/>
        <v>0</v>
      </c>
      <c r="AF399" s="385"/>
    </row>
    <row r="400" spans="2:32" s="37" customFormat="1" hidden="1" x14ac:dyDescent="0.35">
      <c r="B400" s="387">
        <v>2026</v>
      </c>
      <c r="C400" s="389" t="s">
        <v>405</v>
      </c>
      <c r="D400" s="389" t="s">
        <v>87</v>
      </c>
      <c r="E400" s="388" t="s">
        <v>177</v>
      </c>
      <c r="F400" s="388" t="s">
        <v>172</v>
      </c>
      <c r="G400" s="390"/>
      <c r="H400" s="391">
        <v>494026</v>
      </c>
      <c r="I400" s="388" t="s">
        <v>29</v>
      </c>
      <c r="J400" s="392" t="str">
        <f>IFERROR(VLOOKUP(I400,Map!$F$18:$G$56,2,0),"Add in Map")</f>
        <v>3P</v>
      </c>
      <c r="K400" s="392" t="str">
        <f>VLOOKUP(L400,Map!$C$18:$D$29,2,0)</f>
        <v>TOTAL</v>
      </c>
      <c r="L400" s="388" t="s">
        <v>56</v>
      </c>
      <c r="M400" s="393">
        <f>SUM(M389:M399)</f>
        <v>203330050.50388041</v>
      </c>
      <c r="N400" s="393">
        <f t="shared" si="96"/>
        <v>38632709.595737278</v>
      </c>
      <c r="O400" s="393">
        <f t="shared" si="97"/>
        <v>241962760.09961769</v>
      </c>
      <c r="P400" s="394">
        <f t="shared" si="98"/>
        <v>221251.41512935844</v>
      </c>
      <c r="Q400" s="394">
        <f t="shared" si="99"/>
        <v>42037.768874578105</v>
      </c>
      <c r="R400" s="395">
        <f t="shared" si="100"/>
        <v>263289.18400393653</v>
      </c>
      <c r="S400" s="396">
        <f>INDEX(FX!$D$3:$O$19,MATCH(B400,FX!$B$3:$B$32,0),MATCH(D400,FX!$D$2:$O$2,0))</f>
        <v>919</v>
      </c>
      <c r="T400" s="388" t="s">
        <v>81</v>
      </c>
      <c r="U400" s="388" t="s">
        <v>32</v>
      </c>
      <c r="V400" s="388" t="s">
        <v>83</v>
      </c>
      <c r="W400" s="392" t="str">
        <f>VLOOKUP(I400,Map!$F$18:$H$51,3,0)</f>
        <v>Variable</v>
      </c>
      <c r="X400" s="397" t="s">
        <v>172</v>
      </c>
      <c r="Y400" s="392" t="str">
        <f>VLOOKUP(L400,Map!$C$18:$D$29,2,0)</f>
        <v>TOTAL</v>
      </c>
      <c r="Z400" s="413"/>
      <c r="AA400" s="393">
        <f t="shared" si="101"/>
        <v>0</v>
      </c>
      <c r="AB400" s="393">
        <f t="shared" si="102"/>
        <v>0</v>
      </c>
      <c r="AC400" s="394">
        <f t="shared" si="103"/>
        <v>0</v>
      </c>
      <c r="AD400" s="394">
        <f t="shared" si="104"/>
        <v>0</v>
      </c>
      <c r="AE400" s="395">
        <f t="shared" si="105"/>
        <v>0</v>
      </c>
      <c r="AF400" s="398"/>
    </row>
    <row r="401" spans="2:33" s="5" customFormat="1" ht="13" hidden="1" x14ac:dyDescent="0.3">
      <c r="B401" s="400">
        <v>2026</v>
      </c>
      <c r="C401" s="402" t="s">
        <v>405</v>
      </c>
      <c r="D401" s="402" t="s">
        <v>87</v>
      </c>
      <c r="E401" s="401" t="s">
        <v>177</v>
      </c>
      <c r="F401" s="401" t="s">
        <v>172</v>
      </c>
      <c r="G401" s="403"/>
      <c r="H401" s="404">
        <v>459689</v>
      </c>
      <c r="I401" s="401" t="s">
        <v>29</v>
      </c>
      <c r="J401" s="405" t="str">
        <f>IFERROR(VLOOKUP(I401,Map!$F$18:$G$56,2,0),"Add in Map")</f>
        <v>3P</v>
      </c>
      <c r="K401" s="405" t="str">
        <f>VLOOKUP(L401,Map!$C$18:$D$29,2,0)</f>
        <v>CNT</v>
      </c>
      <c r="L401" s="401" t="s">
        <v>31</v>
      </c>
      <c r="M401" s="406">
        <v>-15797376.319633977</v>
      </c>
      <c r="N401" s="407">
        <f t="shared" si="96"/>
        <v>0</v>
      </c>
      <c r="O401" s="407">
        <f t="shared" si="97"/>
        <v>-18798877.820364431</v>
      </c>
      <c r="P401" s="408">
        <f t="shared" si="98"/>
        <v>-17189.745723214339</v>
      </c>
      <c r="Q401" s="408">
        <f t="shared" si="99"/>
        <v>0</v>
      </c>
      <c r="R401" s="409">
        <f t="shared" si="100"/>
        <v>-20455.797410625062</v>
      </c>
      <c r="S401" s="410">
        <f>INDEX(FX!$D$3:$O$19,MATCH(B401,FX!$B$3:$B$32,0),MATCH(D401,FX!$D$2:$O$2,0))</f>
        <v>919</v>
      </c>
      <c r="T401" s="401" t="s">
        <v>81</v>
      </c>
      <c r="U401" s="401" t="s">
        <v>32</v>
      </c>
      <c r="V401" s="401" t="s">
        <v>93</v>
      </c>
      <c r="W401" s="405" t="str">
        <f>VLOOKUP(I401,Map!$F$18:$H$51,3,0)</f>
        <v>Variable</v>
      </c>
      <c r="X401" s="411" t="s">
        <v>172</v>
      </c>
      <c r="Y401" s="405" t="str">
        <f>VLOOKUP(L401,Map!$C$18:$D$29,2,0)</f>
        <v>CNT</v>
      </c>
      <c r="Z401" s="406"/>
      <c r="AA401" s="407">
        <f t="shared" si="101"/>
        <v>0</v>
      </c>
      <c r="AB401" s="407">
        <f t="shared" si="102"/>
        <v>0</v>
      </c>
      <c r="AC401" s="408">
        <f t="shared" si="103"/>
        <v>0</v>
      </c>
      <c r="AD401" s="408">
        <f t="shared" si="104"/>
        <v>0</v>
      </c>
      <c r="AE401" s="409">
        <f t="shared" si="105"/>
        <v>0</v>
      </c>
      <c r="AF401" s="412"/>
    </row>
    <row r="402" spans="2:33" s="1" customFormat="1" ht="13" hidden="1" x14ac:dyDescent="0.3">
      <c r="B402" s="383">
        <v>2026</v>
      </c>
      <c r="C402" s="361" t="s">
        <v>405</v>
      </c>
      <c r="D402" s="361" t="s">
        <v>87</v>
      </c>
      <c r="E402" s="360" t="s">
        <v>177</v>
      </c>
      <c r="F402" s="360" t="s">
        <v>172</v>
      </c>
      <c r="G402" s="362"/>
      <c r="H402" s="363">
        <v>459689</v>
      </c>
      <c r="I402" s="360" t="s">
        <v>29</v>
      </c>
      <c r="J402" s="364" t="str">
        <f>IFERROR(VLOOKUP(I402,Map!$F$18:$G$56,2,0),"Add in Map")</f>
        <v>3P</v>
      </c>
      <c r="K402" s="364" t="str">
        <f>VLOOKUP(L402,Map!$C$18:$D$29,2,0)</f>
        <v>CVT</v>
      </c>
      <c r="L402" s="360" t="s">
        <v>36</v>
      </c>
      <c r="M402" s="365">
        <v>0</v>
      </c>
      <c r="N402" s="366">
        <f t="shared" si="96"/>
        <v>0</v>
      </c>
      <c r="O402" s="366">
        <f t="shared" si="97"/>
        <v>0</v>
      </c>
      <c r="P402" s="367">
        <f t="shared" si="98"/>
        <v>0</v>
      </c>
      <c r="Q402" s="367">
        <f t="shared" si="99"/>
        <v>0</v>
      </c>
      <c r="R402" s="368">
        <f t="shared" si="100"/>
        <v>0</v>
      </c>
      <c r="S402" s="384">
        <f>INDEX(FX!$D$3:$O$19,MATCH(B402,FX!$B$3:$B$32,0),MATCH(D402,FX!$D$2:$O$2,0))</f>
        <v>919</v>
      </c>
      <c r="T402" s="360" t="s">
        <v>81</v>
      </c>
      <c r="U402" s="360" t="s">
        <v>32</v>
      </c>
      <c r="V402" s="360" t="s">
        <v>93</v>
      </c>
      <c r="W402" s="364" t="str">
        <f>VLOOKUP(I402,Map!$F$18:$H$51,3,0)</f>
        <v>Variable</v>
      </c>
      <c r="X402" s="370" t="s">
        <v>172</v>
      </c>
      <c r="Y402" s="364" t="str">
        <f>VLOOKUP(L402,Map!$C$18:$D$29,2,0)</f>
        <v>CVT</v>
      </c>
      <c r="Z402" s="365"/>
      <c r="AA402" s="366">
        <f t="shared" si="101"/>
        <v>0</v>
      </c>
      <c r="AB402" s="366">
        <f t="shared" si="102"/>
        <v>0</v>
      </c>
      <c r="AC402" s="367">
        <f t="shared" si="103"/>
        <v>0</v>
      </c>
      <c r="AD402" s="367">
        <f t="shared" si="104"/>
        <v>0</v>
      </c>
      <c r="AE402" s="368">
        <f t="shared" si="105"/>
        <v>0</v>
      </c>
      <c r="AF402" s="385"/>
    </row>
    <row r="403" spans="2:33" s="1" customFormat="1" ht="13" hidden="1" x14ac:dyDescent="0.3">
      <c r="B403" s="383">
        <v>2026</v>
      </c>
      <c r="C403" s="361" t="s">
        <v>405</v>
      </c>
      <c r="D403" s="361" t="s">
        <v>87</v>
      </c>
      <c r="E403" s="360" t="s">
        <v>177</v>
      </c>
      <c r="F403" s="360" t="s">
        <v>172</v>
      </c>
      <c r="G403" s="362"/>
      <c r="H403" s="363">
        <v>459689</v>
      </c>
      <c r="I403" s="360" t="s">
        <v>29</v>
      </c>
      <c r="J403" s="364" t="str">
        <f>IFERROR(VLOOKUP(I403,Map!$F$18:$G$56,2,0),"Add in Map")</f>
        <v>3P</v>
      </c>
      <c r="K403" s="364" t="str">
        <f>VLOOKUP(L403,Map!$C$18:$D$29,2,0)</f>
        <v>CDT</v>
      </c>
      <c r="L403" s="360" t="s">
        <v>38</v>
      </c>
      <c r="M403" s="365">
        <v>-191528.49513923516</v>
      </c>
      <c r="N403" s="366">
        <f t="shared" si="96"/>
        <v>0</v>
      </c>
      <c r="O403" s="366">
        <f t="shared" si="97"/>
        <v>-227918.90921568984</v>
      </c>
      <c r="P403" s="367">
        <f t="shared" si="98"/>
        <v>-208.40967915041912</v>
      </c>
      <c r="Q403" s="367">
        <f t="shared" si="99"/>
        <v>0</v>
      </c>
      <c r="R403" s="368">
        <f t="shared" si="100"/>
        <v>-248.00751818899874</v>
      </c>
      <c r="S403" s="384">
        <f>INDEX(FX!$D$3:$O$19,MATCH(B403,FX!$B$3:$B$32,0),MATCH(D403,FX!$D$2:$O$2,0))</f>
        <v>919</v>
      </c>
      <c r="T403" s="360" t="s">
        <v>81</v>
      </c>
      <c r="U403" s="360" t="s">
        <v>32</v>
      </c>
      <c r="V403" s="360" t="s">
        <v>93</v>
      </c>
      <c r="W403" s="364" t="str">
        <f>VLOOKUP(I403,Map!$F$18:$H$51,3,0)</f>
        <v>Variable</v>
      </c>
      <c r="X403" s="370" t="s">
        <v>172</v>
      </c>
      <c r="Y403" s="364" t="str">
        <f>VLOOKUP(L403,Map!$C$18:$D$29,2,0)</f>
        <v>CDT</v>
      </c>
      <c r="Z403" s="365"/>
      <c r="AA403" s="366">
        <f t="shared" si="101"/>
        <v>0</v>
      </c>
      <c r="AB403" s="366">
        <f t="shared" si="102"/>
        <v>0</v>
      </c>
      <c r="AC403" s="367">
        <f t="shared" si="103"/>
        <v>0</v>
      </c>
      <c r="AD403" s="367">
        <f t="shared" si="104"/>
        <v>0</v>
      </c>
      <c r="AE403" s="368">
        <f t="shared" si="105"/>
        <v>0</v>
      </c>
      <c r="AF403" s="385"/>
    </row>
    <row r="404" spans="2:33" s="1" customFormat="1" ht="13" hidden="1" x14ac:dyDescent="0.3">
      <c r="B404" s="383">
        <v>2026</v>
      </c>
      <c r="C404" s="361" t="s">
        <v>405</v>
      </c>
      <c r="D404" s="361" t="s">
        <v>87</v>
      </c>
      <c r="E404" s="360" t="s">
        <v>177</v>
      </c>
      <c r="F404" s="360" t="s">
        <v>172</v>
      </c>
      <c r="G404" s="362"/>
      <c r="H404" s="363">
        <v>459689</v>
      </c>
      <c r="I404" s="360" t="s">
        <v>29</v>
      </c>
      <c r="J404" s="364" t="str">
        <f>IFERROR(VLOOKUP(I404,Map!$F$18:$G$56,2,0),"Add in Map")</f>
        <v>3P</v>
      </c>
      <c r="K404" s="364" t="str">
        <f>VLOOKUP(L404,Map!$C$18:$D$29,2,0)</f>
        <v>DFT</v>
      </c>
      <c r="L404" s="360" t="s">
        <v>40</v>
      </c>
      <c r="M404" s="365">
        <v>-36678441.459398776</v>
      </c>
      <c r="N404" s="366">
        <f t="shared" si="96"/>
        <v>0</v>
      </c>
      <c r="O404" s="366">
        <f t="shared" si="97"/>
        <v>-43647345.33668454</v>
      </c>
      <c r="P404" s="367">
        <f t="shared" si="98"/>
        <v>-39911.252948203241</v>
      </c>
      <c r="Q404" s="367">
        <f t="shared" si="99"/>
        <v>0</v>
      </c>
      <c r="R404" s="368">
        <f t="shared" si="100"/>
        <v>-47494.391008361854</v>
      </c>
      <c r="S404" s="384">
        <f>INDEX(FX!$D$3:$O$19,MATCH(B404,FX!$B$3:$B$32,0),MATCH(D404,FX!$D$2:$O$2,0))</f>
        <v>919</v>
      </c>
      <c r="T404" s="360" t="s">
        <v>81</v>
      </c>
      <c r="U404" s="360" t="s">
        <v>32</v>
      </c>
      <c r="V404" s="360" t="s">
        <v>93</v>
      </c>
      <c r="W404" s="364" t="str">
        <f>VLOOKUP(I404,Map!$F$18:$H$51,3,0)</f>
        <v>Variable</v>
      </c>
      <c r="X404" s="370" t="s">
        <v>172</v>
      </c>
      <c r="Y404" s="364" t="str">
        <f>VLOOKUP(L404,Map!$C$18:$D$29,2,0)</f>
        <v>DFT</v>
      </c>
      <c r="Z404" s="365"/>
      <c r="AA404" s="366">
        <f t="shared" si="101"/>
        <v>0</v>
      </c>
      <c r="AB404" s="366">
        <f t="shared" si="102"/>
        <v>0</v>
      </c>
      <c r="AC404" s="367">
        <f t="shared" si="103"/>
        <v>0</v>
      </c>
      <c r="AD404" s="367">
        <f t="shared" si="104"/>
        <v>0</v>
      </c>
      <c r="AE404" s="368">
        <f t="shared" si="105"/>
        <v>0</v>
      </c>
      <c r="AF404" s="385"/>
    </row>
    <row r="405" spans="2:33" s="1" customFormat="1" ht="13" hidden="1" x14ac:dyDescent="0.3">
      <c r="B405" s="383">
        <v>2026</v>
      </c>
      <c r="C405" s="361" t="s">
        <v>405</v>
      </c>
      <c r="D405" s="361" t="s">
        <v>87</v>
      </c>
      <c r="E405" s="360" t="s">
        <v>177</v>
      </c>
      <c r="F405" s="360" t="s">
        <v>172</v>
      </c>
      <c r="G405" s="362"/>
      <c r="H405" s="363">
        <v>459689</v>
      </c>
      <c r="I405" s="360" t="s">
        <v>29</v>
      </c>
      <c r="J405" s="364" t="str">
        <f>IFERROR(VLOOKUP(I405,Map!$F$18:$G$56,2,0),"Add in Map")</f>
        <v>3P</v>
      </c>
      <c r="K405" s="364" t="str">
        <f>VLOOKUP(L405,Map!$C$18:$D$29,2,0)</f>
        <v>DVT</v>
      </c>
      <c r="L405" s="360" t="s">
        <v>42</v>
      </c>
      <c r="M405" s="365">
        <v>0</v>
      </c>
      <c r="N405" s="366">
        <f t="shared" si="96"/>
        <v>0</v>
      </c>
      <c r="O405" s="366">
        <f t="shared" si="97"/>
        <v>0</v>
      </c>
      <c r="P405" s="367">
        <f t="shared" si="98"/>
        <v>0</v>
      </c>
      <c r="Q405" s="367">
        <f t="shared" si="99"/>
        <v>0</v>
      </c>
      <c r="R405" s="368">
        <f t="shared" si="100"/>
        <v>0</v>
      </c>
      <c r="S405" s="384">
        <f>INDEX(FX!$D$3:$O$19,MATCH(B405,FX!$B$3:$B$32,0),MATCH(D405,FX!$D$2:$O$2,0))</f>
        <v>919</v>
      </c>
      <c r="T405" s="360" t="s">
        <v>81</v>
      </c>
      <c r="U405" s="360" t="s">
        <v>32</v>
      </c>
      <c r="V405" s="360" t="s">
        <v>93</v>
      </c>
      <c r="W405" s="364" t="str">
        <f>VLOOKUP(I405,Map!$F$18:$H$51,3,0)</f>
        <v>Variable</v>
      </c>
      <c r="X405" s="370" t="s">
        <v>172</v>
      </c>
      <c r="Y405" s="364" t="str">
        <f>VLOOKUP(L405,Map!$C$18:$D$29,2,0)</f>
        <v>DVT</v>
      </c>
      <c r="Z405" s="365"/>
      <c r="AA405" s="366">
        <f t="shared" si="101"/>
        <v>0</v>
      </c>
      <c r="AB405" s="366">
        <f t="shared" si="102"/>
        <v>0</v>
      </c>
      <c r="AC405" s="367">
        <f t="shared" si="103"/>
        <v>0</v>
      </c>
      <c r="AD405" s="367">
        <f t="shared" si="104"/>
        <v>0</v>
      </c>
      <c r="AE405" s="368">
        <f t="shared" si="105"/>
        <v>0</v>
      </c>
      <c r="AF405" s="385"/>
    </row>
    <row r="406" spans="2:33" s="1" customFormat="1" ht="13" hidden="1" x14ac:dyDescent="0.3">
      <c r="B406" s="383">
        <v>2026</v>
      </c>
      <c r="C406" s="361" t="s">
        <v>405</v>
      </c>
      <c r="D406" s="361" t="s">
        <v>87</v>
      </c>
      <c r="E406" s="360" t="s">
        <v>177</v>
      </c>
      <c r="F406" s="360" t="s">
        <v>172</v>
      </c>
      <c r="G406" s="362"/>
      <c r="H406" s="363">
        <v>459689</v>
      </c>
      <c r="I406" s="360" t="s">
        <v>29</v>
      </c>
      <c r="J406" s="364" t="str">
        <f>IFERROR(VLOOKUP(I406,Map!$F$18:$G$56,2,0),"Add in Map")</f>
        <v>3P</v>
      </c>
      <c r="K406" s="364" t="str">
        <f>VLOOKUP(L406,Map!$C$18:$D$29,2,0)</f>
        <v>GLT</v>
      </c>
      <c r="L406" s="360" t="s">
        <v>44</v>
      </c>
      <c r="M406" s="365">
        <v>-23441649.39441378</v>
      </c>
      <c r="N406" s="366">
        <f t="shared" si="96"/>
        <v>0</v>
      </c>
      <c r="O406" s="366">
        <f t="shared" si="97"/>
        <v>-27895562.779352397</v>
      </c>
      <c r="P406" s="367">
        <f t="shared" si="98"/>
        <v>-25507.779536902915</v>
      </c>
      <c r="Q406" s="367">
        <f t="shared" si="99"/>
        <v>0</v>
      </c>
      <c r="R406" s="368">
        <f t="shared" si="100"/>
        <v>-30354.257648914467</v>
      </c>
      <c r="S406" s="384">
        <f>INDEX(FX!$D$3:$O$19,MATCH(B406,FX!$B$3:$B$32,0),MATCH(D406,FX!$D$2:$O$2,0))</f>
        <v>919</v>
      </c>
      <c r="T406" s="360" t="s">
        <v>81</v>
      </c>
      <c r="U406" s="360" t="s">
        <v>32</v>
      </c>
      <c r="V406" s="360" t="s">
        <v>93</v>
      </c>
      <c r="W406" s="364" t="str">
        <f>VLOOKUP(I406,Map!$F$18:$H$51,3,0)</f>
        <v>Variable</v>
      </c>
      <c r="X406" s="370" t="s">
        <v>172</v>
      </c>
      <c r="Y406" s="364" t="str">
        <f>VLOOKUP(L406,Map!$C$18:$D$29,2,0)</f>
        <v>GLT</v>
      </c>
      <c r="Z406" s="365"/>
      <c r="AA406" s="366">
        <f t="shared" si="101"/>
        <v>0</v>
      </c>
      <c r="AB406" s="366">
        <f t="shared" si="102"/>
        <v>0</v>
      </c>
      <c r="AC406" s="367">
        <f t="shared" si="103"/>
        <v>0</v>
      </c>
      <c r="AD406" s="367">
        <f t="shared" si="104"/>
        <v>0</v>
      </c>
      <c r="AE406" s="368">
        <f t="shared" si="105"/>
        <v>0</v>
      </c>
      <c r="AF406" s="385"/>
    </row>
    <row r="407" spans="2:33" s="1" customFormat="1" ht="13" hidden="1" x14ac:dyDescent="0.3">
      <c r="B407" s="383">
        <v>2026</v>
      </c>
      <c r="C407" s="361" t="s">
        <v>405</v>
      </c>
      <c r="D407" s="361" t="s">
        <v>87</v>
      </c>
      <c r="E407" s="360" t="s">
        <v>177</v>
      </c>
      <c r="F407" s="360" t="s">
        <v>172</v>
      </c>
      <c r="G407" s="362"/>
      <c r="H407" s="363">
        <v>459689</v>
      </c>
      <c r="I407" s="360" t="s">
        <v>29</v>
      </c>
      <c r="J407" s="364" t="str">
        <f>IFERROR(VLOOKUP(I407,Map!$F$18:$G$56,2,0),"Add in Map")</f>
        <v>3P</v>
      </c>
      <c r="K407" s="364" t="str">
        <f>VLOOKUP(L407,Map!$C$18:$D$29,2,0)</f>
        <v>PNT</v>
      </c>
      <c r="L407" s="360" t="s">
        <v>46</v>
      </c>
      <c r="M407" s="365">
        <v>-2260696.1424878556</v>
      </c>
      <c r="N407" s="366">
        <f t="shared" si="96"/>
        <v>0</v>
      </c>
      <c r="O407" s="366">
        <f t="shared" si="97"/>
        <v>-2690228.4095605481</v>
      </c>
      <c r="P407" s="367">
        <f t="shared" si="98"/>
        <v>-2459.9522769182327</v>
      </c>
      <c r="Q407" s="367">
        <f t="shared" si="99"/>
        <v>0</v>
      </c>
      <c r="R407" s="368">
        <f t="shared" si="100"/>
        <v>-2927.3432095326966</v>
      </c>
      <c r="S407" s="384">
        <f>INDEX(FX!$D$3:$O$19,MATCH(B407,FX!$B$3:$B$32,0),MATCH(D407,FX!$D$2:$O$2,0))</f>
        <v>919</v>
      </c>
      <c r="T407" s="360" t="s">
        <v>81</v>
      </c>
      <c r="U407" s="360" t="s">
        <v>32</v>
      </c>
      <c r="V407" s="360" t="s">
        <v>93</v>
      </c>
      <c r="W407" s="364" t="str">
        <f>VLOOKUP(I407,Map!$F$18:$H$51,3,0)</f>
        <v>Variable</v>
      </c>
      <c r="X407" s="370" t="s">
        <v>172</v>
      </c>
      <c r="Y407" s="364" t="str">
        <f>VLOOKUP(L407,Map!$C$18:$D$29,2,0)</f>
        <v>PNT</v>
      </c>
      <c r="Z407" s="365"/>
      <c r="AA407" s="366">
        <f t="shared" si="101"/>
        <v>0</v>
      </c>
      <c r="AB407" s="366">
        <f t="shared" si="102"/>
        <v>0</v>
      </c>
      <c r="AC407" s="367">
        <f t="shared" si="103"/>
        <v>0</v>
      </c>
      <c r="AD407" s="367">
        <f t="shared" si="104"/>
        <v>0</v>
      </c>
      <c r="AE407" s="368">
        <f t="shared" si="105"/>
        <v>0</v>
      </c>
      <c r="AF407" s="385"/>
    </row>
    <row r="408" spans="2:33" s="1" customFormat="1" ht="13" hidden="1" x14ac:dyDescent="0.3">
      <c r="B408" s="383">
        <v>2026</v>
      </c>
      <c r="C408" s="361" t="s">
        <v>405</v>
      </c>
      <c r="D408" s="361" t="s">
        <v>87</v>
      </c>
      <c r="E408" s="360" t="s">
        <v>177</v>
      </c>
      <c r="F408" s="360" t="s">
        <v>172</v>
      </c>
      <c r="G408" s="362"/>
      <c r="H408" s="363">
        <v>459689</v>
      </c>
      <c r="I408" s="360" t="s">
        <v>29</v>
      </c>
      <c r="J408" s="364" t="str">
        <f>IFERROR(VLOOKUP(I408,Map!$F$18:$G$56,2,0),"Add in Map")</f>
        <v>3P</v>
      </c>
      <c r="K408" s="364" t="str">
        <f>VLOOKUP(L408,Map!$C$18:$D$29,2,0)</f>
        <v>GTT</v>
      </c>
      <c r="L408" s="360" t="s">
        <v>48</v>
      </c>
      <c r="M408" s="365">
        <v>-3576233.6789790331</v>
      </c>
      <c r="N408" s="366">
        <f t="shared" si="96"/>
        <v>0</v>
      </c>
      <c r="O408" s="366">
        <f t="shared" si="97"/>
        <v>-4255718.0779850492</v>
      </c>
      <c r="P408" s="367">
        <f t="shared" si="98"/>
        <v>-3891.4403470936159</v>
      </c>
      <c r="Q408" s="367">
        <f t="shared" si="99"/>
        <v>0</v>
      </c>
      <c r="R408" s="368">
        <f t="shared" si="100"/>
        <v>-4630.8140130414031</v>
      </c>
      <c r="S408" s="384">
        <f>INDEX(FX!$D$3:$O$19,MATCH(B408,FX!$B$3:$B$32,0),MATCH(D408,FX!$D$2:$O$2,0))</f>
        <v>919</v>
      </c>
      <c r="T408" s="360" t="s">
        <v>81</v>
      </c>
      <c r="U408" s="360" t="s">
        <v>32</v>
      </c>
      <c r="V408" s="360" t="s">
        <v>93</v>
      </c>
      <c r="W408" s="364" t="str">
        <f>VLOOKUP(I408,Map!$F$18:$H$51,3,0)</f>
        <v>Variable</v>
      </c>
      <c r="X408" s="370" t="s">
        <v>172</v>
      </c>
      <c r="Y408" s="364" t="str">
        <f>VLOOKUP(L408,Map!$C$18:$D$29,2,0)</f>
        <v>GTT</v>
      </c>
      <c r="Z408" s="365"/>
      <c r="AA408" s="366">
        <f t="shared" si="101"/>
        <v>0</v>
      </c>
      <c r="AB408" s="366">
        <f t="shared" si="102"/>
        <v>0</v>
      </c>
      <c r="AC408" s="367">
        <f t="shared" si="103"/>
        <v>0</v>
      </c>
      <c r="AD408" s="367">
        <f t="shared" si="104"/>
        <v>0</v>
      </c>
      <c r="AE408" s="368">
        <f t="shared" si="105"/>
        <v>0</v>
      </c>
      <c r="AF408" s="385"/>
    </row>
    <row r="409" spans="2:33" s="1" customFormat="1" ht="13" hidden="1" x14ac:dyDescent="0.3">
      <c r="B409" s="383">
        <v>2026</v>
      </c>
      <c r="C409" s="361" t="s">
        <v>405</v>
      </c>
      <c r="D409" s="361" t="s">
        <v>87</v>
      </c>
      <c r="E409" s="360" t="s">
        <v>177</v>
      </c>
      <c r="F409" s="360" t="s">
        <v>172</v>
      </c>
      <c r="G409" s="362"/>
      <c r="H409" s="363">
        <v>459689</v>
      </c>
      <c r="I409" s="360" t="s">
        <v>29</v>
      </c>
      <c r="J409" s="364" t="str">
        <f>IFERROR(VLOOKUP(I409,Map!$F$18:$G$56,2,0),"Add in Map")</f>
        <v>3P</v>
      </c>
      <c r="K409" s="364" t="str">
        <f>VLOOKUP(L409,Map!$C$18:$D$29,2,0)</f>
        <v>DGT</v>
      </c>
      <c r="L409" s="360" t="s">
        <v>50</v>
      </c>
      <c r="M409" s="365">
        <v>-359074.33250529203</v>
      </c>
      <c r="N409" s="366">
        <f t="shared" si="96"/>
        <v>0</v>
      </c>
      <c r="O409" s="366">
        <f t="shared" si="97"/>
        <v>-427298.45568129752</v>
      </c>
      <c r="P409" s="367">
        <f t="shared" si="98"/>
        <v>-390.72288629520352</v>
      </c>
      <c r="Q409" s="367">
        <f t="shared" si="99"/>
        <v>0</v>
      </c>
      <c r="R409" s="368">
        <f t="shared" si="100"/>
        <v>-464.96023469129216</v>
      </c>
      <c r="S409" s="384">
        <f>INDEX(FX!$D$3:$O$19,MATCH(B409,FX!$B$3:$B$32,0),MATCH(D409,FX!$D$2:$O$2,0))</f>
        <v>919</v>
      </c>
      <c r="T409" s="360" t="s">
        <v>81</v>
      </c>
      <c r="U409" s="360" t="s">
        <v>32</v>
      </c>
      <c r="V409" s="360" t="s">
        <v>93</v>
      </c>
      <c r="W409" s="364" t="str">
        <f>VLOOKUP(I409,Map!$F$18:$H$51,3,0)</f>
        <v>Variable</v>
      </c>
      <c r="X409" s="370" t="s">
        <v>172</v>
      </c>
      <c r="Y409" s="364" t="str">
        <f>VLOOKUP(L409,Map!$C$18:$D$29,2,0)</f>
        <v>DGT</v>
      </c>
      <c r="Z409" s="365"/>
      <c r="AA409" s="366">
        <f t="shared" si="101"/>
        <v>0</v>
      </c>
      <c r="AB409" s="366">
        <f t="shared" si="102"/>
        <v>0</v>
      </c>
      <c r="AC409" s="367">
        <f t="shared" si="103"/>
        <v>0</v>
      </c>
      <c r="AD409" s="367">
        <f t="shared" si="104"/>
        <v>0</v>
      </c>
      <c r="AE409" s="368">
        <f t="shared" si="105"/>
        <v>0</v>
      </c>
      <c r="AF409" s="385"/>
    </row>
    <row r="410" spans="2:33" s="1" customFormat="1" ht="13" hidden="1" x14ac:dyDescent="0.3">
      <c r="B410" s="383">
        <v>2026</v>
      </c>
      <c r="C410" s="361" t="s">
        <v>405</v>
      </c>
      <c r="D410" s="361" t="s">
        <v>87</v>
      </c>
      <c r="E410" s="360" t="s">
        <v>177</v>
      </c>
      <c r="F410" s="360" t="s">
        <v>172</v>
      </c>
      <c r="G410" s="362"/>
      <c r="H410" s="363">
        <v>459689</v>
      </c>
      <c r="I410" s="360" t="s">
        <v>29</v>
      </c>
      <c r="J410" s="364" t="str">
        <f>IFERROR(VLOOKUP(I410,Map!$F$18:$G$56,2,0),"Add in Map")</f>
        <v>3P</v>
      </c>
      <c r="K410" s="364" t="str">
        <f>VLOOKUP(L410,Map!$C$18:$D$29,2,0)</f>
        <v>DLT</v>
      </c>
      <c r="L410" s="360" t="s">
        <v>52</v>
      </c>
      <c r="M410" s="365">
        <v>0</v>
      </c>
      <c r="N410" s="366">
        <f t="shared" si="96"/>
        <v>0</v>
      </c>
      <c r="O410" s="366">
        <f t="shared" si="97"/>
        <v>0</v>
      </c>
      <c r="P410" s="367">
        <f t="shared" si="98"/>
        <v>0</v>
      </c>
      <c r="Q410" s="367">
        <f t="shared" si="99"/>
        <v>0</v>
      </c>
      <c r="R410" s="368">
        <f t="shared" si="100"/>
        <v>0</v>
      </c>
      <c r="S410" s="384">
        <f>INDEX(FX!$D$3:$O$19,MATCH(B410,FX!$B$3:$B$32,0),MATCH(D410,FX!$D$2:$O$2,0))</f>
        <v>919</v>
      </c>
      <c r="T410" s="360" t="s">
        <v>81</v>
      </c>
      <c r="U410" s="360" t="s">
        <v>32</v>
      </c>
      <c r="V410" s="360" t="s">
        <v>93</v>
      </c>
      <c r="W410" s="364" t="str">
        <f>VLOOKUP(I410,Map!$F$18:$H$51,3,0)</f>
        <v>Variable</v>
      </c>
      <c r="X410" s="370" t="s">
        <v>172</v>
      </c>
      <c r="Y410" s="364" t="str">
        <f>VLOOKUP(L410,Map!$C$18:$D$29,2,0)</f>
        <v>DLT</v>
      </c>
      <c r="Z410" s="365"/>
      <c r="AA410" s="366">
        <f t="shared" si="101"/>
        <v>0</v>
      </c>
      <c r="AB410" s="366">
        <f t="shared" si="102"/>
        <v>0</v>
      </c>
      <c r="AC410" s="367">
        <f t="shared" si="103"/>
        <v>0</v>
      </c>
      <c r="AD410" s="367">
        <f t="shared" si="104"/>
        <v>0</v>
      </c>
      <c r="AE410" s="368">
        <f t="shared" si="105"/>
        <v>0</v>
      </c>
      <c r="AF410" s="385"/>
    </row>
    <row r="411" spans="2:33" s="1" customFormat="1" ht="13" hidden="1" x14ac:dyDescent="0.3">
      <c r="B411" s="383">
        <v>2026</v>
      </c>
      <c r="C411" s="361" t="s">
        <v>405</v>
      </c>
      <c r="D411" s="361" t="s">
        <v>87</v>
      </c>
      <c r="E411" s="360" t="s">
        <v>177</v>
      </c>
      <c r="F411" s="360" t="s">
        <v>172</v>
      </c>
      <c r="G411" s="362"/>
      <c r="H411" s="363">
        <v>459689</v>
      </c>
      <c r="I411" s="360" t="s">
        <v>29</v>
      </c>
      <c r="J411" s="364" t="str">
        <f>IFERROR(VLOOKUP(I411,Map!$F$18:$G$56,2,0),"Add in Map")</f>
        <v>3P</v>
      </c>
      <c r="K411" s="364" t="str">
        <f>VLOOKUP(L411,Map!$C$18:$D$29,2,0)</f>
        <v>DMT</v>
      </c>
      <c r="L411" s="360" t="s">
        <v>54</v>
      </c>
      <c r="M411" s="365">
        <v>0</v>
      </c>
      <c r="N411" s="366">
        <f t="shared" si="96"/>
        <v>0</v>
      </c>
      <c r="O411" s="366">
        <f t="shared" si="97"/>
        <v>0</v>
      </c>
      <c r="P411" s="386">
        <f t="shared" si="98"/>
        <v>0</v>
      </c>
      <c r="Q411" s="367">
        <f t="shared" si="99"/>
        <v>0</v>
      </c>
      <c r="R411" s="368">
        <f t="shared" si="100"/>
        <v>0</v>
      </c>
      <c r="S411" s="384">
        <f>INDEX(FX!$D$3:$O$19,MATCH(B411,FX!$B$3:$B$32,0),MATCH(D411,FX!$D$2:$O$2,0))</f>
        <v>919</v>
      </c>
      <c r="T411" s="360" t="s">
        <v>81</v>
      </c>
      <c r="U411" s="360" t="s">
        <v>32</v>
      </c>
      <c r="V411" s="360" t="s">
        <v>93</v>
      </c>
      <c r="W411" s="364" t="str">
        <f>VLOOKUP(I411,Map!$F$18:$H$51,3,0)</f>
        <v>Variable</v>
      </c>
      <c r="X411" s="370" t="s">
        <v>172</v>
      </c>
      <c r="Y411" s="364" t="str">
        <f>VLOOKUP(L411,Map!$C$18:$D$29,2,0)</f>
        <v>DMT</v>
      </c>
      <c r="Z411" s="365"/>
      <c r="AA411" s="366">
        <f t="shared" si="101"/>
        <v>0</v>
      </c>
      <c r="AB411" s="366">
        <f t="shared" si="102"/>
        <v>0</v>
      </c>
      <c r="AC411" s="386">
        <f t="shared" si="103"/>
        <v>0</v>
      </c>
      <c r="AD411" s="367">
        <f t="shared" si="104"/>
        <v>0</v>
      </c>
      <c r="AE411" s="368">
        <f t="shared" si="105"/>
        <v>0</v>
      </c>
      <c r="AF411" s="385"/>
    </row>
    <row r="412" spans="2:33" s="37" customFormat="1" hidden="1" x14ac:dyDescent="0.35">
      <c r="B412" s="387">
        <v>2026</v>
      </c>
      <c r="C412" s="389" t="s">
        <v>405</v>
      </c>
      <c r="D412" s="389" t="s">
        <v>87</v>
      </c>
      <c r="E412" s="388" t="s">
        <v>177</v>
      </c>
      <c r="F412" s="388" t="s">
        <v>172</v>
      </c>
      <c r="G412" s="390"/>
      <c r="H412" s="391">
        <v>459689</v>
      </c>
      <c r="I412" s="388" t="s">
        <v>29</v>
      </c>
      <c r="J412" s="392" t="str">
        <f>IFERROR(VLOOKUP(I412,Map!$F$18:$G$56,2,0),"Add in Map")</f>
        <v>3P</v>
      </c>
      <c r="K412" s="392" t="str">
        <f>VLOOKUP(L412,Map!$C$18:$D$29,2,0)</f>
        <v>TOTAL</v>
      </c>
      <c r="L412" s="388" t="s">
        <v>56</v>
      </c>
      <c r="M412" s="393">
        <f>SUM(M401:M411)</f>
        <v>-82304999.822557956</v>
      </c>
      <c r="N412" s="393">
        <f t="shared" si="96"/>
        <v>-15637949.966286011</v>
      </c>
      <c r="O412" s="393">
        <f t="shared" si="97"/>
        <v>-97942949.78884396</v>
      </c>
      <c r="P412" s="394">
        <f t="shared" si="98"/>
        <v>-89559.303397777971</v>
      </c>
      <c r="Q412" s="394">
        <f t="shared" si="99"/>
        <v>-17016.267645577813</v>
      </c>
      <c r="R412" s="395">
        <f t="shared" si="100"/>
        <v>-106575.57104335578</v>
      </c>
      <c r="S412" s="396">
        <f>INDEX(FX!$D$3:$O$19,MATCH(B412,FX!$B$3:$B$32,0),MATCH(D412,FX!$D$2:$O$2,0))</f>
        <v>919</v>
      </c>
      <c r="T412" s="388" t="s">
        <v>81</v>
      </c>
      <c r="U412" s="388" t="s">
        <v>32</v>
      </c>
      <c r="V412" s="388" t="s">
        <v>93</v>
      </c>
      <c r="W412" s="392" t="str">
        <f>VLOOKUP(I412,Map!$F$18:$H$51,3,0)</f>
        <v>Variable</v>
      </c>
      <c r="X412" s="397" t="s">
        <v>172</v>
      </c>
      <c r="Y412" s="392" t="str">
        <f>VLOOKUP(L412,Map!$C$18:$D$29,2,0)</f>
        <v>TOTAL</v>
      </c>
      <c r="Z412" s="413"/>
      <c r="AA412" s="393">
        <f t="shared" si="101"/>
        <v>0</v>
      </c>
      <c r="AB412" s="393">
        <f t="shared" si="102"/>
        <v>0</v>
      </c>
      <c r="AC412" s="394">
        <f t="shared" si="103"/>
        <v>0</v>
      </c>
      <c r="AD412" s="394">
        <f t="shared" si="104"/>
        <v>0</v>
      </c>
      <c r="AE412" s="395">
        <f t="shared" si="105"/>
        <v>0</v>
      </c>
      <c r="AF412" s="398"/>
    </row>
    <row r="413" spans="2:33" s="5" customFormat="1" ht="13" hidden="1" x14ac:dyDescent="0.3">
      <c r="B413" s="400">
        <v>2026</v>
      </c>
      <c r="C413" s="402" t="s">
        <v>400</v>
      </c>
      <c r="D413" s="402" t="s">
        <v>87</v>
      </c>
      <c r="E413" s="401" t="s">
        <v>177</v>
      </c>
      <c r="F413" s="401" t="s">
        <v>172</v>
      </c>
      <c r="G413" s="403"/>
      <c r="H413" s="404"/>
      <c r="I413" s="401" t="s">
        <v>148</v>
      </c>
      <c r="J413" s="405" t="str">
        <f>IFERROR(VLOOKUP(I413,Map!$F$18:$G$56,2,0),"Add in Map")</f>
        <v>3P</v>
      </c>
      <c r="K413" s="405" t="str">
        <f>VLOOKUP(L413,Map!$C$18:$D$29,2,0)</f>
        <v>CNT</v>
      </c>
      <c r="L413" s="401" t="s">
        <v>31</v>
      </c>
      <c r="M413" s="406"/>
      <c r="N413" s="407">
        <f t="shared" si="96"/>
        <v>0</v>
      </c>
      <c r="O413" s="407">
        <f t="shared" si="97"/>
        <v>0</v>
      </c>
      <c r="P413" s="408">
        <f t="shared" si="98"/>
        <v>0</v>
      </c>
      <c r="Q413" s="408">
        <f t="shared" si="99"/>
        <v>0</v>
      </c>
      <c r="R413" s="409">
        <f t="shared" si="100"/>
        <v>0</v>
      </c>
      <c r="S413" s="410">
        <f>INDEX(FX!$D$3:$O$19,MATCH(B413,FX!$B$3:$B$32,0),MATCH(D413,FX!$D$2:$O$2,0))</f>
        <v>919</v>
      </c>
      <c r="T413" s="401" t="s">
        <v>144</v>
      </c>
      <c r="U413" s="401" t="s">
        <v>32</v>
      </c>
      <c r="V413" s="401" t="s">
        <v>83</v>
      </c>
      <c r="W413" s="405" t="str">
        <f>VLOOKUP(I413,Map!$F$18:$H$51,3,0)</f>
        <v>Variable</v>
      </c>
      <c r="X413" s="411" t="s">
        <v>172</v>
      </c>
      <c r="Y413" s="405" t="str">
        <f>VLOOKUP(L413,Map!$C$18:$D$29,2,0)</f>
        <v>CNT</v>
      </c>
      <c r="Z413" s="406">
        <v>2556784.3287519803</v>
      </c>
      <c r="AA413" s="407">
        <f t="shared" si="101"/>
        <v>0</v>
      </c>
      <c r="AB413" s="407">
        <f t="shared" si="102"/>
        <v>3042573.3512148564</v>
      </c>
      <c r="AC413" s="408">
        <f t="shared" si="103"/>
        <v>2782.1374632774541</v>
      </c>
      <c r="AD413" s="408">
        <f t="shared" si="104"/>
        <v>0</v>
      </c>
      <c r="AE413" s="409">
        <f t="shared" si="105"/>
        <v>3310.7435813001703</v>
      </c>
      <c r="AF413" s="412"/>
      <c r="AG413" s="504"/>
    </row>
    <row r="414" spans="2:33" s="1" customFormat="1" ht="13" hidden="1" x14ac:dyDescent="0.3">
      <c r="B414" s="383">
        <v>2026</v>
      </c>
      <c r="C414" s="361" t="s">
        <v>400</v>
      </c>
      <c r="D414" s="361" t="s">
        <v>87</v>
      </c>
      <c r="E414" s="360" t="s">
        <v>177</v>
      </c>
      <c r="F414" s="360" t="s">
        <v>172</v>
      </c>
      <c r="G414" s="362"/>
      <c r="H414" s="363"/>
      <c r="I414" s="360" t="s">
        <v>148</v>
      </c>
      <c r="J414" s="364" t="str">
        <f>IFERROR(VLOOKUP(I414,Map!$F$18:$G$56,2,0),"Add in Map")</f>
        <v>3P</v>
      </c>
      <c r="K414" s="364" t="str">
        <f>VLOOKUP(L414,Map!$C$18:$D$29,2,0)</f>
        <v>CVT</v>
      </c>
      <c r="L414" s="360" t="s">
        <v>36</v>
      </c>
      <c r="M414" s="365"/>
      <c r="N414" s="366">
        <f t="shared" si="96"/>
        <v>0</v>
      </c>
      <c r="O414" s="366">
        <f t="shared" si="97"/>
        <v>0</v>
      </c>
      <c r="P414" s="367">
        <f t="shared" si="98"/>
        <v>0</v>
      </c>
      <c r="Q414" s="367">
        <f t="shared" si="99"/>
        <v>0</v>
      </c>
      <c r="R414" s="368">
        <f t="shared" si="100"/>
        <v>0</v>
      </c>
      <c r="S414" s="384">
        <f>INDEX(FX!$D$3:$O$19,MATCH(B414,FX!$B$3:$B$32,0),MATCH(D414,FX!$D$2:$O$2,0))</f>
        <v>919</v>
      </c>
      <c r="T414" s="360" t="s">
        <v>144</v>
      </c>
      <c r="U414" s="360" t="s">
        <v>32</v>
      </c>
      <c r="V414" s="360" t="s">
        <v>83</v>
      </c>
      <c r="W414" s="364" t="str">
        <f>VLOOKUP(I414,Map!$F$18:$H$51,3,0)</f>
        <v>Variable</v>
      </c>
      <c r="X414" s="370" t="s">
        <v>172</v>
      </c>
      <c r="Y414" s="364" t="str">
        <f>VLOOKUP(L414,Map!$C$18:$D$29,2,0)</f>
        <v>CVT</v>
      </c>
      <c r="Z414" s="365">
        <v>0</v>
      </c>
      <c r="AA414" s="366">
        <f t="shared" si="101"/>
        <v>0</v>
      </c>
      <c r="AB414" s="366">
        <f t="shared" si="102"/>
        <v>0</v>
      </c>
      <c r="AC414" s="367">
        <f t="shared" si="103"/>
        <v>0</v>
      </c>
      <c r="AD414" s="367">
        <f t="shared" si="104"/>
        <v>0</v>
      </c>
      <c r="AE414" s="368">
        <f t="shared" si="105"/>
        <v>0</v>
      </c>
      <c r="AF414" s="385"/>
    </row>
    <row r="415" spans="2:33" s="1" customFormat="1" ht="13" hidden="1" x14ac:dyDescent="0.3">
      <c r="B415" s="383">
        <v>2026</v>
      </c>
      <c r="C415" s="361" t="s">
        <v>400</v>
      </c>
      <c r="D415" s="361" t="s">
        <v>87</v>
      </c>
      <c r="E415" s="360" t="s">
        <v>177</v>
      </c>
      <c r="F415" s="360" t="s">
        <v>172</v>
      </c>
      <c r="G415" s="362"/>
      <c r="H415" s="363"/>
      <c r="I415" s="360" t="s">
        <v>148</v>
      </c>
      <c r="J415" s="364" t="str">
        <f>IFERROR(VLOOKUP(I415,Map!$F$18:$G$56,2,0),"Add in Map")</f>
        <v>3P</v>
      </c>
      <c r="K415" s="364" t="str">
        <f>VLOOKUP(L415,Map!$C$18:$D$29,2,0)</f>
        <v>CDT</v>
      </c>
      <c r="L415" s="360" t="s">
        <v>38</v>
      </c>
      <c r="M415" s="365"/>
      <c r="N415" s="366">
        <f t="shared" si="96"/>
        <v>0</v>
      </c>
      <c r="O415" s="366">
        <f t="shared" si="97"/>
        <v>0</v>
      </c>
      <c r="P415" s="367">
        <f t="shared" si="98"/>
        <v>0</v>
      </c>
      <c r="Q415" s="367">
        <f t="shared" si="99"/>
        <v>0</v>
      </c>
      <c r="R415" s="368">
        <f t="shared" si="100"/>
        <v>0</v>
      </c>
      <c r="S415" s="384">
        <f>INDEX(FX!$D$3:$O$19,MATCH(B415,FX!$B$3:$B$32,0),MATCH(D415,FX!$D$2:$O$2,0))</f>
        <v>919</v>
      </c>
      <c r="T415" s="360" t="s">
        <v>144</v>
      </c>
      <c r="U415" s="360" t="s">
        <v>32</v>
      </c>
      <c r="V415" s="360" t="s">
        <v>83</v>
      </c>
      <c r="W415" s="364" t="str">
        <f>VLOOKUP(I415,Map!$F$18:$H$51,3,0)</f>
        <v>Variable</v>
      </c>
      <c r="X415" s="370" t="s">
        <v>172</v>
      </c>
      <c r="Y415" s="364" t="str">
        <f>VLOOKUP(L415,Map!$C$18:$D$29,2,0)</f>
        <v>CDT</v>
      </c>
      <c r="Z415" s="365">
        <v>168310.69153344969</v>
      </c>
      <c r="AA415" s="366">
        <f t="shared" si="101"/>
        <v>0</v>
      </c>
      <c r="AB415" s="366">
        <f t="shared" si="102"/>
        <v>200289.72292480513</v>
      </c>
      <c r="AC415" s="367">
        <f t="shared" si="103"/>
        <v>183.14547500919443</v>
      </c>
      <c r="AD415" s="367">
        <f t="shared" si="104"/>
        <v>0</v>
      </c>
      <c r="AE415" s="368">
        <f t="shared" si="105"/>
        <v>217.94311526094137</v>
      </c>
      <c r="AF415" s="385"/>
    </row>
    <row r="416" spans="2:33" s="1" customFormat="1" ht="13" hidden="1" x14ac:dyDescent="0.3">
      <c r="B416" s="383">
        <v>2026</v>
      </c>
      <c r="C416" s="361" t="s">
        <v>400</v>
      </c>
      <c r="D416" s="361" t="s">
        <v>87</v>
      </c>
      <c r="E416" s="360" t="s">
        <v>177</v>
      </c>
      <c r="F416" s="360" t="s">
        <v>172</v>
      </c>
      <c r="G416" s="362"/>
      <c r="H416" s="363"/>
      <c r="I416" s="360" t="s">
        <v>148</v>
      </c>
      <c r="J416" s="364" t="str">
        <f>IFERROR(VLOOKUP(I416,Map!$F$18:$G$56,2,0),"Add in Map")</f>
        <v>3P</v>
      </c>
      <c r="K416" s="364" t="str">
        <f>VLOOKUP(L416,Map!$C$18:$D$29,2,0)</f>
        <v>DFT</v>
      </c>
      <c r="L416" s="360" t="s">
        <v>40</v>
      </c>
      <c r="M416" s="365"/>
      <c r="N416" s="366">
        <f t="shared" si="96"/>
        <v>0</v>
      </c>
      <c r="O416" s="366">
        <f t="shared" si="97"/>
        <v>0</v>
      </c>
      <c r="P416" s="367">
        <f t="shared" si="98"/>
        <v>0</v>
      </c>
      <c r="Q416" s="367">
        <f t="shared" si="99"/>
        <v>0</v>
      </c>
      <c r="R416" s="368">
        <f t="shared" si="100"/>
        <v>0</v>
      </c>
      <c r="S416" s="384">
        <f>INDEX(FX!$D$3:$O$19,MATCH(B416,FX!$B$3:$B$32,0),MATCH(D416,FX!$D$2:$O$2,0))</f>
        <v>919</v>
      </c>
      <c r="T416" s="360" t="s">
        <v>144</v>
      </c>
      <c r="U416" s="360" t="s">
        <v>32</v>
      </c>
      <c r="V416" s="360" t="s">
        <v>83</v>
      </c>
      <c r="W416" s="364" t="str">
        <f>VLOOKUP(I416,Map!$F$18:$H$51,3,0)</f>
        <v>Variable</v>
      </c>
      <c r="X416" s="370" t="s">
        <v>172</v>
      </c>
      <c r="Y416" s="364" t="str">
        <f>VLOOKUP(L416,Map!$C$18:$D$29,2,0)</f>
        <v>DFT</v>
      </c>
      <c r="Z416" s="365">
        <v>5498348.5477820728</v>
      </c>
      <c r="AA416" s="366">
        <f t="shared" si="101"/>
        <v>0</v>
      </c>
      <c r="AB416" s="366">
        <f t="shared" si="102"/>
        <v>6543034.7718606666</v>
      </c>
      <c r="AC416" s="367">
        <f t="shared" si="103"/>
        <v>5982.9690400240179</v>
      </c>
      <c r="AD416" s="367">
        <f t="shared" si="104"/>
        <v>0</v>
      </c>
      <c r="AE416" s="368">
        <f t="shared" si="105"/>
        <v>7119.7331576285806</v>
      </c>
      <c r="AF416" s="385"/>
    </row>
    <row r="417" spans="2:32" s="1" customFormat="1" ht="13" hidden="1" x14ac:dyDescent="0.3">
      <c r="B417" s="383">
        <v>2026</v>
      </c>
      <c r="C417" s="361" t="s">
        <v>400</v>
      </c>
      <c r="D417" s="361" t="s">
        <v>87</v>
      </c>
      <c r="E417" s="360" t="s">
        <v>177</v>
      </c>
      <c r="F417" s="360" t="s">
        <v>172</v>
      </c>
      <c r="G417" s="362"/>
      <c r="H417" s="363"/>
      <c r="I417" s="360" t="s">
        <v>148</v>
      </c>
      <c r="J417" s="364" t="str">
        <f>IFERROR(VLOOKUP(I417,Map!$F$18:$G$56,2,0),"Add in Map")</f>
        <v>3P</v>
      </c>
      <c r="K417" s="364" t="str">
        <f>VLOOKUP(L417,Map!$C$18:$D$29,2,0)</f>
        <v>DVT</v>
      </c>
      <c r="L417" s="360" t="s">
        <v>42</v>
      </c>
      <c r="M417" s="365"/>
      <c r="N417" s="366">
        <f t="shared" si="96"/>
        <v>0</v>
      </c>
      <c r="O417" s="366">
        <f t="shared" si="97"/>
        <v>0</v>
      </c>
      <c r="P417" s="367">
        <f t="shared" si="98"/>
        <v>0</v>
      </c>
      <c r="Q417" s="367">
        <f t="shared" si="99"/>
        <v>0</v>
      </c>
      <c r="R417" s="368">
        <f t="shared" si="100"/>
        <v>0</v>
      </c>
      <c r="S417" s="384">
        <f>INDEX(FX!$D$3:$O$19,MATCH(B417,FX!$B$3:$B$32,0),MATCH(D417,FX!$D$2:$O$2,0))</f>
        <v>919</v>
      </c>
      <c r="T417" s="360" t="s">
        <v>144</v>
      </c>
      <c r="U417" s="360" t="s">
        <v>32</v>
      </c>
      <c r="V417" s="360" t="s">
        <v>83</v>
      </c>
      <c r="W417" s="364" t="str">
        <f>VLOOKUP(I417,Map!$F$18:$H$51,3,0)</f>
        <v>Variable</v>
      </c>
      <c r="X417" s="370" t="s">
        <v>172</v>
      </c>
      <c r="Y417" s="364" t="str">
        <f>VLOOKUP(L417,Map!$C$18:$D$29,2,0)</f>
        <v>DVT</v>
      </c>
      <c r="Z417" s="365">
        <v>0</v>
      </c>
      <c r="AA417" s="366">
        <f t="shared" si="101"/>
        <v>0</v>
      </c>
      <c r="AB417" s="366">
        <f t="shared" si="102"/>
        <v>0</v>
      </c>
      <c r="AC417" s="367">
        <f t="shared" si="103"/>
        <v>0</v>
      </c>
      <c r="AD417" s="367">
        <f t="shared" si="104"/>
        <v>0</v>
      </c>
      <c r="AE417" s="368">
        <f t="shared" si="105"/>
        <v>0</v>
      </c>
      <c r="AF417" s="385"/>
    </row>
    <row r="418" spans="2:32" s="1" customFormat="1" ht="13" hidden="1" x14ac:dyDescent="0.3">
      <c r="B418" s="383">
        <v>2026</v>
      </c>
      <c r="C418" s="361" t="s">
        <v>400</v>
      </c>
      <c r="D418" s="361" t="s">
        <v>87</v>
      </c>
      <c r="E418" s="360" t="s">
        <v>177</v>
      </c>
      <c r="F418" s="360" t="s">
        <v>172</v>
      </c>
      <c r="G418" s="362"/>
      <c r="H418" s="363"/>
      <c r="I418" s="360" t="s">
        <v>148</v>
      </c>
      <c r="J418" s="364" t="str">
        <f>IFERROR(VLOOKUP(I418,Map!$F$18:$G$56,2,0),"Add in Map")</f>
        <v>3P</v>
      </c>
      <c r="K418" s="364" t="str">
        <f>VLOOKUP(L418,Map!$C$18:$D$29,2,0)</f>
        <v>GLT</v>
      </c>
      <c r="L418" s="360" t="s">
        <v>44</v>
      </c>
      <c r="M418" s="365"/>
      <c r="N418" s="366">
        <f t="shared" si="96"/>
        <v>0</v>
      </c>
      <c r="O418" s="366">
        <f t="shared" si="97"/>
        <v>0</v>
      </c>
      <c r="P418" s="367">
        <f t="shared" si="98"/>
        <v>0</v>
      </c>
      <c r="Q418" s="367">
        <f t="shared" si="99"/>
        <v>0</v>
      </c>
      <c r="R418" s="368">
        <f t="shared" si="100"/>
        <v>0</v>
      </c>
      <c r="S418" s="384">
        <f>INDEX(FX!$D$3:$O$19,MATCH(B418,FX!$B$3:$B$32,0),MATCH(D418,FX!$D$2:$O$2,0))</f>
        <v>919</v>
      </c>
      <c r="T418" s="360" t="s">
        <v>144</v>
      </c>
      <c r="U418" s="360" t="s">
        <v>32</v>
      </c>
      <c r="V418" s="360" t="s">
        <v>83</v>
      </c>
      <c r="W418" s="364" t="str">
        <f>VLOOKUP(I418,Map!$F$18:$H$51,3,0)</f>
        <v>Variable</v>
      </c>
      <c r="X418" s="370" t="s">
        <v>172</v>
      </c>
      <c r="Y418" s="364" t="str">
        <f>VLOOKUP(L418,Map!$C$18:$D$29,2,0)</f>
        <v>GLT</v>
      </c>
      <c r="Z418" s="365">
        <v>2208280.5940041388</v>
      </c>
      <c r="AA418" s="366">
        <f t="shared" si="101"/>
        <v>0</v>
      </c>
      <c r="AB418" s="366">
        <f t="shared" si="102"/>
        <v>2627853.9068649253</v>
      </c>
      <c r="AC418" s="367">
        <f t="shared" si="103"/>
        <v>2402.9168596345362</v>
      </c>
      <c r="AD418" s="367">
        <f t="shared" si="104"/>
        <v>0</v>
      </c>
      <c r="AE418" s="368">
        <f t="shared" si="105"/>
        <v>2859.4710629650981</v>
      </c>
      <c r="AF418" s="385"/>
    </row>
    <row r="419" spans="2:32" s="1" customFormat="1" ht="13" hidden="1" x14ac:dyDescent="0.3">
      <c r="B419" s="383">
        <v>2026</v>
      </c>
      <c r="C419" s="361" t="s">
        <v>400</v>
      </c>
      <c r="D419" s="361" t="s">
        <v>87</v>
      </c>
      <c r="E419" s="360" t="s">
        <v>177</v>
      </c>
      <c r="F419" s="360" t="s">
        <v>172</v>
      </c>
      <c r="G419" s="362"/>
      <c r="H419" s="363"/>
      <c r="I419" s="360" t="s">
        <v>148</v>
      </c>
      <c r="J419" s="364" t="str">
        <f>IFERROR(VLOOKUP(I419,Map!$F$18:$G$56,2,0),"Add in Map")</f>
        <v>3P</v>
      </c>
      <c r="K419" s="364" t="str">
        <f>VLOOKUP(L419,Map!$C$18:$D$29,2,0)</f>
        <v>PNT</v>
      </c>
      <c r="L419" s="360" t="s">
        <v>46</v>
      </c>
      <c r="M419" s="365"/>
      <c r="N419" s="366">
        <f t="shared" si="96"/>
        <v>0</v>
      </c>
      <c r="O419" s="366">
        <f t="shared" si="97"/>
        <v>0</v>
      </c>
      <c r="P419" s="367">
        <f t="shared" si="98"/>
        <v>0</v>
      </c>
      <c r="Q419" s="367">
        <f t="shared" si="99"/>
        <v>0</v>
      </c>
      <c r="R419" s="368">
        <f t="shared" si="100"/>
        <v>0</v>
      </c>
      <c r="S419" s="384">
        <f>INDEX(FX!$D$3:$O$19,MATCH(B419,FX!$B$3:$B$32,0),MATCH(D419,FX!$D$2:$O$2,0))</f>
        <v>919</v>
      </c>
      <c r="T419" s="360" t="s">
        <v>144</v>
      </c>
      <c r="U419" s="360" t="s">
        <v>32</v>
      </c>
      <c r="V419" s="360" t="s">
        <v>83</v>
      </c>
      <c r="W419" s="364" t="str">
        <f>VLOOKUP(I419,Map!$F$18:$H$51,3,0)</f>
        <v>Variable</v>
      </c>
      <c r="X419" s="370" t="s">
        <v>172</v>
      </c>
      <c r="Y419" s="364" t="str">
        <f>VLOOKUP(L419,Map!$C$18:$D$29,2,0)</f>
        <v>PNT</v>
      </c>
      <c r="Z419" s="365">
        <v>306772.38577969786</v>
      </c>
      <c r="AA419" s="366">
        <f t="shared" si="101"/>
        <v>0</v>
      </c>
      <c r="AB419" s="366">
        <f t="shared" si="102"/>
        <v>365059.13907784043</v>
      </c>
      <c r="AC419" s="367">
        <f t="shared" si="103"/>
        <v>333.8110835470053</v>
      </c>
      <c r="AD419" s="367">
        <f t="shared" si="104"/>
        <v>0</v>
      </c>
      <c r="AE419" s="368">
        <f t="shared" si="105"/>
        <v>397.23518942093631</v>
      </c>
      <c r="AF419" s="385"/>
    </row>
    <row r="420" spans="2:32" s="1" customFormat="1" ht="13" hidden="1" x14ac:dyDescent="0.3">
      <c r="B420" s="383">
        <v>2026</v>
      </c>
      <c r="C420" s="361" t="s">
        <v>400</v>
      </c>
      <c r="D420" s="361" t="s">
        <v>87</v>
      </c>
      <c r="E420" s="360" t="s">
        <v>177</v>
      </c>
      <c r="F420" s="360" t="s">
        <v>172</v>
      </c>
      <c r="G420" s="362"/>
      <c r="H420" s="363"/>
      <c r="I420" s="360" t="s">
        <v>148</v>
      </c>
      <c r="J420" s="364" t="str">
        <f>IFERROR(VLOOKUP(I420,Map!$F$18:$G$56,2,0),"Add in Map")</f>
        <v>3P</v>
      </c>
      <c r="K420" s="364" t="str">
        <f>VLOOKUP(L420,Map!$C$18:$D$29,2,0)</f>
        <v>GTT</v>
      </c>
      <c r="L420" s="360" t="s">
        <v>48</v>
      </c>
      <c r="M420" s="365"/>
      <c r="N420" s="366">
        <f t="shared" si="96"/>
        <v>0</v>
      </c>
      <c r="O420" s="366">
        <f t="shared" si="97"/>
        <v>0</v>
      </c>
      <c r="P420" s="367">
        <f t="shared" si="98"/>
        <v>0</v>
      </c>
      <c r="Q420" s="367">
        <f t="shared" si="99"/>
        <v>0</v>
      </c>
      <c r="R420" s="368">
        <f t="shared" si="100"/>
        <v>0</v>
      </c>
      <c r="S420" s="384">
        <f>INDEX(FX!$D$3:$O$19,MATCH(B420,FX!$B$3:$B$32,0),MATCH(D420,FX!$D$2:$O$2,0))</f>
        <v>919</v>
      </c>
      <c r="T420" s="360" t="s">
        <v>144</v>
      </c>
      <c r="U420" s="360" t="s">
        <v>32</v>
      </c>
      <c r="V420" s="360" t="s">
        <v>83</v>
      </c>
      <c r="W420" s="364" t="str">
        <f>VLOOKUP(I420,Map!$F$18:$H$51,3,0)</f>
        <v>Variable</v>
      </c>
      <c r="X420" s="370" t="s">
        <v>172</v>
      </c>
      <c r="Y420" s="364" t="str">
        <f>VLOOKUP(L420,Map!$C$18:$D$29,2,0)</f>
        <v>GTT</v>
      </c>
      <c r="Z420" s="365">
        <v>158741.35388771884</v>
      </c>
      <c r="AA420" s="366">
        <f t="shared" si="101"/>
        <v>0</v>
      </c>
      <c r="AB420" s="366">
        <f t="shared" si="102"/>
        <v>188902.2111263854</v>
      </c>
      <c r="AC420" s="367">
        <f t="shared" si="103"/>
        <v>172.73270281579852</v>
      </c>
      <c r="AD420" s="367">
        <f t="shared" si="104"/>
        <v>0</v>
      </c>
      <c r="AE420" s="368">
        <f t="shared" si="105"/>
        <v>205.55191635080024</v>
      </c>
      <c r="AF420" s="385"/>
    </row>
    <row r="421" spans="2:32" s="1" customFormat="1" ht="13" hidden="1" x14ac:dyDescent="0.3">
      <c r="B421" s="383">
        <v>2026</v>
      </c>
      <c r="C421" s="361" t="s">
        <v>400</v>
      </c>
      <c r="D421" s="361" t="s">
        <v>87</v>
      </c>
      <c r="E421" s="360" t="s">
        <v>177</v>
      </c>
      <c r="F421" s="360" t="s">
        <v>172</v>
      </c>
      <c r="G421" s="362"/>
      <c r="H421" s="363"/>
      <c r="I421" s="360" t="s">
        <v>148</v>
      </c>
      <c r="J421" s="364" t="str">
        <f>IFERROR(VLOOKUP(I421,Map!$F$18:$G$56,2,0),"Add in Map")</f>
        <v>3P</v>
      </c>
      <c r="K421" s="364" t="str">
        <f>VLOOKUP(L421,Map!$C$18:$D$29,2,0)</f>
        <v>DGT</v>
      </c>
      <c r="L421" s="360" t="s">
        <v>50</v>
      </c>
      <c r="M421" s="365"/>
      <c r="N421" s="366">
        <f t="shared" si="96"/>
        <v>0</v>
      </c>
      <c r="O421" s="366">
        <f t="shared" si="97"/>
        <v>0</v>
      </c>
      <c r="P421" s="367">
        <f t="shared" si="98"/>
        <v>0</v>
      </c>
      <c r="Q421" s="367">
        <f t="shared" si="99"/>
        <v>0</v>
      </c>
      <c r="R421" s="368">
        <f t="shared" si="100"/>
        <v>0</v>
      </c>
      <c r="S421" s="384">
        <f>INDEX(FX!$D$3:$O$19,MATCH(B421,FX!$B$3:$B$32,0),MATCH(D421,FX!$D$2:$O$2,0))</f>
        <v>919</v>
      </c>
      <c r="T421" s="360" t="s">
        <v>144</v>
      </c>
      <c r="U421" s="360" t="s">
        <v>32</v>
      </c>
      <c r="V421" s="360" t="s">
        <v>83</v>
      </c>
      <c r="W421" s="364" t="str">
        <f>VLOOKUP(I421,Map!$F$18:$H$51,3,0)</f>
        <v>Variable</v>
      </c>
      <c r="X421" s="370" t="s">
        <v>172</v>
      </c>
      <c r="Y421" s="364" t="str">
        <f>VLOOKUP(L421,Map!$C$18:$D$29,2,0)</f>
        <v>DGT</v>
      </c>
      <c r="Z421" s="365">
        <v>206944.60826094134</v>
      </c>
      <c r="AA421" s="366">
        <f t="shared" si="101"/>
        <v>0</v>
      </c>
      <c r="AB421" s="366">
        <f t="shared" si="102"/>
        <v>246264.08383052019</v>
      </c>
      <c r="AC421" s="367">
        <f t="shared" si="103"/>
        <v>225.18455741125283</v>
      </c>
      <c r="AD421" s="367">
        <f t="shared" si="104"/>
        <v>0</v>
      </c>
      <c r="AE421" s="368">
        <f t="shared" si="105"/>
        <v>267.96962331939085</v>
      </c>
      <c r="AF421" s="385"/>
    </row>
    <row r="422" spans="2:32" s="1" customFormat="1" ht="13" hidden="1" x14ac:dyDescent="0.3">
      <c r="B422" s="383">
        <v>2026</v>
      </c>
      <c r="C422" s="361" t="s">
        <v>400</v>
      </c>
      <c r="D422" s="361" t="s">
        <v>87</v>
      </c>
      <c r="E422" s="360" t="s">
        <v>177</v>
      </c>
      <c r="F422" s="360" t="s">
        <v>172</v>
      </c>
      <c r="G422" s="362"/>
      <c r="H422" s="363"/>
      <c r="I422" s="360" t="s">
        <v>148</v>
      </c>
      <c r="J422" s="364" t="str">
        <f>IFERROR(VLOOKUP(I422,Map!$F$18:$G$56,2,0),"Add in Map")</f>
        <v>3P</v>
      </c>
      <c r="K422" s="364" t="str">
        <f>VLOOKUP(L422,Map!$C$18:$D$29,2,0)</f>
        <v>DLT</v>
      </c>
      <c r="L422" s="360" t="s">
        <v>52</v>
      </c>
      <c r="M422" s="365"/>
      <c r="N422" s="366">
        <f t="shared" si="96"/>
        <v>0</v>
      </c>
      <c r="O422" s="366">
        <f t="shared" si="97"/>
        <v>0</v>
      </c>
      <c r="P422" s="367">
        <f t="shared" si="98"/>
        <v>0</v>
      </c>
      <c r="Q422" s="367">
        <f t="shared" si="99"/>
        <v>0</v>
      </c>
      <c r="R422" s="368">
        <f t="shared" si="100"/>
        <v>0</v>
      </c>
      <c r="S422" s="384">
        <f>INDEX(FX!$D$3:$O$19,MATCH(B422,FX!$B$3:$B$32,0),MATCH(D422,FX!$D$2:$O$2,0))</f>
        <v>919</v>
      </c>
      <c r="T422" s="360" t="s">
        <v>144</v>
      </c>
      <c r="U422" s="360" t="s">
        <v>32</v>
      </c>
      <c r="V422" s="360" t="s">
        <v>83</v>
      </c>
      <c r="W422" s="364" t="str">
        <f>VLOOKUP(I422,Map!$F$18:$H$51,3,0)</f>
        <v>Variable</v>
      </c>
      <c r="X422" s="370" t="s">
        <v>172</v>
      </c>
      <c r="Y422" s="364" t="str">
        <f>VLOOKUP(L422,Map!$C$18:$D$29,2,0)</f>
        <v>DLT</v>
      </c>
      <c r="Z422" s="365">
        <v>0</v>
      </c>
      <c r="AA422" s="366">
        <f t="shared" si="101"/>
        <v>0</v>
      </c>
      <c r="AB422" s="366">
        <f t="shared" si="102"/>
        <v>0</v>
      </c>
      <c r="AC422" s="367">
        <f t="shared" si="103"/>
        <v>0</v>
      </c>
      <c r="AD422" s="367">
        <f t="shared" si="104"/>
        <v>0</v>
      </c>
      <c r="AE422" s="368">
        <f t="shared" si="105"/>
        <v>0</v>
      </c>
      <c r="AF422" s="385"/>
    </row>
    <row r="423" spans="2:32" s="1" customFormat="1" ht="13" hidden="1" x14ac:dyDescent="0.3">
      <c r="B423" s="383">
        <v>2026</v>
      </c>
      <c r="C423" s="361" t="s">
        <v>400</v>
      </c>
      <c r="D423" s="361" t="s">
        <v>87</v>
      </c>
      <c r="E423" s="360" t="s">
        <v>177</v>
      </c>
      <c r="F423" s="360" t="s">
        <v>172</v>
      </c>
      <c r="G423" s="362"/>
      <c r="H423" s="363"/>
      <c r="I423" s="360" t="s">
        <v>148</v>
      </c>
      <c r="J423" s="364" t="str">
        <f>IFERROR(VLOOKUP(I423,Map!$F$18:$G$56,2,0),"Add in Map")</f>
        <v>3P</v>
      </c>
      <c r="K423" s="364" t="str">
        <f>VLOOKUP(L423,Map!$C$18:$D$29,2,0)</f>
        <v>DMT</v>
      </c>
      <c r="L423" s="360" t="s">
        <v>54</v>
      </c>
      <c r="M423" s="365"/>
      <c r="N423" s="366">
        <f t="shared" si="96"/>
        <v>0</v>
      </c>
      <c r="O423" s="366">
        <f t="shared" si="97"/>
        <v>0</v>
      </c>
      <c r="P423" s="386">
        <f t="shared" si="98"/>
        <v>0</v>
      </c>
      <c r="Q423" s="367">
        <f t="shared" si="99"/>
        <v>0</v>
      </c>
      <c r="R423" s="368">
        <f t="shared" si="100"/>
        <v>0</v>
      </c>
      <c r="S423" s="384">
        <f>INDEX(FX!$D$3:$O$19,MATCH(B423,FX!$B$3:$B$32,0),MATCH(D423,FX!$D$2:$O$2,0))</f>
        <v>919</v>
      </c>
      <c r="T423" s="360" t="s">
        <v>144</v>
      </c>
      <c r="U423" s="360" t="s">
        <v>32</v>
      </c>
      <c r="V423" s="360" t="s">
        <v>83</v>
      </c>
      <c r="W423" s="364" t="str">
        <f>VLOOKUP(I423,Map!$F$18:$H$51,3,0)</f>
        <v>Variable</v>
      </c>
      <c r="X423" s="370" t="s">
        <v>172</v>
      </c>
      <c r="Y423" s="364" t="str">
        <f>VLOOKUP(L423,Map!$C$18:$D$29,2,0)</f>
        <v>DMT</v>
      </c>
      <c r="Z423" s="365">
        <v>0</v>
      </c>
      <c r="AA423" s="366">
        <f t="shared" si="101"/>
        <v>0</v>
      </c>
      <c r="AB423" s="366">
        <f t="shared" si="102"/>
        <v>0</v>
      </c>
      <c r="AC423" s="386">
        <f t="shared" si="103"/>
        <v>0</v>
      </c>
      <c r="AD423" s="367">
        <f t="shared" si="104"/>
        <v>0</v>
      </c>
      <c r="AE423" s="368">
        <f t="shared" si="105"/>
        <v>0</v>
      </c>
      <c r="AF423" s="385"/>
    </row>
    <row r="424" spans="2:32" s="37" customFormat="1" hidden="1" x14ac:dyDescent="0.35">
      <c r="B424" s="387">
        <v>2026</v>
      </c>
      <c r="C424" s="389" t="s">
        <v>400</v>
      </c>
      <c r="D424" s="389" t="s">
        <v>87</v>
      </c>
      <c r="E424" s="388" t="s">
        <v>177</v>
      </c>
      <c r="F424" s="388" t="s">
        <v>172</v>
      </c>
      <c r="G424" s="390"/>
      <c r="H424" s="391"/>
      <c r="I424" s="388" t="s">
        <v>148</v>
      </c>
      <c r="J424" s="392" t="str">
        <f>IFERROR(VLOOKUP(I424,Map!$F$18:$G$56,2,0),"Add in Map")</f>
        <v>3P</v>
      </c>
      <c r="K424" s="392" t="str">
        <f>VLOOKUP(L424,Map!$C$18:$D$29,2,0)</f>
        <v>TOTAL</v>
      </c>
      <c r="L424" s="388" t="s">
        <v>56</v>
      </c>
      <c r="M424" s="393">
        <f>SUM(M413:M423)</f>
        <v>0</v>
      </c>
      <c r="N424" s="393">
        <f t="shared" si="96"/>
        <v>0</v>
      </c>
      <c r="O424" s="393">
        <f t="shared" si="97"/>
        <v>0</v>
      </c>
      <c r="P424" s="394">
        <f t="shared" si="98"/>
        <v>0</v>
      </c>
      <c r="Q424" s="394">
        <f t="shared" si="99"/>
        <v>0</v>
      </c>
      <c r="R424" s="395">
        <f t="shared" si="100"/>
        <v>0</v>
      </c>
      <c r="S424" s="396">
        <f>INDEX(FX!$D$3:$O$19,MATCH(B424,FX!$B$3:$B$32,0),MATCH(D424,FX!$D$2:$O$2,0))</f>
        <v>919</v>
      </c>
      <c r="T424" s="388" t="s">
        <v>144</v>
      </c>
      <c r="U424" s="388" t="s">
        <v>32</v>
      </c>
      <c r="V424" s="388" t="s">
        <v>83</v>
      </c>
      <c r="W424" s="392" t="str">
        <f>VLOOKUP(I424,Map!$F$18:$H$51,3,0)</f>
        <v>Variable</v>
      </c>
      <c r="X424" s="397" t="s">
        <v>172</v>
      </c>
      <c r="Y424" s="392" t="str">
        <f>VLOOKUP(L424,Map!$C$18:$D$29,2,0)</f>
        <v>TOTAL</v>
      </c>
      <c r="Z424" s="393">
        <f>SUM(Z413:Z423)</f>
        <v>11104182.509999998</v>
      </c>
      <c r="AA424" s="393">
        <f t="shared" si="101"/>
        <v>2109794.6768999998</v>
      </c>
      <c r="AB424" s="393">
        <f t="shared" si="102"/>
        <v>13213977.186899997</v>
      </c>
      <c r="AC424" s="394">
        <f t="shared" si="103"/>
        <v>12082.897181719258</v>
      </c>
      <c r="AD424" s="394">
        <f t="shared" si="104"/>
        <v>2295.750464526659</v>
      </c>
      <c r="AE424" s="395">
        <f t="shared" si="105"/>
        <v>14378.647646245916</v>
      </c>
      <c r="AF424" s="398"/>
    </row>
    <row r="425" spans="2:32" s="5" customFormat="1" ht="13" hidden="1" x14ac:dyDescent="0.3">
      <c r="B425" s="400">
        <v>2026</v>
      </c>
      <c r="C425" s="402" t="s">
        <v>402</v>
      </c>
      <c r="D425" s="402" t="s">
        <v>87</v>
      </c>
      <c r="E425" s="401" t="s">
        <v>177</v>
      </c>
      <c r="F425" s="401" t="s">
        <v>172</v>
      </c>
      <c r="G425" s="403"/>
      <c r="H425" s="404"/>
      <c r="I425" s="401" t="s">
        <v>148</v>
      </c>
      <c r="J425" s="405" t="str">
        <f>IFERROR(VLOOKUP(I425,Map!$F$18:$G$56,2,0),"Add in Map")</f>
        <v>3P</v>
      </c>
      <c r="K425" s="405" t="str">
        <f>VLOOKUP(L425,Map!$C$18:$D$29,2,0)</f>
        <v>CNT</v>
      </c>
      <c r="L425" s="401" t="s">
        <v>31</v>
      </c>
      <c r="M425" s="406"/>
      <c r="N425" s="407">
        <f t="shared" si="96"/>
        <v>0</v>
      </c>
      <c r="O425" s="407">
        <f t="shared" si="97"/>
        <v>0</v>
      </c>
      <c r="P425" s="408">
        <f t="shared" si="98"/>
        <v>0</v>
      </c>
      <c r="Q425" s="408">
        <f t="shared" si="99"/>
        <v>0</v>
      </c>
      <c r="R425" s="409">
        <f t="shared" si="100"/>
        <v>0</v>
      </c>
      <c r="S425" s="410">
        <f>INDEX(FX!$D$3:$O$19,MATCH(B425,FX!$B$3:$B$32,0),MATCH(D425,FX!$D$2:$O$2,0))</f>
        <v>919</v>
      </c>
      <c r="T425" s="401" t="s">
        <v>143</v>
      </c>
      <c r="U425" s="401" t="s">
        <v>32</v>
      </c>
      <c r="V425" s="401" t="s">
        <v>83</v>
      </c>
      <c r="W425" s="405" t="str">
        <f>VLOOKUP(I425,Map!$F$18:$H$51,3,0)</f>
        <v>Variable</v>
      </c>
      <c r="X425" s="411" t="s">
        <v>172</v>
      </c>
      <c r="Y425" s="405" t="str">
        <f>VLOOKUP(L425,Map!$C$18:$D$29,2,0)</f>
        <v>CNT</v>
      </c>
      <c r="Z425" s="406">
        <v>3305365.6985000223</v>
      </c>
      <c r="AA425" s="407">
        <f t="shared" si="101"/>
        <v>0</v>
      </c>
      <c r="AB425" s="407">
        <f t="shared" si="102"/>
        <v>3933385.1812150264</v>
      </c>
      <c r="AC425" s="408">
        <f t="shared" si="103"/>
        <v>3596.6982573449645</v>
      </c>
      <c r="AD425" s="408">
        <f t="shared" si="104"/>
        <v>0</v>
      </c>
      <c r="AE425" s="409">
        <f t="shared" si="105"/>
        <v>4280.070926240508</v>
      </c>
      <c r="AF425" s="412"/>
    </row>
    <row r="426" spans="2:32" s="1" customFormat="1" ht="13" hidden="1" x14ac:dyDescent="0.3">
      <c r="B426" s="383">
        <v>2026</v>
      </c>
      <c r="C426" s="361" t="s">
        <v>402</v>
      </c>
      <c r="D426" s="361" t="s">
        <v>87</v>
      </c>
      <c r="E426" s="360" t="s">
        <v>177</v>
      </c>
      <c r="F426" s="360" t="s">
        <v>172</v>
      </c>
      <c r="G426" s="362"/>
      <c r="H426" s="363"/>
      <c r="I426" s="360" t="s">
        <v>148</v>
      </c>
      <c r="J426" s="364" t="str">
        <f>IFERROR(VLOOKUP(I426,Map!$F$18:$G$56,2,0),"Add in Map")</f>
        <v>3P</v>
      </c>
      <c r="K426" s="364" t="str">
        <f>VLOOKUP(L426,Map!$C$18:$D$29,2,0)</f>
        <v>CVT</v>
      </c>
      <c r="L426" s="360" t="s">
        <v>36</v>
      </c>
      <c r="M426" s="365"/>
      <c r="N426" s="366">
        <f t="shared" si="96"/>
        <v>0</v>
      </c>
      <c r="O426" s="366">
        <f t="shared" si="97"/>
        <v>0</v>
      </c>
      <c r="P426" s="367">
        <f t="shared" si="98"/>
        <v>0</v>
      </c>
      <c r="Q426" s="367">
        <f t="shared" si="99"/>
        <v>0</v>
      </c>
      <c r="R426" s="368">
        <f t="shared" si="100"/>
        <v>0</v>
      </c>
      <c r="S426" s="384">
        <f>INDEX(FX!$D$3:$O$19,MATCH(B426,FX!$B$3:$B$32,0),MATCH(D426,FX!$D$2:$O$2,0))</f>
        <v>919</v>
      </c>
      <c r="T426" s="360" t="s">
        <v>143</v>
      </c>
      <c r="U426" s="360" t="s">
        <v>32</v>
      </c>
      <c r="V426" s="360" t="s">
        <v>83</v>
      </c>
      <c r="W426" s="364" t="str">
        <f>VLOOKUP(I426,Map!$F$18:$H$51,3,0)</f>
        <v>Variable</v>
      </c>
      <c r="X426" s="370" t="s">
        <v>172</v>
      </c>
      <c r="Y426" s="364" t="str">
        <f>VLOOKUP(L426,Map!$C$18:$D$29,2,0)</f>
        <v>CVT</v>
      </c>
      <c r="Z426" s="365">
        <v>0</v>
      </c>
      <c r="AA426" s="366">
        <f t="shared" si="101"/>
        <v>0</v>
      </c>
      <c r="AB426" s="366">
        <f t="shared" si="102"/>
        <v>0</v>
      </c>
      <c r="AC426" s="367">
        <f t="shared" si="103"/>
        <v>0</v>
      </c>
      <c r="AD426" s="367">
        <f t="shared" si="104"/>
        <v>0</v>
      </c>
      <c r="AE426" s="368">
        <f t="shared" si="105"/>
        <v>0</v>
      </c>
      <c r="AF426" s="385"/>
    </row>
    <row r="427" spans="2:32" s="1" customFormat="1" ht="13" hidden="1" x14ac:dyDescent="0.3">
      <c r="B427" s="383">
        <v>2026</v>
      </c>
      <c r="C427" s="361" t="s">
        <v>402</v>
      </c>
      <c r="D427" s="361" t="s">
        <v>87</v>
      </c>
      <c r="E427" s="360" t="s">
        <v>177</v>
      </c>
      <c r="F427" s="360" t="s">
        <v>172</v>
      </c>
      <c r="G427" s="362"/>
      <c r="H427" s="363"/>
      <c r="I427" s="360" t="s">
        <v>148</v>
      </c>
      <c r="J427" s="364" t="str">
        <f>IFERROR(VLOOKUP(I427,Map!$F$18:$G$56,2,0),"Add in Map")</f>
        <v>3P</v>
      </c>
      <c r="K427" s="364" t="str">
        <f>VLOOKUP(L427,Map!$C$18:$D$29,2,0)</f>
        <v>CDT</v>
      </c>
      <c r="L427" s="360" t="s">
        <v>38</v>
      </c>
      <c r="M427" s="365"/>
      <c r="N427" s="366">
        <f t="shared" si="96"/>
        <v>0</v>
      </c>
      <c r="O427" s="366">
        <f t="shared" si="97"/>
        <v>0</v>
      </c>
      <c r="P427" s="367">
        <f t="shared" si="98"/>
        <v>0</v>
      </c>
      <c r="Q427" s="367">
        <f t="shared" si="99"/>
        <v>0</v>
      </c>
      <c r="R427" s="368">
        <f t="shared" si="100"/>
        <v>0</v>
      </c>
      <c r="S427" s="384">
        <f>INDEX(FX!$D$3:$O$19,MATCH(B427,FX!$B$3:$B$32,0),MATCH(D427,FX!$D$2:$O$2,0))</f>
        <v>919</v>
      </c>
      <c r="T427" s="360" t="s">
        <v>143</v>
      </c>
      <c r="U427" s="360" t="s">
        <v>32</v>
      </c>
      <c r="V427" s="360" t="s">
        <v>83</v>
      </c>
      <c r="W427" s="364" t="str">
        <f>VLOOKUP(I427,Map!$F$18:$H$51,3,0)</f>
        <v>Variable</v>
      </c>
      <c r="X427" s="370" t="s">
        <v>172</v>
      </c>
      <c r="Y427" s="364" t="str">
        <f>VLOOKUP(L427,Map!$C$18:$D$29,2,0)</f>
        <v>CDT</v>
      </c>
      <c r="Z427" s="365">
        <v>217589.09432812355</v>
      </c>
      <c r="AA427" s="366">
        <f t="shared" si="101"/>
        <v>0</v>
      </c>
      <c r="AB427" s="366">
        <f t="shared" si="102"/>
        <v>258931.02225046701</v>
      </c>
      <c r="AC427" s="367">
        <f t="shared" si="103"/>
        <v>236.76724083582542</v>
      </c>
      <c r="AD427" s="367">
        <f t="shared" si="104"/>
        <v>0</v>
      </c>
      <c r="AE427" s="368">
        <f t="shared" si="105"/>
        <v>281.75301659463224</v>
      </c>
      <c r="AF427" s="385"/>
    </row>
    <row r="428" spans="2:32" s="1" customFormat="1" ht="13" hidden="1" x14ac:dyDescent="0.3">
      <c r="B428" s="383">
        <v>2026</v>
      </c>
      <c r="C428" s="361" t="s">
        <v>402</v>
      </c>
      <c r="D428" s="361" t="s">
        <v>87</v>
      </c>
      <c r="E428" s="360" t="s">
        <v>177</v>
      </c>
      <c r="F428" s="360" t="s">
        <v>172</v>
      </c>
      <c r="G428" s="362"/>
      <c r="H428" s="363"/>
      <c r="I428" s="360" t="s">
        <v>148</v>
      </c>
      <c r="J428" s="364" t="str">
        <f>IFERROR(VLOOKUP(I428,Map!$F$18:$G$56,2,0),"Add in Map")</f>
        <v>3P</v>
      </c>
      <c r="K428" s="364" t="str">
        <f>VLOOKUP(L428,Map!$C$18:$D$29,2,0)</f>
        <v>DFT</v>
      </c>
      <c r="L428" s="360" t="s">
        <v>40</v>
      </c>
      <c r="M428" s="365"/>
      <c r="N428" s="366">
        <f t="shared" si="96"/>
        <v>0</v>
      </c>
      <c r="O428" s="366">
        <f t="shared" si="97"/>
        <v>0</v>
      </c>
      <c r="P428" s="367">
        <f t="shared" si="98"/>
        <v>0</v>
      </c>
      <c r="Q428" s="367">
        <f t="shared" si="99"/>
        <v>0</v>
      </c>
      <c r="R428" s="368">
        <f t="shared" si="100"/>
        <v>0</v>
      </c>
      <c r="S428" s="384">
        <f>INDEX(FX!$D$3:$O$19,MATCH(B428,FX!$B$3:$B$32,0),MATCH(D428,FX!$D$2:$O$2,0))</f>
        <v>919</v>
      </c>
      <c r="T428" s="360" t="s">
        <v>143</v>
      </c>
      <c r="U428" s="360" t="s">
        <v>32</v>
      </c>
      <c r="V428" s="360" t="s">
        <v>83</v>
      </c>
      <c r="W428" s="364" t="str">
        <f>VLOOKUP(I428,Map!$F$18:$H$51,3,0)</f>
        <v>Variable</v>
      </c>
      <c r="X428" s="370" t="s">
        <v>172</v>
      </c>
      <c r="Y428" s="364" t="str">
        <f>VLOOKUP(L428,Map!$C$18:$D$29,2,0)</f>
        <v>DFT</v>
      </c>
      <c r="Z428" s="365">
        <v>7108168.0546389334</v>
      </c>
      <c r="AA428" s="366">
        <f t="shared" si="101"/>
        <v>0</v>
      </c>
      <c r="AB428" s="366">
        <f t="shared" si="102"/>
        <v>8458719.9850203302</v>
      </c>
      <c r="AC428" s="367">
        <f t="shared" si="103"/>
        <v>7734.676882088067</v>
      </c>
      <c r="AD428" s="367">
        <f t="shared" si="104"/>
        <v>0</v>
      </c>
      <c r="AE428" s="368">
        <f t="shared" si="105"/>
        <v>9204.2654896847998</v>
      </c>
      <c r="AF428" s="385"/>
    </row>
    <row r="429" spans="2:32" s="1" customFormat="1" ht="13" hidden="1" x14ac:dyDescent="0.3">
      <c r="B429" s="383">
        <v>2026</v>
      </c>
      <c r="C429" s="361" t="s">
        <v>402</v>
      </c>
      <c r="D429" s="361" t="s">
        <v>87</v>
      </c>
      <c r="E429" s="360" t="s">
        <v>177</v>
      </c>
      <c r="F429" s="360" t="s">
        <v>172</v>
      </c>
      <c r="G429" s="362"/>
      <c r="H429" s="363"/>
      <c r="I429" s="360" t="s">
        <v>148</v>
      </c>
      <c r="J429" s="364" t="str">
        <f>IFERROR(VLOOKUP(I429,Map!$F$18:$G$56,2,0),"Add in Map")</f>
        <v>3P</v>
      </c>
      <c r="K429" s="364" t="str">
        <f>VLOOKUP(L429,Map!$C$18:$D$29,2,0)</f>
        <v>DVT</v>
      </c>
      <c r="L429" s="360" t="s">
        <v>42</v>
      </c>
      <c r="M429" s="365"/>
      <c r="N429" s="366">
        <f t="shared" si="96"/>
        <v>0</v>
      </c>
      <c r="O429" s="366">
        <f t="shared" si="97"/>
        <v>0</v>
      </c>
      <c r="P429" s="367">
        <f t="shared" si="98"/>
        <v>0</v>
      </c>
      <c r="Q429" s="367">
        <f t="shared" si="99"/>
        <v>0</v>
      </c>
      <c r="R429" s="368">
        <f t="shared" si="100"/>
        <v>0</v>
      </c>
      <c r="S429" s="384">
        <f>INDEX(FX!$D$3:$O$19,MATCH(B429,FX!$B$3:$B$32,0),MATCH(D429,FX!$D$2:$O$2,0))</f>
        <v>919</v>
      </c>
      <c r="T429" s="360" t="s">
        <v>143</v>
      </c>
      <c r="U429" s="360" t="s">
        <v>32</v>
      </c>
      <c r="V429" s="360" t="s">
        <v>83</v>
      </c>
      <c r="W429" s="364" t="str">
        <f>VLOOKUP(I429,Map!$F$18:$H$51,3,0)</f>
        <v>Variable</v>
      </c>
      <c r="X429" s="370" t="s">
        <v>172</v>
      </c>
      <c r="Y429" s="364" t="str">
        <f>VLOOKUP(L429,Map!$C$18:$D$29,2,0)</f>
        <v>DVT</v>
      </c>
      <c r="Z429" s="365">
        <v>0</v>
      </c>
      <c r="AA429" s="366">
        <f t="shared" si="101"/>
        <v>0</v>
      </c>
      <c r="AB429" s="366">
        <f t="shared" si="102"/>
        <v>0</v>
      </c>
      <c r="AC429" s="367">
        <f t="shared" si="103"/>
        <v>0</v>
      </c>
      <c r="AD429" s="367">
        <f t="shared" si="104"/>
        <v>0</v>
      </c>
      <c r="AE429" s="368">
        <f t="shared" si="105"/>
        <v>0</v>
      </c>
      <c r="AF429" s="385"/>
    </row>
    <row r="430" spans="2:32" s="1" customFormat="1" ht="13" hidden="1" x14ac:dyDescent="0.3">
      <c r="B430" s="383">
        <v>2026</v>
      </c>
      <c r="C430" s="361" t="s">
        <v>402</v>
      </c>
      <c r="D430" s="361" t="s">
        <v>87</v>
      </c>
      <c r="E430" s="360" t="s">
        <v>177</v>
      </c>
      <c r="F430" s="360" t="s">
        <v>172</v>
      </c>
      <c r="G430" s="362"/>
      <c r="H430" s="363"/>
      <c r="I430" s="360" t="s">
        <v>148</v>
      </c>
      <c r="J430" s="364" t="str">
        <f>IFERROR(VLOOKUP(I430,Map!$F$18:$G$56,2,0),"Add in Map")</f>
        <v>3P</v>
      </c>
      <c r="K430" s="364" t="str">
        <f>VLOOKUP(L430,Map!$C$18:$D$29,2,0)</f>
        <v>GLT</v>
      </c>
      <c r="L430" s="360" t="s">
        <v>44</v>
      </c>
      <c r="M430" s="365"/>
      <c r="N430" s="366">
        <f t="shared" si="96"/>
        <v>0</v>
      </c>
      <c r="O430" s="366">
        <f t="shared" si="97"/>
        <v>0</v>
      </c>
      <c r="P430" s="367">
        <f t="shared" si="98"/>
        <v>0</v>
      </c>
      <c r="Q430" s="367">
        <f t="shared" si="99"/>
        <v>0</v>
      </c>
      <c r="R430" s="368">
        <f t="shared" si="100"/>
        <v>0</v>
      </c>
      <c r="S430" s="384">
        <f>INDEX(FX!$D$3:$O$19,MATCH(B430,FX!$B$3:$B$32,0),MATCH(D430,FX!$D$2:$O$2,0))</f>
        <v>919</v>
      </c>
      <c r="T430" s="360" t="s">
        <v>143</v>
      </c>
      <c r="U430" s="360" t="s">
        <v>32</v>
      </c>
      <c r="V430" s="360" t="s">
        <v>83</v>
      </c>
      <c r="W430" s="364" t="str">
        <f>VLOOKUP(I430,Map!$F$18:$H$51,3,0)</f>
        <v>Variable</v>
      </c>
      <c r="X430" s="370" t="s">
        <v>172</v>
      </c>
      <c r="Y430" s="364" t="str">
        <f>VLOOKUP(L430,Map!$C$18:$D$29,2,0)</f>
        <v>GLT</v>
      </c>
      <c r="Z430" s="365">
        <v>2854826.215102552</v>
      </c>
      <c r="AA430" s="366">
        <f t="shared" si="101"/>
        <v>0</v>
      </c>
      <c r="AB430" s="366">
        <f t="shared" si="102"/>
        <v>3397243.1959720366</v>
      </c>
      <c r="AC430" s="367">
        <f t="shared" si="103"/>
        <v>3106.4485474456496</v>
      </c>
      <c r="AD430" s="367">
        <f t="shared" si="104"/>
        <v>0</v>
      </c>
      <c r="AE430" s="368">
        <f t="shared" si="105"/>
        <v>3696.6737714603228</v>
      </c>
      <c r="AF430" s="385"/>
    </row>
    <row r="431" spans="2:32" s="1" customFormat="1" ht="13" hidden="1" x14ac:dyDescent="0.3">
      <c r="B431" s="383">
        <v>2026</v>
      </c>
      <c r="C431" s="361" t="s">
        <v>402</v>
      </c>
      <c r="D431" s="361" t="s">
        <v>87</v>
      </c>
      <c r="E431" s="360" t="s">
        <v>177</v>
      </c>
      <c r="F431" s="360" t="s">
        <v>172</v>
      </c>
      <c r="G431" s="362"/>
      <c r="H431" s="363"/>
      <c r="I431" s="360" t="s">
        <v>148</v>
      </c>
      <c r="J431" s="364" t="str">
        <f>IFERROR(VLOOKUP(I431,Map!$F$18:$G$56,2,0),"Add in Map")</f>
        <v>3P</v>
      </c>
      <c r="K431" s="364" t="str">
        <f>VLOOKUP(L431,Map!$C$18:$D$29,2,0)</f>
        <v>PNT</v>
      </c>
      <c r="L431" s="360" t="s">
        <v>46</v>
      </c>
      <c r="M431" s="365"/>
      <c r="N431" s="366">
        <f t="shared" si="96"/>
        <v>0</v>
      </c>
      <c r="O431" s="366">
        <f t="shared" si="97"/>
        <v>0</v>
      </c>
      <c r="P431" s="367">
        <f t="shared" si="98"/>
        <v>0</v>
      </c>
      <c r="Q431" s="367">
        <f t="shared" si="99"/>
        <v>0</v>
      </c>
      <c r="R431" s="368">
        <f t="shared" si="100"/>
        <v>0</v>
      </c>
      <c r="S431" s="384">
        <f>INDEX(FX!$D$3:$O$19,MATCH(B431,FX!$B$3:$B$32,0),MATCH(D431,FX!$D$2:$O$2,0))</f>
        <v>919</v>
      </c>
      <c r="T431" s="360" t="s">
        <v>143</v>
      </c>
      <c r="U431" s="360" t="s">
        <v>32</v>
      </c>
      <c r="V431" s="360" t="s">
        <v>83</v>
      </c>
      <c r="W431" s="364" t="str">
        <f>VLOOKUP(I431,Map!$F$18:$H$51,3,0)</f>
        <v>Variable</v>
      </c>
      <c r="X431" s="370" t="s">
        <v>172</v>
      </c>
      <c r="Y431" s="364" t="str">
        <f>VLOOKUP(L431,Map!$C$18:$D$29,2,0)</f>
        <v>PNT</v>
      </c>
      <c r="Z431" s="365">
        <v>396589.93126658496</v>
      </c>
      <c r="AA431" s="366">
        <f t="shared" si="101"/>
        <v>0</v>
      </c>
      <c r="AB431" s="366">
        <f t="shared" si="102"/>
        <v>471942.01820723608</v>
      </c>
      <c r="AC431" s="367">
        <f t="shared" si="103"/>
        <v>431.54508298866699</v>
      </c>
      <c r="AD431" s="367">
        <f t="shared" si="104"/>
        <v>0</v>
      </c>
      <c r="AE431" s="368">
        <f t="shared" si="105"/>
        <v>513.53864875651368</v>
      </c>
      <c r="AF431" s="385"/>
    </row>
    <row r="432" spans="2:32" s="1" customFormat="1" ht="13" hidden="1" x14ac:dyDescent="0.3">
      <c r="B432" s="383">
        <v>2026</v>
      </c>
      <c r="C432" s="361" t="s">
        <v>402</v>
      </c>
      <c r="D432" s="361" t="s">
        <v>87</v>
      </c>
      <c r="E432" s="360" t="s">
        <v>177</v>
      </c>
      <c r="F432" s="360" t="s">
        <v>172</v>
      </c>
      <c r="G432" s="362"/>
      <c r="H432" s="363"/>
      <c r="I432" s="360" t="s">
        <v>148</v>
      </c>
      <c r="J432" s="364" t="str">
        <f>IFERROR(VLOOKUP(I432,Map!$F$18:$G$56,2,0),"Add in Map")</f>
        <v>3P</v>
      </c>
      <c r="K432" s="364" t="str">
        <f>VLOOKUP(L432,Map!$C$18:$D$29,2,0)</f>
        <v>GTT</v>
      </c>
      <c r="L432" s="360" t="s">
        <v>48</v>
      </c>
      <c r="M432" s="365"/>
      <c r="N432" s="366">
        <f t="shared" si="96"/>
        <v>0</v>
      </c>
      <c r="O432" s="366">
        <f t="shared" si="97"/>
        <v>0</v>
      </c>
      <c r="P432" s="367">
        <f t="shared" si="98"/>
        <v>0</v>
      </c>
      <c r="Q432" s="367">
        <f t="shared" si="99"/>
        <v>0</v>
      </c>
      <c r="R432" s="368">
        <f t="shared" si="100"/>
        <v>0</v>
      </c>
      <c r="S432" s="384">
        <f>INDEX(FX!$D$3:$O$19,MATCH(B432,FX!$B$3:$B$32,0),MATCH(D432,FX!$D$2:$O$2,0))</f>
        <v>919</v>
      </c>
      <c r="T432" s="360" t="s">
        <v>143</v>
      </c>
      <c r="U432" s="360" t="s">
        <v>32</v>
      </c>
      <c r="V432" s="360" t="s">
        <v>83</v>
      </c>
      <c r="W432" s="364" t="str">
        <f>VLOOKUP(I432,Map!$F$18:$H$51,3,0)</f>
        <v>Variable</v>
      </c>
      <c r="X432" s="370" t="s">
        <v>172</v>
      </c>
      <c r="Y432" s="364" t="str">
        <f>VLOOKUP(L432,Map!$C$18:$D$29,2,0)</f>
        <v>GTT</v>
      </c>
      <c r="Z432" s="365">
        <v>205218.02334811524</v>
      </c>
      <c r="AA432" s="366">
        <f t="shared" si="101"/>
        <v>0</v>
      </c>
      <c r="AB432" s="366">
        <f t="shared" si="102"/>
        <v>244209.44778425712</v>
      </c>
      <c r="AC432" s="367">
        <f t="shared" si="103"/>
        <v>223.30579254419504</v>
      </c>
      <c r="AD432" s="367">
        <f t="shared" si="104"/>
        <v>0</v>
      </c>
      <c r="AE432" s="368">
        <f t="shared" si="105"/>
        <v>265.73389312759207</v>
      </c>
      <c r="AF432" s="385"/>
    </row>
    <row r="433" spans="2:33" s="1" customFormat="1" ht="13" hidden="1" x14ac:dyDescent="0.3">
      <c r="B433" s="383">
        <v>2026</v>
      </c>
      <c r="C433" s="361" t="s">
        <v>402</v>
      </c>
      <c r="D433" s="361" t="s">
        <v>87</v>
      </c>
      <c r="E433" s="360" t="s">
        <v>177</v>
      </c>
      <c r="F433" s="360" t="s">
        <v>172</v>
      </c>
      <c r="G433" s="362"/>
      <c r="H433" s="363"/>
      <c r="I433" s="360" t="s">
        <v>148</v>
      </c>
      <c r="J433" s="364" t="str">
        <f>IFERROR(VLOOKUP(I433,Map!$F$18:$G$56,2,0),"Add in Map")</f>
        <v>3P</v>
      </c>
      <c r="K433" s="364" t="str">
        <f>VLOOKUP(L433,Map!$C$18:$D$29,2,0)</f>
        <v>DGT</v>
      </c>
      <c r="L433" s="360" t="s">
        <v>50</v>
      </c>
      <c r="M433" s="365"/>
      <c r="N433" s="366">
        <f t="shared" si="96"/>
        <v>0</v>
      </c>
      <c r="O433" s="366">
        <f t="shared" si="97"/>
        <v>0</v>
      </c>
      <c r="P433" s="367">
        <f t="shared" si="98"/>
        <v>0</v>
      </c>
      <c r="Q433" s="367">
        <f t="shared" si="99"/>
        <v>0</v>
      </c>
      <c r="R433" s="368">
        <f t="shared" si="100"/>
        <v>0</v>
      </c>
      <c r="S433" s="384">
        <f>INDEX(FX!$D$3:$O$19,MATCH(B433,FX!$B$3:$B$32,0),MATCH(D433,FX!$D$2:$O$2,0))</f>
        <v>919</v>
      </c>
      <c r="T433" s="360" t="s">
        <v>143</v>
      </c>
      <c r="U433" s="360" t="s">
        <v>32</v>
      </c>
      <c r="V433" s="360" t="s">
        <v>83</v>
      </c>
      <c r="W433" s="364" t="str">
        <f>VLOOKUP(I433,Map!$F$18:$H$51,3,0)</f>
        <v>Variable</v>
      </c>
      <c r="X433" s="370" t="s">
        <v>172</v>
      </c>
      <c r="Y433" s="364" t="str">
        <f>VLOOKUP(L433,Map!$C$18:$D$29,2,0)</f>
        <v>DGT</v>
      </c>
      <c r="Z433" s="365">
        <v>267534.34067281225</v>
      </c>
      <c r="AA433" s="366">
        <f t="shared" si="101"/>
        <v>0</v>
      </c>
      <c r="AB433" s="366">
        <f t="shared" si="102"/>
        <v>318365.86540064658</v>
      </c>
      <c r="AC433" s="367">
        <f t="shared" si="103"/>
        <v>291.11462532406119</v>
      </c>
      <c r="AD433" s="367">
        <f t="shared" si="104"/>
        <v>0</v>
      </c>
      <c r="AE433" s="368">
        <f t="shared" si="105"/>
        <v>346.42640413563282</v>
      </c>
      <c r="AF433" s="385"/>
    </row>
    <row r="434" spans="2:33" s="1" customFormat="1" ht="13" hidden="1" x14ac:dyDescent="0.3">
      <c r="B434" s="383">
        <v>2026</v>
      </c>
      <c r="C434" s="361" t="s">
        <v>402</v>
      </c>
      <c r="D434" s="361" t="s">
        <v>87</v>
      </c>
      <c r="E434" s="360" t="s">
        <v>177</v>
      </c>
      <c r="F434" s="360" t="s">
        <v>172</v>
      </c>
      <c r="G434" s="362"/>
      <c r="H434" s="363"/>
      <c r="I434" s="360" t="s">
        <v>148</v>
      </c>
      <c r="J434" s="364" t="str">
        <f>IFERROR(VLOOKUP(I434,Map!$F$18:$G$56,2,0),"Add in Map")</f>
        <v>3P</v>
      </c>
      <c r="K434" s="364" t="str">
        <f>VLOOKUP(L434,Map!$C$18:$D$29,2,0)</f>
        <v>DLT</v>
      </c>
      <c r="L434" s="360" t="s">
        <v>52</v>
      </c>
      <c r="M434" s="365"/>
      <c r="N434" s="366">
        <f t="shared" si="96"/>
        <v>0</v>
      </c>
      <c r="O434" s="366">
        <f t="shared" si="97"/>
        <v>0</v>
      </c>
      <c r="P434" s="367">
        <f t="shared" si="98"/>
        <v>0</v>
      </c>
      <c r="Q434" s="367">
        <f t="shared" si="99"/>
        <v>0</v>
      </c>
      <c r="R434" s="368">
        <f t="shared" si="100"/>
        <v>0</v>
      </c>
      <c r="S434" s="384">
        <f>INDEX(FX!$D$3:$O$19,MATCH(B434,FX!$B$3:$B$32,0),MATCH(D434,FX!$D$2:$O$2,0))</f>
        <v>919</v>
      </c>
      <c r="T434" s="360" t="s">
        <v>143</v>
      </c>
      <c r="U434" s="360" t="s">
        <v>32</v>
      </c>
      <c r="V434" s="360" t="s">
        <v>83</v>
      </c>
      <c r="W434" s="364" t="str">
        <f>VLOOKUP(I434,Map!$F$18:$H$51,3,0)</f>
        <v>Variable</v>
      </c>
      <c r="X434" s="370" t="s">
        <v>172</v>
      </c>
      <c r="Y434" s="364" t="str">
        <f>VLOOKUP(L434,Map!$C$18:$D$29,2,0)</f>
        <v>DLT</v>
      </c>
      <c r="Z434" s="365">
        <v>0</v>
      </c>
      <c r="AA434" s="366">
        <f t="shared" si="101"/>
        <v>0</v>
      </c>
      <c r="AB434" s="366">
        <f t="shared" si="102"/>
        <v>0</v>
      </c>
      <c r="AC434" s="367">
        <f t="shared" si="103"/>
        <v>0</v>
      </c>
      <c r="AD434" s="367">
        <f t="shared" si="104"/>
        <v>0</v>
      </c>
      <c r="AE434" s="368">
        <f t="shared" si="105"/>
        <v>0</v>
      </c>
      <c r="AF434" s="385"/>
    </row>
    <row r="435" spans="2:33" s="1" customFormat="1" ht="13" hidden="1" x14ac:dyDescent="0.3">
      <c r="B435" s="383">
        <v>2026</v>
      </c>
      <c r="C435" s="361" t="s">
        <v>402</v>
      </c>
      <c r="D435" s="361" t="s">
        <v>87</v>
      </c>
      <c r="E435" s="360" t="s">
        <v>177</v>
      </c>
      <c r="F435" s="360" t="s">
        <v>172</v>
      </c>
      <c r="G435" s="362"/>
      <c r="H435" s="363"/>
      <c r="I435" s="360" t="s">
        <v>148</v>
      </c>
      <c r="J435" s="364" t="str">
        <f>IFERROR(VLOOKUP(I435,Map!$F$18:$G$56,2,0),"Add in Map")</f>
        <v>3P</v>
      </c>
      <c r="K435" s="364" t="str">
        <f>VLOOKUP(L435,Map!$C$18:$D$29,2,0)</f>
        <v>DMT</v>
      </c>
      <c r="L435" s="360" t="s">
        <v>54</v>
      </c>
      <c r="M435" s="365"/>
      <c r="N435" s="366">
        <f t="shared" si="96"/>
        <v>0</v>
      </c>
      <c r="O435" s="366">
        <f t="shared" si="97"/>
        <v>0</v>
      </c>
      <c r="P435" s="386">
        <f t="shared" si="98"/>
        <v>0</v>
      </c>
      <c r="Q435" s="367">
        <f t="shared" si="99"/>
        <v>0</v>
      </c>
      <c r="R435" s="368">
        <f t="shared" si="100"/>
        <v>0</v>
      </c>
      <c r="S435" s="384">
        <f>INDEX(FX!$D$3:$O$19,MATCH(B435,FX!$B$3:$B$32,0),MATCH(D435,FX!$D$2:$O$2,0))</f>
        <v>919</v>
      </c>
      <c r="T435" s="360" t="s">
        <v>143</v>
      </c>
      <c r="U435" s="360" t="s">
        <v>32</v>
      </c>
      <c r="V435" s="360" t="s">
        <v>83</v>
      </c>
      <c r="W435" s="364" t="str">
        <f>VLOOKUP(I435,Map!$F$18:$H$51,3,0)</f>
        <v>Variable</v>
      </c>
      <c r="X435" s="370" t="s">
        <v>172</v>
      </c>
      <c r="Y435" s="364" t="str">
        <f>VLOOKUP(L435,Map!$C$18:$D$29,2,0)</f>
        <v>DMT</v>
      </c>
      <c r="Z435" s="365">
        <v>0</v>
      </c>
      <c r="AA435" s="366">
        <f t="shared" si="101"/>
        <v>0</v>
      </c>
      <c r="AB435" s="366">
        <f t="shared" si="102"/>
        <v>0</v>
      </c>
      <c r="AC435" s="386">
        <f t="shared" si="103"/>
        <v>0</v>
      </c>
      <c r="AD435" s="367">
        <f t="shared" si="104"/>
        <v>0</v>
      </c>
      <c r="AE435" s="368">
        <f t="shared" si="105"/>
        <v>0</v>
      </c>
      <c r="AF435" s="385"/>
    </row>
    <row r="436" spans="2:33" s="37" customFormat="1" hidden="1" x14ac:dyDescent="0.35">
      <c r="B436" s="387">
        <v>2026</v>
      </c>
      <c r="C436" s="389" t="s">
        <v>402</v>
      </c>
      <c r="D436" s="389" t="s">
        <v>87</v>
      </c>
      <c r="E436" s="388" t="s">
        <v>177</v>
      </c>
      <c r="F436" s="388" t="s">
        <v>172</v>
      </c>
      <c r="G436" s="390"/>
      <c r="H436" s="391"/>
      <c r="I436" s="388" t="s">
        <v>148</v>
      </c>
      <c r="J436" s="392" t="str">
        <f>IFERROR(VLOOKUP(I436,Map!$F$18:$G$56,2,0),"Add in Map")</f>
        <v>3P</v>
      </c>
      <c r="K436" s="392" t="str">
        <f>VLOOKUP(L436,Map!$C$18:$D$29,2,0)</f>
        <v>TOTAL</v>
      </c>
      <c r="L436" s="388" t="s">
        <v>56</v>
      </c>
      <c r="M436" s="393">
        <f>SUM(M425:M435)</f>
        <v>0</v>
      </c>
      <c r="N436" s="393">
        <f t="shared" si="96"/>
        <v>0</v>
      </c>
      <c r="O436" s="393">
        <f t="shared" si="97"/>
        <v>0</v>
      </c>
      <c r="P436" s="394">
        <f t="shared" si="98"/>
        <v>0</v>
      </c>
      <c r="Q436" s="394">
        <f t="shared" si="99"/>
        <v>0</v>
      </c>
      <c r="R436" s="395">
        <f t="shared" si="100"/>
        <v>0</v>
      </c>
      <c r="S436" s="396">
        <f>INDEX(FX!$D$3:$O$19,MATCH(B436,FX!$B$3:$B$32,0),MATCH(D436,FX!$D$2:$O$2,0))</f>
        <v>919</v>
      </c>
      <c r="T436" s="388" t="s">
        <v>143</v>
      </c>
      <c r="U436" s="388" t="s">
        <v>32</v>
      </c>
      <c r="V436" s="388" t="s">
        <v>83</v>
      </c>
      <c r="W436" s="392" t="str">
        <f>VLOOKUP(I436,Map!$F$18:$H$51,3,0)</f>
        <v>Variable</v>
      </c>
      <c r="X436" s="397" t="s">
        <v>172</v>
      </c>
      <c r="Y436" s="392" t="str">
        <f>VLOOKUP(L436,Map!$C$18:$D$29,2,0)</f>
        <v>TOTAL</v>
      </c>
      <c r="Z436" s="393">
        <f>SUM(Z425:Z435)</f>
        <v>14355291.357857144</v>
      </c>
      <c r="AA436" s="393">
        <f t="shared" si="101"/>
        <v>2727505.3579928572</v>
      </c>
      <c r="AB436" s="393">
        <f t="shared" si="102"/>
        <v>17082796.715849999</v>
      </c>
      <c r="AC436" s="394">
        <f t="shared" si="103"/>
        <v>15620.55642857143</v>
      </c>
      <c r="AD436" s="394">
        <f t="shared" si="104"/>
        <v>2967.9057214285717</v>
      </c>
      <c r="AE436" s="395">
        <f t="shared" si="105"/>
        <v>18588.462149999999</v>
      </c>
      <c r="AF436" s="398"/>
    </row>
    <row r="437" spans="2:33" s="5" customFormat="1" ht="13" hidden="1" x14ac:dyDescent="0.3">
      <c r="B437" s="400">
        <v>2026</v>
      </c>
      <c r="C437" s="402" t="s">
        <v>400</v>
      </c>
      <c r="D437" s="402" t="s">
        <v>87</v>
      </c>
      <c r="E437" s="401" t="s">
        <v>177</v>
      </c>
      <c r="F437" s="401" t="s">
        <v>172</v>
      </c>
      <c r="G437" s="403"/>
      <c r="H437" s="404"/>
      <c r="I437" s="401" t="s">
        <v>147</v>
      </c>
      <c r="J437" s="405" t="str">
        <f>IFERROR(VLOOKUP(I437,Map!$F$18:$G$56,2,0),"Add in Map")</f>
        <v>3P</v>
      </c>
      <c r="K437" s="405" t="str">
        <f>VLOOKUP(L437,Map!$C$18:$D$29,2,0)</f>
        <v>CNT</v>
      </c>
      <c r="L437" s="401" t="s">
        <v>31</v>
      </c>
      <c r="M437" s="406"/>
      <c r="N437" s="407">
        <f t="shared" si="96"/>
        <v>0</v>
      </c>
      <c r="O437" s="407">
        <f t="shared" si="97"/>
        <v>0</v>
      </c>
      <c r="P437" s="408">
        <f t="shared" si="98"/>
        <v>0</v>
      </c>
      <c r="Q437" s="408">
        <f t="shared" si="99"/>
        <v>0</v>
      </c>
      <c r="R437" s="409">
        <f t="shared" si="100"/>
        <v>0</v>
      </c>
      <c r="S437" s="410">
        <f>INDEX(FX!$D$3:$O$19,MATCH(B437,FX!$B$3:$B$32,0),MATCH(D437,FX!$D$2:$O$2,0))</f>
        <v>919</v>
      </c>
      <c r="T437" s="360" t="s">
        <v>144</v>
      </c>
      <c r="U437" s="360" t="s">
        <v>32</v>
      </c>
      <c r="V437" s="360" t="s">
        <v>83</v>
      </c>
      <c r="W437" s="405" t="str">
        <f>VLOOKUP(I437,Map!$F$18:$H$51,3,0)</f>
        <v>Variable</v>
      </c>
      <c r="X437" s="411" t="s">
        <v>172</v>
      </c>
      <c r="Y437" s="405" t="str">
        <f>VLOOKUP(L437,Map!$C$18:$D$29,2,0)</f>
        <v>CNT</v>
      </c>
      <c r="Z437" s="406">
        <v>1917846.6465878414</v>
      </c>
      <c r="AA437" s="407">
        <f t="shared" si="101"/>
        <v>0</v>
      </c>
      <c r="AB437" s="407">
        <f t="shared" si="102"/>
        <v>2282237.5094395312</v>
      </c>
      <c r="AC437" s="408">
        <f t="shared" si="103"/>
        <v>2086.8842726744738</v>
      </c>
      <c r="AD437" s="408">
        <f t="shared" si="104"/>
        <v>0</v>
      </c>
      <c r="AE437" s="409">
        <f t="shared" si="105"/>
        <v>2483.3922844826238</v>
      </c>
      <c r="AF437" s="412"/>
      <c r="AG437" s="504"/>
    </row>
    <row r="438" spans="2:33" s="1" customFormat="1" ht="13" hidden="1" x14ac:dyDescent="0.3">
      <c r="B438" s="383">
        <v>2026</v>
      </c>
      <c r="C438" s="361" t="s">
        <v>400</v>
      </c>
      <c r="D438" s="361" t="s">
        <v>87</v>
      </c>
      <c r="E438" s="360" t="s">
        <v>177</v>
      </c>
      <c r="F438" s="360" t="s">
        <v>172</v>
      </c>
      <c r="G438" s="362"/>
      <c r="H438" s="363"/>
      <c r="I438" s="360" t="s">
        <v>147</v>
      </c>
      <c r="J438" s="364" t="str">
        <f>IFERROR(VLOOKUP(I438,Map!$F$18:$G$56,2,0),"Add in Map")</f>
        <v>3P</v>
      </c>
      <c r="K438" s="364" t="str">
        <f>VLOOKUP(L438,Map!$C$18:$D$29,2,0)</f>
        <v>CVT</v>
      </c>
      <c r="L438" s="360" t="s">
        <v>36</v>
      </c>
      <c r="M438" s="365"/>
      <c r="N438" s="366">
        <f t="shared" si="96"/>
        <v>0</v>
      </c>
      <c r="O438" s="366">
        <f t="shared" si="97"/>
        <v>0</v>
      </c>
      <c r="P438" s="367">
        <f t="shared" si="98"/>
        <v>0</v>
      </c>
      <c r="Q438" s="367">
        <f t="shared" si="99"/>
        <v>0</v>
      </c>
      <c r="R438" s="368">
        <f t="shared" si="100"/>
        <v>0</v>
      </c>
      <c r="S438" s="384">
        <f>INDEX(FX!$D$3:$O$19,MATCH(B438,FX!$B$3:$B$32,0),MATCH(D438,FX!$D$2:$O$2,0))</f>
        <v>919</v>
      </c>
      <c r="T438" s="360" t="s">
        <v>144</v>
      </c>
      <c r="U438" s="360" t="s">
        <v>32</v>
      </c>
      <c r="V438" s="360" t="s">
        <v>83</v>
      </c>
      <c r="W438" s="364" t="str">
        <f>VLOOKUP(I438,Map!$F$18:$H$51,3,0)</f>
        <v>Variable</v>
      </c>
      <c r="X438" s="370" t="s">
        <v>172</v>
      </c>
      <c r="Y438" s="364" t="str">
        <f>VLOOKUP(L438,Map!$C$18:$D$29,2,0)</f>
        <v>CVT</v>
      </c>
      <c r="Z438" s="365">
        <v>0</v>
      </c>
      <c r="AA438" s="366">
        <f t="shared" si="101"/>
        <v>0</v>
      </c>
      <c r="AB438" s="366">
        <f t="shared" si="102"/>
        <v>0</v>
      </c>
      <c r="AC438" s="367">
        <f t="shared" si="103"/>
        <v>0</v>
      </c>
      <c r="AD438" s="367">
        <f t="shared" si="104"/>
        <v>0</v>
      </c>
      <c r="AE438" s="368">
        <f t="shared" si="105"/>
        <v>0</v>
      </c>
      <c r="AF438" s="385"/>
    </row>
    <row r="439" spans="2:33" s="1" customFormat="1" ht="13" hidden="1" x14ac:dyDescent="0.3">
      <c r="B439" s="383">
        <v>2026</v>
      </c>
      <c r="C439" s="361" t="s">
        <v>400</v>
      </c>
      <c r="D439" s="361" t="s">
        <v>87</v>
      </c>
      <c r="E439" s="360" t="s">
        <v>177</v>
      </c>
      <c r="F439" s="360" t="s">
        <v>172</v>
      </c>
      <c r="G439" s="362"/>
      <c r="H439" s="363"/>
      <c r="I439" s="360" t="s">
        <v>147</v>
      </c>
      <c r="J439" s="364" t="str">
        <f>IFERROR(VLOOKUP(I439,Map!$F$18:$G$56,2,0),"Add in Map")</f>
        <v>3P</v>
      </c>
      <c r="K439" s="364" t="str">
        <f>VLOOKUP(L439,Map!$C$18:$D$29,2,0)</f>
        <v>CDT</v>
      </c>
      <c r="L439" s="360" t="s">
        <v>38</v>
      </c>
      <c r="M439" s="365"/>
      <c r="N439" s="366">
        <f t="shared" si="96"/>
        <v>0</v>
      </c>
      <c r="O439" s="366">
        <f t="shared" si="97"/>
        <v>0</v>
      </c>
      <c r="P439" s="367">
        <f t="shared" si="98"/>
        <v>0</v>
      </c>
      <c r="Q439" s="367">
        <f t="shared" si="99"/>
        <v>0</v>
      </c>
      <c r="R439" s="368">
        <f t="shared" si="100"/>
        <v>0</v>
      </c>
      <c r="S439" s="384">
        <f>INDEX(FX!$D$3:$O$19,MATCH(B439,FX!$B$3:$B$32,0),MATCH(D439,FX!$D$2:$O$2,0))</f>
        <v>919</v>
      </c>
      <c r="T439" s="360" t="s">
        <v>144</v>
      </c>
      <c r="U439" s="360" t="s">
        <v>32</v>
      </c>
      <c r="V439" s="360" t="s">
        <v>83</v>
      </c>
      <c r="W439" s="364" t="str">
        <f>VLOOKUP(I439,Map!$F$18:$H$51,3,0)</f>
        <v>Variable</v>
      </c>
      <c r="X439" s="370" t="s">
        <v>172</v>
      </c>
      <c r="Y439" s="364" t="str">
        <f>VLOOKUP(L439,Map!$C$18:$D$29,2,0)</f>
        <v>CDT</v>
      </c>
      <c r="Z439" s="365">
        <v>0</v>
      </c>
      <c r="AA439" s="366">
        <f t="shared" si="101"/>
        <v>0</v>
      </c>
      <c r="AB439" s="366">
        <f t="shared" si="102"/>
        <v>0</v>
      </c>
      <c r="AC439" s="367">
        <f t="shared" si="103"/>
        <v>0</v>
      </c>
      <c r="AD439" s="367">
        <f t="shared" si="104"/>
        <v>0</v>
      </c>
      <c r="AE439" s="368">
        <f t="shared" si="105"/>
        <v>0</v>
      </c>
      <c r="AF439" s="385"/>
    </row>
    <row r="440" spans="2:33" s="1" customFormat="1" ht="13" hidden="1" x14ac:dyDescent="0.3">
      <c r="B440" s="383">
        <v>2026</v>
      </c>
      <c r="C440" s="361" t="s">
        <v>400</v>
      </c>
      <c r="D440" s="361" t="s">
        <v>87</v>
      </c>
      <c r="E440" s="360" t="s">
        <v>177</v>
      </c>
      <c r="F440" s="360" t="s">
        <v>172</v>
      </c>
      <c r="G440" s="362"/>
      <c r="H440" s="363"/>
      <c r="I440" s="360" t="s">
        <v>147</v>
      </c>
      <c r="J440" s="364" t="str">
        <f>IFERROR(VLOOKUP(I440,Map!$F$18:$G$56,2,0),"Add in Map")</f>
        <v>3P</v>
      </c>
      <c r="K440" s="364" t="str">
        <f>VLOOKUP(L440,Map!$C$18:$D$29,2,0)</f>
        <v>DFT</v>
      </c>
      <c r="L440" s="360" t="s">
        <v>40</v>
      </c>
      <c r="M440" s="365"/>
      <c r="N440" s="366">
        <f t="shared" si="96"/>
        <v>0</v>
      </c>
      <c r="O440" s="366">
        <f t="shared" si="97"/>
        <v>0</v>
      </c>
      <c r="P440" s="367">
        <f t="shared" si="98"/>
        <v>0</v>
      </c>
      <c r="Q440" s="367">
        <f t="shared" si="99"/>
        <v>0</v>
      </c>
      <c r="R440" s="368">
        <f t="shared" si="100"/>
        <v>0</v>
      </c>
      <c r="S440" s="384">
        <f>INDEX(FX!$D$3:$O$19,MATCH(B440,FX!$B$3:$B$32,0),MATCH(D440,FX!$D$2:$O$2,0))</f>
        <v>919</v>
      </c>
      <c r="T440" s="360" t="s">
        <v>144</v>
      </c>
      <c r="U440" s="360" t="s">
        <v>32</v>
      </c>
      <c r="V440" s="360" t="s">
        <v>83</v>
      </c>
      <c r="W440" s="364" t="str">
        <f>VLOOKUP(I440,Map!$F$18:$H$51,3,0)</f>
        <v>Variable</v>
      </c>
      <c r="X440" s="370" t="s">
        <v>172</v>
      </c>
      <c r="Y440" s="364" t="str">
        <f>VLOOKUP(L440,Map!$C$18:$D$29,2,0)</f>
        <v>DFT</v>
      </c>
      <c r="Z440" s="365">
        <v>4591239.0848652506</v>
      </c>
      <c r="AA440" s="366">
        <f t="shared" si="101"/>
        <v>0</v>
      </c>
      <c r="AB440" s="366">
        <f t="shared" si="102"/>
        <v>5463574.5109896483</v>
      </c>
      <c r="AC440" s="367">
        <f t="shared" si="103"/>
        <v>4995.907600506257</v>
      </c>
      <c r="AD440" s="367">
        <f t="shared" si="104"/>
        <v>0</v>
      </c>
      <c r="AE440" s="368">
        <f t="shared" si="105"/>
        <v>5945.1300446024452</v>
      </c>
      <c r="AF440" s="385"/>
    </row>
    <row r="441" spans="2:33" s="1" customFormat="1" ht="13" hidden="1" x14ac:dyDescent="0.3">
      <c r="B441" s="383">
        <v>2026</v>
      </c>
      <c r="C441" s="361" t="s">
        <v>400</v>
      </c>
      <c r="D441" s="361" t="s">
        <v>87</v>
      </c>
      <c r="E441" s="360" t="s">
        <v>177</v>
      </c>
      <c r="F441" s="360" t="s">
        <v>172</v>
      </c>
      <c r="G441" s="362"/>
      <c r="H441" s="363"/>
      <c r="I441" s="360" t="s">
        <v>147</v>
      </c>
      <c r="J441" s="364" t="str">
        <f>IFERROR(VLOOKUP(I441,Map!$F$18:$G$56,2,0),"Add in Map")</f>
        <v>3P</v>
      </c>
      <c r="K441" s="364" t="str">
        <f>VLOOKUP(L441,Map!$C$18:$D$29,2,0)</f>
        <v>DVT</v>
      </c>
      <c r="L441" s="360" t="s">
        <v>42</v>
      </c>
      <c r="M441" s="365"/>
      <c r="N441" s="366">
        <f t="shared" ref="N441:N452" si="106">IF(L441="TOTAL",(M441*0.19),0)</f>
        <v>0</v>
      </c>
      <c r="O441" s="366">
        <f t="shared" ref="O441:O452" si="107">M441*1.19</f>
        <v>0</v>
      </c>
      <c r="P441" s="367">
        <f t="shared" ref="P441:P452" si="108">M441/S441</f>
        <v>0</v>
      </c>
      <c r="Q441" s="367">
        <f t="shared" ref="Q441:Q452" si="109">IF(L441="TOTAL",(P441*0.19),0)</f>
        <v>0</v>
      </c>
      <c r="R441" s="368">
        <f t="shared" ref="R441:R452" si="110">P441*1.19</f>
        <v>0</v>
      </c>
      <c r="S441" s="384">
        <f>INDEX(FX!$D$3:$O$19,MATCH(B441,FX!$B$3:$B$32,0),MATCH(D441,FX!$D$2:$O$2,0))</f>
        <v>919</v>
      </c>
      <c r="T441" s="360" t="s">
        <v>144</v>
      </c>
      <c r="U441" s="360" t="s">
        <v>32</v>
      </c>
      <c r="V441" s="360" t="s">
        <v>83</v>
      </c>
      <c r="W441" s="364" t="str">
        <f>VLOOKUP(I441,Map!$F$18:$H$51,3,0)</f>
        <v>Variable</v>
      </c>
      <c r="X441" s="370" t="s">
        <v>172</v>
      </c>
      <c r="Y441" s="364" t="str">
        <f>VLOOKUP(L441,Map!$C$18:$D$29,2,0)</f>
        <v>DVT</v>
      </c>
      <c r="Z441" s="365">
        <v>0</v>
      </c>
      <c r="AA441" s="366">
        <f t="shared" ref="AA441:AA452" si="111">IF(Y441="TOTAL",(Z441*0.19),0)</f>
        <v>0</v>
      </c>
      <c r="AB441" s="366">
        <f t="shared" ref="AB441:AB452" si="112">Z441*1.19</f>
        <v>0</v>
      </c>
      <c r="AC441" s="367">
        <f t="shared" ref="AC441:AC452" si="113">Z441/S441</f>
        <v>0</v>
      </c>
      <c r="AD441" s="367">
        <f t="shared" ref="AD441:AD452" si="114">IF(Y441="TOTAL",(AC441*0.19),0)</f>
        <v>0</v>
      </c>
      <c r="AE441" s="368">
        <f t="shared" ref="AE441:AE452" si="115">AC441*1.19</f>
        <v>0</v>
      </c>
      <c r="AF441" s="385"/>
    </row>
    <row r="442" spans="2:33" s="1" customFormat="1" ht="13" hidden="1" x14ac:dyDescent="0.3">
      <c r="B442" s="383">
        <v>2026</v>
      </c>
      <c r="C442" s="361" t="s">
        <v>400</v>
      </c>
      <c r="D442" s="361" t="s">
        <v>87</v>
      </c>
      <c r="E442" s="360" t="s">
        <v>177</v>
      </c>
      <c r="F442" s="360" t="s">
        <v>172</v>
      </c>
      <c r="G442" s="362"/>
      <c r="H442" s="363"/>
      <c r="I442" s="360" t="s">
        <v>147</v>
      </c>
      <c r="J442" s="364" t="str">
        <f>IFERROR(VLOOKUP(I442,Map!$F$18:$G$56,2,0),"Add in Map")</f>
        <v>3P</v>
      </c>
      <c r="K442" s="364" t="str">
        <f>VLOOKUP(L442,Map!$C$18:$D$29,2,0)</f>
        <v>GLT</v>
      </c>
      <c r="L442" s="360" t="s">
        <v>44</v>
      </c>
      <c r="M442" s="365"/>
      <c r="N442" s="366">
        <f t="shared" si="106"/>
        <v>0</v>
      </c>
      <c r="O442" s="366">
        <f t="shared" si="107"/>
        <v>0</v>
      </c>
      <c r="P442" s="367">
        <f t="shared" si="108"/>
        <v>0</v>
      </c>
      <c r="Q442" s="367">
        <f t="shared" si="109"/>
        <v>0</v>
      </c>
      <c r="R442" s="368">
        <f t="shared" si="110"/>
        <v>0</v>
      </c>
      <c r="S442" s="384">
        <f>INDEX(FX!$D$3:$O$19,MATCH(B442,FX!$B$3:$B$32,0),MATCH(D442,FX!$D$2:$O$2,0))</f>
        <v>919</v>
      </c>
      <c r="T442" s="360" t="s">
        <v>144</v>
      </c>
      <c r="U442" s="360" t="s">
        <v>32</v>
      </c>
      <c r="V442" s="360" t="s">
        <v>83</v>
      </c>
      <c r="W442" s="364" t="str">
        <f>VLOOKUP(I442,Map!$F$18:$H$51,3,0)</f>
        <v>Variable</v>
      </c>
      <c r="X442" s="370" t="s">
        <v>172</v>
      </c>
      <c r="Y442" s="364" t="str">
        <f>VLOOKUP(L442,Map!$C$18:$D$29,2,0)</f>
        <v>GLT</v>
      </c>
      <c r="Z442" s="365">
        <v>3247423.890987651</v>
      </c>
      <c r="AA442" s="366">
        <f t="shared" si="111"/>
        <v>0</v>
      </c>
      <c r="AB442" s="366">
        <f t="shared" si="112"/>
        <v>3864434.4302753042</v>
      </c>
      <c r="AC442" s="367">
        <f t="shared" si="113"/>
        <v>3533.6495005306319</v>
      </c>
      <c r="AD442" s="367">
        <f t="shared" si="114"/>
        <v>0</v>
      </c>
      <c r="AE442" s="368">
        <f t="shared" si="115"/>
        <v>4205.0429056314515</v>
      </c>
      <c r="AF442" s="385"/>
    </row>
    <row r="443" spans="2:33" s="1" customFormat="1" ht="13" hidden="1" x14ac:dyDescent="0.3">
      <c r="B443" s="383">
        <v>2026</v>
      </c>
      <c r="C443" s="361" t="s">
        <v>400</v>
      </c>
      <c r="D443" s="361" t="s">
        <v>87</v>
      </c>
      <c r="E443" s="360" t="s">
        <v>177</v>
      </c>
      <c r="F443" s="360" t="s">
        <v>172</v>
      </c>
      <c r="G443" s="362"/>
      <c r="H443" s="363"/>
      <c r="I443" s="360" t="s">
        <v>147</v>
      </c>
      <c r="J443" s="364" t="str">
        <f>IFERROR(VLOOKUP(I443,Map!$F$18:$G$56,2,0),"Add in Map")</f>
        <v>3P</v>
      </c>
      <c r="K443" s="364" t="str">
        <f>VLOOKUP(L443,Map!$C$18:$D$29,2,0)</f>
        <v>PNT</v>
      </c>
      <c r="L443" s="360" t="s">
        <v>46</v>
      </c>
      <c r="M443" s="365"/>
      <c r="N443" s="366">
        <f t="shared" si="106"/>
        <v>0</v>
      </c>
      <c r="O443" s="366">
        <f t="shared" si="107"/>
        <v>0</v>
      </c>
      <c r="P443" s="367">
        <f t="shared" si="108"/>
        <v>0</v>
      </c>
      <c r="Q443" s="367">
        <f t="shared" si="109"/>
        <v>0</v>
      </c>
      <c r="R443" s="368">
        <f t="shared" si="110"/>
        <v>0</v>
      </c>
      <c r="S443" s="384">
        <f>INDEX(FX!$D$3:$O$19,MATCH(B443,FX!$B$3:$B$32,0),MATCH(D443,FX!$D$2:$O$2,0))</f>
        <v>919</v>
      </c>
      <c r="T443" s="360" t="s">
        <v>144</v>
      </c>
      <c r="U443" s="360" t="s">
        <v>32</v>
      </c>
      <c r="V443" s="360" t="s">
        <v>83</v>
      </c>
      <c r="W443" s="364" t="str">
        <f>VLOOKUP(I443,Map!$F$18:$H$51,3,0)</f>
        <v>Variable</v>
      </c>
      <c r="X443" s="370" t="s">
        <v>172</v>
      </c>
      <c r="Y443" s="364" t="str">
        <f>VLOOKUP(L443,Map!$C$18:$D$29,2,0)</f>
        <v>PNT</v>
      </c>
      <c r="Z443" s="365">
        <v>172152.4684813307</v>
      </c>
      <c r="AA443" s="366">
        <f t="shared" si="111"/>
        <v>0</v>
      </c>
      <c r="AB443" s="366">
        <f t="shared" si="112"/>
        <v>204861.43749278353</v>
      </c>
      <c r="AC443" s="367">
        <f t="shared" si="113"/>
        <v>187.32586341820533</v>
      </c>
      <c r="AD443" s="367">
        <f t="shared" si="114"/>
        <v>0</v>
      </c>
      <c r="AE443" s="368">
        <f t="shared" si="115"/>
        <v>222.91777746766434</v>
      </c>
      <c r="AF443" s="385"/>
    </row>
    <row r="444" spans="2:33" s="1" customFormat="1" ht="13" hidden="1" x14ac:dyDescent="0.3">
      <c r="B444" s="383">
        <v>2026</v>
      </c>
      <c r="C444" s="361" t="s">
        <v>400</v>
      </c>
      <c r="D444" s="361" t="s">
        <v>87</v>
      </c>
      <c r="E444" s="360" t="s">
        <v>177</v>
      </c>
      <c r="F444" s="360" t="s">
        <v>172</v>
      </c>
      <c r="G444" s="362"/>
      <c r="H444" s="363"/>
      <c r="I444" s="360" t="s">
        <v>147</v>
      </c>
      <c r="J444" s="364" t="str">
        <f>IFERROR(VLOOKUP(I444,Map!$F$18:$G$56,2,0),"Add in Map")</f>
        <v>3P</v>
      </c>
      <c r="K444" s="364" t="str">
        <f>VLOOKUP(L444,Map!$C$18:$D$29,2,0)</f>
        <v>GTT</v>
      </c>
      <c r="L444" s="360" t="s">
        <v>48</v>
      </c>
      <c r="M444" s="365"/>
      <c r="N444" s="366">
        <f t="shared" si="106"/>
        <v>0</v>
      </c>
      <c r="O444" s="366">
        <f t="shared" si="107"/>
        <v>0</v>
      </c>
      <c r="P444" s="367">
        <f t="shared" si="108"/>
        <v>0</v>
      </c>
      <c r="Q444" s="367">
        <f t="shared" si="109"/>
        <v>0</v>
      </c>
      <c r="R444" s="368">
        <f t="shared" si="110"/>
        <v>0</v>
      </c>
      <c r="S444" s="384">
        <f>INDEX(FX!$D$3:$O$19,MATCH(B444,FX!$B$3:$B$32,0),MATCH(D444,FX!$D$2:$O$2,0))</f>
        <v>919</v>
      </c>
      <c r="T444" s="360" t="s">
        <v>144</v>
      </c>
      <c r="U444" s="360" t="s">
        <v>32</v>
      </c>
      <c r="V444" s="360" t="s">
        <v>83</v>
      </c>
      <c r="W444" s="364" t="str">
        <f>VLOOKUP(I444,Map!$F$18:$H$51,3,0)</f>
        <v>Variable</v>
      </c>
      <c r="X444" s="370" t="s">
        <v>172</v>
      </c>
      <c r="Y444" s="364" t="str">
        <f>VLOOKUP(L444,Map!$C$18:$D$29,2,0)</f>
        <v>GTT</v>
      </c>
      <c r="Z444" s="365">
        <v>194957.72313004592</v>
      </c>
      <c r="AA444" s="366">
        <f t="shared" si="111"/>
        <v>0</v>
      </c>
      <c r="AB444" s="366">
        <f t="shared" si="112"/>
        <v>231999.69052475464</v>
      </c>
      <c r="AC444" s="367">
        <f t="shared" si="113"/>
        <v>212.14115683356465</v>
      </c>
      <c r="AD444" s="367">
        <f t="shared" si="114"/>
        <v>0</v>
      </c>
      <c r="AE444" s="368">
        <f t="shared" si="115"/>
        <v>252.44797663194191</v>
      </c>
      <c r="AF444" s="385"/>
    </row>
    <row r="445" spans="2:33" s="1" customFormat="1" ht="13" hidden="1" x14ac:dyDescent="0.3">
      <c r="B445" s="383">
        <v>2026</v>
      </c>
      <c r="C445" s="361" t="s">
        <v>400</v>
      </c>
      <c r="D445" s="361" t="s">
        <v>87</v>
      </c>
      <c r="E445" s="360" t="s">
        <v>177</v>
      </c>
      <c r="F445" s="360" t="s">
        <v>172</v>
      </c>
      <c r="G445" s="362"/>
      <c r="H445" s="363"/>
      <c r="I445" s="360" t="s">
        <v>147</v>
      </c>
      <c r="J445" s="364" t="str">
        <f>IFERROR(VLOOKUP(I445,Map!$F$18:$G$56,2,0),"Add in Map")</f>
        <v>3P</v>
      </c>
      <c r="K445" s="364" t="str">
        <f>VLOOKUP(L445,Map!$C$18:$D$29,2,0)</f>
        <v>DGT</v>
      </c>
      <c r="L445" s="360" t="s">
        <v>50</v>
      </c>
      <c r="M445" s="365"/>
      <c r="N445" s="366">
        <f t="shared" si="106"/>
        <v>0</v>
      </c>
      <c r="O445" s="366">
        <f t="shared" si="107"/>
        <v>0</v>
      </c>
      <c r="P445" s="367">
        <f t="shared" si="108"/>
        <v>0</v>
      </c>
      <c r="Q445" s="367">
        <f t="shared" si="109"/>
        <v>0</v>
      </c>
      <c r="R445" s="368">
        <f t="shared" si="110"/>
        <v>0</v>
      </c>
      <c r="S445" s="384">
        <f>INDEX(FX!$D$3:$O$19,MATCH(B445,FX!$B$3:$B$32,0),MATCH(D445,FX!$D$2:$O$2,0))</f>
        <v>919</v>
      </c>
      <c r="T445" s="360" t="s">
        <v>144</v>
      </c>
      <c r="U445" s="360" t="s">
        <v>32</v>
      </c>
      <c r="V445" s="360" t="s">
        <v>83</v>
      </c>
      <c r="W445" s="364" t="str">
        <f>VLOOKUP(I445,Map!$F$18:$H$51,3,0)</f>
        <v>Variable</v>
      </c>
      <c r="X445" s="370" t="s">
        <v>172</v>
      </c>
      <c r="Y445" s="364" t="str">
        <f>VLOOKUP(L445,Map!$C$18:$D$29,2,0)</f>
        <v>DGT</v>
      </c>
      <c r="Z445" s="365">
        <v>50205.43592418098</v>
      </c>
      <c r="AA445" s="366">
        <f t="shared" si="111"/>
        <v>0</v>
      </c>
      <c r="AB445" s="366">
        <f t="shared" si="112"/>
        <v>59744.468749775362</v>
      </c>
      <c r="AC445" s="367">
        <f t="shared" si="113"/>
        <v>54.630506990403674</v>
      </c>
      <c r="AD445" s="367">
        <f t="shared" si="114"/>
        <v>0</v>
      </c>
      <c r="AE445" s="368">
        <f t="shared" si="115"/>
        <v>65.01030331858037</v>
      </c>
      <c r="AF445" s="385"/>
    </row>
    <row r="446" spans="2:33" s="1" customFormat="1" ht="13" hidden="1" x14ac:dyDescent="0.3">
      <c r="B446" s="383">
        <v>2026</v>
      </c>
      <c r="C446" s="361" t="s">
        <v>400</v>
      </c>
      <c r="D446" s="361" t="s">
        <v>87</v>
      </c>
      <c r="E446" s="360" t="s">
        <v>177</v>
      </c>
      <c r="F446" s="360" t="s">
        <v>172</v>
      </c>
      <c r="G446" s="362"/>
      <c r="H446" s="363"/>
      <c r="I446" s="360" t="s">
        <v>147</v>
      </c>
      <c r="J446" s="364" t="str">
        <f>IFERROR(VLOOKUP(I446,Map!$F$18:$G$56,2,0),"Add in Map")</f>
        <v>3P</v>
      </c>
      <c r="K446" s="364" t="str">
        <f>VLOOKUP(L446,Map!$C$18:$D$29,2,0)</f>
        <v>DLT</v>
      </c>
      <c r="L446" s="360" t="s">
        <v>52</v>
      </c>
      <c r="M446" s="365"/>
      <c r="N446" s="366">
        <f t="shared" si="106"/>
        <v>0</v>
      </c>
      <c r="O446" s="366">
        <f t="shared" si="107"/>
        <v>0</v>
      </c>
      <c r="P446" s="367">
        <f t="shared" si="108"/>
        <v>0</v>
      </c>
      <c r="Q446" s="367">
        <f t="shared" si="109"/>
        <v>0</v>
      </c>
      <c r="R446" s="368">
        <f t="shared" si="110"/>
        <v>0</v>
      </c>
      <c r="S446" s="384">
        <f>INDEX(FX!$D$3:$O$19,MATCH(B446,FX!$B$3:$B$32,0),MATCH(D446,FX!$D$2:$O$2,0))</f>
        <v>919</v>
      </c>
      <c r="T446" s="360" t="s">
        <v>144</v>
      </c>
      <c r="U446" s="360" t="s">
        <v>32</v>
      </c>
      <c r="V446" s="360" t="s">
        <v>83</v>
      </c>
      <c r="W446" s="364" t="str">
        <f>VLOOKUP(I446,Map!$F$18:$H$51,3,0)</f>
        <v>Variable</v>
      </c>
      <c r="X446" s="370" t="s">
        <v>172</v>
      </c>
      <c r="Y446" s="364" t="str">
        <f>VLOOKUP(L446,Map!$C$18:$D$29,2,0)</f>
        <v>DLT</v>
      </c>
      <c r="Z446" s="365">
        <v>0</v>
      </c>
      <c r="AA446" s="366">
        <f t="shared" si="111"/>
        <v>0</v>
      </c>
      <c r="AB446" s="366">
        <f t="shared" si="112"/>
        <v>0</v>
      </c>
      <c r="AC446" s="367">
        <f t="shared" si="113"/>
        <v>0</v>
      </c>
      <c r="AD446" s="367">
        <f t="shared" si="114"/>
        <v>0</v>
      </c>
      <c r="AE446" s="368">
        <f t="shared" si="115"/>
        <v>0</v>
      </c>
      <c r="AF446" s="385"/>
    </row>
    <row r="447" spans="2:33" s="1" customFormat="1" ht="13" hidden="1" x14ac:dyDescent="0.3">
      <c r="B447" s="383">
        <v>2026</v>
      </c>
      <c r="C447" s="361" t="s">
        <v>400</v>
      </c>
      <c r="D447" s="361" t="s">
        <v>87</v>
      </c>
      <c r="E447" s="360" t="s">
        <v>177</v>
      </c>
      <c r="F447" s="360" t="s">
        <v>172</v>
      </c>
      <c r="G447" s="362"/>
      <c r="H447" s="363"/>
      <c r="I447" s="360" t="s">
        <v>147</v>
      </c>
      <c r="J447" s="364" t="str">
        <f>IFERROR(VLOOKUP(I447,Map!$F$18:$G$56,2,0),"Add in Map")</f>
        <v>3P</v>
      </c>
      <c r="K447" s="364" t="str">
        <f>VLOOKUP(L447,Map!$C$18:$D$29,2,0)</f>
        <v>DMT</v>
      </c>
      <c r="L447" s="360" t="s">
        <v>54</v>
      </c>
      <c r="M447" s="365"/>
      <c r="N447" s="366">
        <f t="shared" si="106"/>
        <v>0</v>
      </c>
      <c r="O447" s="366">
        <f t="shared" si="107"/>
        <v>0</v>
      </c>
      <c r="P447" s="386">
        <f t="shared" si="108"/>
        <v>0</v>
      </c>
      <c r="Q447" s="367">
        <f t="shared" si="109"/>
        <v>0</v>
      </c>
      <c r="R447" s="368">
        <f t="shared" si="110"/>
        <v>0</v>
      </c>
      <c r="S447" s="384">
        <f>INDEX(FX!$D$3:$O$19,MATCH(B447,FX!$B$3:$B$32,0),MATCH(D447,FX!$D$2:$O$2,0))</f>
        <v>919</v>
      </c>
      <c r="T447" s="360" t="s">
        <v>144</v>
      </c>
      <c r="U447" s="360" t="s">
        <v>32</v>
      </c>
      <c r="V447" s="360" t="s">
        <v>83</v>
      </c>
      <c r="W447" s="364" t="str">
        <f>VLOOKUP(I447,Map!$F$18:$H$51,3,0)</f>
        <v>Variable</v>
      </c>
      <c r="X447" s="370" t="s">
        <v>172</v>
      </c>
      <c r="Y447" s="364" t="str">
        <f>VLOOKUP(L447,Map!$C$18:$D$29,2,0)</f>
        <v>DMT</v>
      </c>
      <c r="Z447" s="365">
        <v>0</v>
      </c>
      <c r="AA447" s="366">
        <f t="shared" si="111"/>
        <v>0</v>
      </c>
      <c r="AB447" s="366">
        <f t="shared" si="112"/>
        <v>0</v>
      </c>
      <c r="AC447" s="386">
        <f t="shared" si="113"/>
        <v>0</v>
      </c>
      <c r="AD447" s="367">
        <f t="shared" si="114"/>
        <v>0</v>
      </c>
      <c r="AE447" s="368">
        <f t="shared" si="115"/>
        <v>0</v>
      </c>
      <c r="AF447" s="385"/>
    </row>
    <row r="448" spans="2:33" s="37" customFormat="1" hidden="1" x14ac:dyDescent="0.35">
      <c r="B448" s="387">
        <v>2026</v>
      </c>
      <c r="C448" s="389" t="s">
        <v>400</v>
      </c>
      <c r="D448" s="389" t="s">
        <v>87</v>
      </c>
      <c r="E448" s="388" t="s">
        <v>177</v>
      </c>
      <c r="F448" s="388" t="s">
        <v>172</v>
      </c>
      <c r="G448" s="390"/>
      <c r="H448" s="391"/>
      <c r="I448" s="388" t="s">
        <v>147</v>
      </c>
      <c r="J448" s="392" t="str">
        <f>IFERROR(VLOOKUP(I448,Map!$F$18:$G$56,2,0),"Add in Map")</f>
        <v>3P</v>
      </c>
      <c r="K448" s="392" t="str">
        <f>VLOOKUP(L448,Map!$C$18:$D$29,2,0)</f>
        <v>TOTAL</v>
      </c>
      <c r="L448" s="388" t="s">
        <v>56</v>
      </c>
      <c r="M448" s="393">
        <f>SUM(M437:M447)</f>
        <v>0</v>
      </c>
      <c r="N448" s="393">
        <f t="shared" si="106"/>
        <v>0</v>
      </c>
      <c r="O448" s="393">
        <f t="shared" si="107"/>
        <v>0</v>
      </c>
      <c r="P448" s="394">
        <f t="shared" si="108"/>
        <v>0</v>
      </c>
      <c r="Q448" s="394">
        <f t="shared" si="109"/>
        <v>0</v>
      </c>
      <c r="R448" s="395">
        <f t="shared" si="110"/>
        <v>0</v>
      </c>
      <c r="S448" s="396">
        <f>INDEX(FX!$D$3:$O$19,MATCH(B448,FX!$B$3:$B$32,0),MATCH(D448,FX!$D$2:$O$2,0))</f>
        <v>919</v>
      </c>
      <c r="T448" s="388" t="s">
        <v>144</v>
      </c>
      <c r="U448" s="388" t="s">
        <v>32</v>
      </c>
      <c r="V448" s="388" t="s">
        <v>83</v>
      </c>
      <c r="W448" s="392" t="str">
        <f>VLOOKUP(I448,Map!$F$18:$H$51,3,0)</f>
        <v>Variable</v>
      </c>
      <c r="X448" s="397" t="s">
        <v>172</v>
      </c>
      <c r="Y448" s="392" t="str">
        <f>VLOOKUP(L448,Map!$C$18:$D$29,2,0)</f>
        <v>TOTAL</v>
      </c>
      <c r="Z448" s="393">
        <f>SUM(Z437:Z447)</f>
        <v>10173825.2499763</v>
      </c>
      <c r="AA448" s="393">
        <f t="shared" si="111"/>
        <v>1933026.7974954969</v>
      </c>
      <c r="AB448" s="393">
        <f t="shared" si="112"/>
        <v>12106852.047471795</v>
      </c>
      <c r="AC448" s="394">
        <f t="shared" si="113"/>
        <v>11070.538900953536</v>
      </c>
      <c r="AD448" s="394">
        <f t="shared" si="114"/>
        <v>2103.4023911811719</v>
      </c>
      <c r="AE448" s="395">
        <f t="shared" si="115"/>
        <v>13173.941292134707</v>
      </c>
      <c r="AF448" s="398"/>
    </row>
    <row r="449" spans="2:33" s="5" customFormat="1" ht="13" hidden="1" x14ac:dyDescent="0.3">
      <c r="B449" s="400">
        <v>2026</v>
      </c>
      <c r="C449" s="402" t="s">
        <v>402</v>
      </c>
      <c r="D449" s="402" t="s">
        <v>87</v>
      </c>
      <c r="E449" s="401" t="s">
        <v>177</v>
      </c>
      <c r="F449" s="401" t="s">
        <v>172</v>
      </c>
      <c r="G449" s="403"/>
      <c r="H449" s="404"/>
      <c r="I449" s="401" t="s">
        <v>147</v>
      </c>
      <c r="J449" s="405" t="str">
        <f>IFERROR(VLOOKUP(I449,Map!$F$18:$G$56,2,0),"Add in Map")</f>
        <v>3P</v>
      </c>
      <c r="K449" s="405" t="str">
        <f>VLOOKUP(L449,Map!$C$18:$D$29,2,0)</f>
        <v>CNT</v>
      </c>
      <c r="L449" s="401" t="s">
        <v>31</v>
      </c>
      <c r="M449" s="406"/>
      <c r="N449" s="407">
        <f t="shared" si="106"/>
        <v>0</v>
      </c>
      <c r="O449" s="407">
        <f t="shared" si="107"/>
        <v>0</v>
      </c>
      <c r="P449" s="408">
        <f t="shared" si="108"/>
        <v>0</v>
      </c>
      <c r="Q449" s="408">
        <f t="shared" si="109"/>
        <v>0</v>
      </c>
      <c r="R449" s="409">
        <f t="shared" si="110"/>
        <v>0</v>
      </c>
      <c r="S449" s="410">
        <f>INDEX(FX!$D$3:$O$19,MATCH(B449,FX!$B$3:$B$32,0),MATCH(D449,FX!$D$2:$O$2,0))</f>
        <v>919</v>
      </c>
      <c r="T449" s="360" t="s">
        <v>143</v>
      </c>
      <c r="U449" s="360" t="s">
        <v>32</v>
      </c>
      <c r="V449" s="360" t="s">
        <v>83</v>
      </c>
      <c r="W449" s="405" t="str">
        <f>VLOOKUP(I449,Map!$F$18:$H$51,3,0)</f>
        <v>Variable</v>
      </c>
      <c r="X449" s="411" t="s">
        <v>172</v>
      </c>
      <c r="Y449" s="405" t="str">
        <f>VLOOKUP(L449,Map!$C$18:$D$29,2,0)</f>
        <v>CNT</v>
      </c>
      <c r="Z449" s="406">
        <v>1029356.5831330495</v>
      </c>
      <c r="AA449" s="407">
        <f t="shared" si="111"/>
        <v>0</v>
      </c>
      <c r="AB449" s="407">
        <f t="shared" si="112"/>
        <v>1224934.3339283289</v>
      </c>
      <c r="AC449" s="408">
        <f t="shared" si="113"/>
        <v>1120.0833331153967</v>
      </c>
      <c r="AD449" s="408">
        <f t="shared" si="114"/>
        <v>0</v>
      </c>
      <c r="AE449" s="409">
        <f t="shared" si="115"/>
        <v>1332.8991664073221</v>
      </c>
      <c r="AF449" s="412"/>
    </row>
    <row r="450" spans="2:33" s="1" customFormat="1" ht="13" hidden="1" x14ac:dyDescent="0.3">
      <c r="B450" s="383">
        <v>2026</v>
      </c>
      <c r="C450" s="361" t="s">
        <v>402</v>
      </c>
      <c r="D450" s="361" t="s">
        <v>87</v>
      </c>
      <c r="E450" s="360" t="s">
        <v>177</v>
      </c>
      <c r="F450" s="360" t="s">
        <v>172</v>
      </c>
      <c r="G450" s="362"/>
      <c r="H450" s="363"/>
      <c r="I450" s="360" t="s">
        <v>147</v>
      </c>
      <c r="J450" s="364" t="str">
        <f>IFERROR(VLOOKUP(I450,Map!$F$18:$G$56,2,0),"Add in Map")</f>
        <v>3P</v>
      </c>
      <c r="K450" s="364" t="str">
        <f>VLOOKUP(L450,Map!$C$18:$D$29,2,0)</f>
        <v>CVT</v>
      </c>
      <c r="L450" s="360" t="s">
        <v>36</v>
      </c>
      <c r="M450" s="365"/>
      <c r="N450" s="366">
        <f t="shared" si="106"/>
        <v>0</v>
      </c>
      <c r="O450" s="366">
        <f t="shared" si="107"/>
        <v>0</v>
      </c>
      <c r="P450" s="367">
        <f t="shared" si="108"/>
        <v>0</v>
      </c>
      <c r="Q450" s="367">
        <f t="shared" si="109"/>
        <v>0</v>
      </c>
      <c r="R450" s="368">
        <f t="shared" si="110"/>
        <v>0</v>
      </c>
      <c r="S450" s="384">
        <f>INDEX(FX!$D$3:$O$19,MATCH(B450,FX!$B$3:$B$32,0),MATCH(D450,FX!$D$2:$O$2,0))</f>
        <v>919</v>
      </c>
      <c r="T450" s="360" t="s">
        <v>143</v>
      </c>
      <c r="U450" s="360" t="s">
        <v>32</v>
      </c>
      <c r="V450" s="360" t="s">
        <v>83</v>
      </c>
      <c r="W450" s="364" t="str">
        <f>VLOOKUP(I450,Map!$F$18:$H$51,3,0)</f>
        <v>Variable</v>
      </c>
      <c r="X450" s="370" t="s">
        <v>172</v>
      </c>
      <c r="Y450" s="364" t="str">
        <f>VLOOKUP(L450,Map!$C$18:$D$29,2,0)</f>
        <v>CVT</v>
      </c>
      <c r="Z450" s="365">
        <v>0</v>
      </c>
      <c r="AA450" s="366">
        <f t="shared" si="111"/>
        <v>0</v>
      </c>
      <c r="AB450" s="366">
        <f t="shared" si="112"/>
        <v>0</v>
      </c>
      <c r="AC450" s="367">
        <f t="shared" si="113"/>
        <v>0</v>
      </c>
      <c r="AD450" s="367">
        <f t="shared" si="114"/>
        <v>0</v>
      </c>
      <c r="AE450" s="368">
        <f t="shared" si="115"/>
        <v>0</v>
      </c>
      <c r="AF450" s="385"/>
    </row>
    <row r="451" spans="2:33" s="1" customFormat="1" ht="13" hidden="1" x14ac:dyDescent="0.3">
      <c r="B451" s="383">
        <v>2026</v>
      </c>
      <c r="C451" s="361" t="s">
        <v>402</v>
      </c>
      <c r="D451" s="361" t="s">
        <v>87</v>
      </c>
      <c r="E451" s="360" t="s">
        <v>177</v>
      </c>
      <c r="F451" s="360" t="s">
        <v>172</v>
      </c>
      <c r="G451" s="362"/>
      <c r="H451" s="363"/>
      <c r="I451" s="360" t="s">
        <v>147</v>
      </c>
      <c r="J451" s="364" t="str">
        <f>IFERROR(VLOOKUP(I451,Map!$F$18:$G$56,2,0),"Add in Map")</f>
        <v>3P</v>
      </c>
      <c r="K451" s="364" t="str">
        <f>VLOOKUP(L451,Map!$C$18:$D$29,2,0)</f>
        <v>CDT</v>
      </c>
      <c r="L451" s="360" t="s">
        <v>38</v>
      </c>
      <c r="M451" s="365"/>
      <c r="N451" s="366">
        <f t="shared" si="106"/>
        <v>0</v>
      </c>
      <c r="O451" s="366">
        <f t="shared" si="107"/>
        <v>0</v>
      </c>
      <c r="P451" s="367">
        <f t="shared" si="108"/>
        <v>0</v>
      </c>
      <c r="Q451" s="367">
        <f t="shared" si="109"/>
        <v>0</v>
      </c>
      <c r="R451" s="368">
        <f t="shared" si="110"/>
        <v>0</v>
      </c>
      <c r="S451" s="384">
        <f>INDEX(FX!$D$3:$O$19,MATCH(B451,FX!$B$3:$B$32,0),MATCH(D451,FX!$D$2:$O$2,0))</f>
        <v>919</v>
      </c>
      <c r="T451" s="360" t="s">
        <v>143</v>
      </c>
      <c r="U451" s="360" t="s">
        <v>32</v>
      </c>
      <c r="V451" s="360" t="s">
        <v>83</v>
      </c>
      <c r="W451" s="364" t="str">
        <f>VLOOKUP(I451,Map!$F$18:$H$51,3,0)</f>
        <v>Variable</v>
      </c>
      <c r="X451" s="370" t="s">
        <v>172</v>
      </c>
      <c r="Y451" s="364" t="str">
        <f>VLOOKUP(L451,Map!$C$18:$D$29,2,0)</f>
        <v>CDT</v>
      </c>
      <c r="Z451" s="365">
        <v>0</v>
      </c>
      <c r="AA451" s="366">
        <f t="shared" si="111"/>
        <v>0</v>
      </c>
      <c r="AB451" s="366">
        <f t="shared" si="112"/>
        <v>0</v>
      </c>
      <c r="AC451" s="367">
        <f t="shared" si="113"/>
        <v>0</v>
      </c>
      <c r="AD451" s="367">
        <f t="shared" si="114"/>
        <v>0</v>
      </c>
      <c r="AE451" s="368">
        <f t="shared" si="115"/>
        <v>0</v>
      </c>
      <c r="AF451" s="385"/>
    </row>
    <row r="452" spans="2:33" s="1" customFormat="1" ht="13" hidden="1" x14ac:dyDescent="0.3">
      <c r="B452" s="383">
        <v>2026</v>
      </c>
      <c r="C452" s="361" t="s">
        <v>402</v>
      </c>
      <c r="D452" s="361" t="s">
        <v>87</v>
      </c>
      <c r="E452" s="360" t="s">
        <v>177</v>
      </c>
      <c r="F452" s="360" t="s">
        <v>172</v>
      </c>
      <c r="G452" s="362"/>
      <c r="H452" s="363"/>
      <c r="I452" s="360" t="s">
        <v>147</v>
      </c>
      <c r="J452" s="364" t="str">
        <f>IFERROR(VLOOKUP(I452,Map!$F$18:$G$56,2,0),"Add in Map")</f>
        <v>3P</v>
      </c>
      <c r="K452" s="364" t="str">
        <f>VLOOKUP(L452,Map!$C$18:$D$29,2,0)</f>
        <v>DFT</v>
      </c>
      <c r="L452" s="360" t="s">
        <v>40</v>
      </c>
      <c r="M452" s="365"/>
      <c r="N452" s="366">
        <f t="shared" si="106"/>
        <v>0</v>
      </c>
      <c r="O452" s="366">
        <f t="shared" si="107"/>
        <v>0</v>
      </c>
      <c r="P452" s="367">
        <f t="shared" si="108"/>
        <v>0</v>
      </c>
      <c r="Q452" s="367">
        <f t="shared" si="109"/>
        <v>0</v>
      </c>
      <c r="R452" s="368">
        <f t="shared" si="110"/>
        <v>0</v>
      </c>
      <c r="S452" s="384">
        <f>INDEX(FX!$D$3:$O$19,MATCH(B452,FX!$B$3:$B$32,0),MATCH(D452,FX!$D$2:$O$2,0))</f>
        <v>919</v>
      </c>
      <c r="T452" s="360" t="s">
        <v>143</v>
      </c>
      <c r="U452" s="360" t="s">
        <v>32</v>
      </c>
      <c r="V452" s="360" t="s">
        <v>83</v>
      </c>
      <c r="W452" s="364" t="str">
        <f>VLOOKUP(I452,Map!$F$18:$H$51,3,0)</f>
        <v>Variable</v>
      </c>
      <c r="X452" s="370" t="s">
        <v>172</v>
      </c>
      <c r="Y452" s="364" t="str">
        <f>VLOOKUP(L452,Map!$C$18:$D$29,2,0)</f>
        <v>DFT</v>
      </c>
      <c r="Z452" s="365">
        <v>2464233.6159422128</v>
      </c>
      <c r="AA452" s="366">
        <f t="shared" si="111"/>
        <v>0</v>
      </c>
      <c r="AB452" s="366">
        <f t="shared" si="112"/>
        <v>2932438.0029712329</v>
      </c>
      <c r="AC452" s="367">
        <f t="shared" si="113"/>
        <v>2681.4293971079574</v>
      </c>
      <c r="AD452" s="367">
        <f t="shared" si="114"/>
        <v>0</v>
      </c>
      <c r="AE452" s="368">
        <f t="shared" si="115"/>
        <v>3190.900982558469</v>
      </c>
      <c r="AF452" s="385"/>
    </row>
    <row r="453" spans="2:33" s="1" customFormat="1" ht="13" hidden="1" x14ac:dyDescent="0.3">
      <c r="B453" s="383">
        <v>2026</v>
      </c>
      <c r="C453" s="361" t="s">
        <v>402</v>
      </c>
      <c r="D453" s="361" t="s">
        <v>87</v>
      </c>
      <c r="E453" s="360" t="s">
        <v>177</v>
      </c>
      <c r="F453" s="360" t="s">
        <v>172</v>
      </c>
      <c r="G453" s="362"/>
      <c r="H453" s="363"/>
      <c r="I453" s="360" t="s">
        <v>147</v>
      </c>
      <c r="J453" s="364" t="str">
        <f>IFERROR(VLOOKUP(I453,Map!$F$18:$G$56,2,0),"Add in Map")</f>
        <v>3P</v>
      </c>
      <c r="K453" s="364" t="str">
        <f>VLOOKUP(L453,Map!$C$18:$D$29,2,0)</f>
        <v>DVT</v>
      </c>
      <c r="L453" s="360" t="s">
        <v>42</v>
      </c>
      <c r="M453" s="365"/>
      <c r="N453" s="366">
        <f t="shared" ref="N453:N476" si="116">IF(L453="TOTAL",(M453*0.19),0)</f>
        <v>0</v>
      </c>
      <c r="O453" s="366">
        <f t="shared" ref="O453:O476" si="117">M453*1.19</f>
        <v>0</v>
      </c>
      <c r="P453" s="367">
        <f t="shared" ref="P453:P476" si="118">M453/S453</f>
        <v>0</v>
      </c>
      <c r="Q453" s="367">
        <f t="shared" ref="Q453:Q476" si="119">IF(L453="TOTAL",(P453*0.19),0)</f>
        <v>0</v>
      </c>
      <c r="R453" s="368">
        <f t="shared" ref="R453:R476" si="120">P453*1.19</f>
        <v>0</v>
      </c>
      <c r="S453" s="384">
        <f>INDEX(FX!$D$3:$O$19,MATCH(B453,FX!$B$3:$B$32,0),MATCH(D453,FX!$D$2:$O$2,0))</f>
        <v>919</v>
      </c>
      <c r="T453" s="360" t="s">
        <v>143</v>
      </c>
      <c r="U453" s="360" t="s">
        <v>32</v>
      </c>
      <c r="V453" s="360" t="s">
        <v>83</v>
      </c>
      <c r="W453" s="364" t="str">
        <f>VLOOKUP(I453,Map!$F$18:$H$51,3,0)</f>
        <v>Variable</v>
      </c>
      <c r="X453" s="370" t="s">
        <v>172</v>
      </c>
      <c r="Y453" s="364" t="str">
        <f>VLOOKUP(L453,Map!$C$18:$D$29,2,0)</f>
        <v>DVT</v>
      </c>
      <c r="Z453" s="365">
        <v>0</v>
      </c>
      <c r="AA453" s="366">
        <f t="shared" ref="AA453:AA476" si="121">IF(Y453="TOTAL",(Z453*0.19),0)</f>
        <v>0</v>
      </c>
      <c r="AB453" s="366">
        <f t="shared" ref="AB453:AB476" si="122">Z453*1.19</f>
        <v>0</v>
      </c>
      <c r="AC453" s="367">
        <f t="shared" ref="AC453:AC476" si="123">Z453/S453</f>
        <v>0</v>
      </c>
      <c r="AD453" s="367">
        <f t="shared" ref="AD453:AD476" si="124">IF(Y453="TOTAL",(AC453*0.19),0)</f>
        <v>0</v>
      </c>
      <c r="AE453" s="368">
        <f t="shared" ref="AE453:AE476" si="125">AC453*1.19</f>
        <v>0</v>
      </c>
      <c r="AF453" s="385"/>
    </row>
    <row r="454" spans="2:33" s="1" customFormat="1" ht="13" hidden="1" x14ac:dyDescent="0.3">
      <c r="B454" s="383">
        <v>2026</v>
      </c>
      <c r="C454" s="361" t="s">
        <v>402</v>
      </c>
      <c r="D454" s="361" t="s">
        <v>87</v>
      </c>
      <c r="E454" s="360" t="s">
        <v>177</v>
      </c>
      <c r="F454" s="360" t="s">
        <v>172</v>
      </c>
      <c r="G454" s="362"/>
      <c r="H454" s="363"/>
      <c r="I454" s="360" t="s">
        <v>147</v>
      </c>
      <c r="J454" s="364" t="str">
        <f>IFERROR(VLOOKUP(I454,Map!$F$18:$G$56,2,0),"Add in Map")</f>
        <v>3P</v>
      </c>
      <c r="K454" s="364" t="str">
        <f>VLOOKUP(L454,Map!$C$18:$D$29,2,0)</f>
        <v>GLT</v>
      </c>
      <c r="L454" s="360" t="s">
        <v>44</v>
      </c>
      <c r="M454" s="365"/>
      <c r="N454" s="366">
        <f t="shared" si="116"/>
        <v>0</v>
      </c>
      <c r="O454" s="366">
        <f t="shared" si="117"/>
        <v>0</v>
      </c>
      <c r="P454" s="367">
        <f t="shared" si="118"/>
        <v>0</v>
      </c>
      <c r="Q454" s="367">
        <f t="shared" si="119"/>
        <v>0</v>
      </c>
      <c r="R454" s="368">
        <f t="shared" si="120"/>
        <v>0</v>
      </c>
      <c r="S454" s="384">
        <f>INDEX(FX!$D$3:$O$19,MATCH(B454,FX!$B$3:$B$32,0),MATCH(D454,FX!$D$2:$O$2,0))</f>
        <v>919</v>
      </c>
      <c r="T454" s="360" t="s">
        <v>143</v>
      </c>
      <c r="U454" s="360" t="s">
        <v>32</v>
      </c>
      <c r="V454" s="360" t="s">
        <v>83</v>
      </c>
      <c r="W454" s="364" t="str">
        <f>VLOOKUP(I454,Map!$F$18:$H$51,3,0)</f>
        <v>Variable</v>
      </c>
      <c r="X454" s="370" t="s">
        <v>172</v>
      </c>
      <c r="Y454" s="364" t="str">
        <f>VLOOKUP(L454,Map!$C$18:$D$29,2,0)</f>
        <v>GLT</v>
      </c>
      <c r="Z454" s="365">
        <v>1742974.1665523599</v>
      </c>
      <c r="AA454" s="366">
        <f t="shared" si="121"/>
        <v>0</v>
      </c>
      <c r="AB454" s="366">
        <f t="shared" si="122"/>
        <v>2074139.2581973083</v>
      </c>
      <c r="AC454" s="367">
        <f t="shared" si="123"/>
        <v>1896.5986578371708</v>
      </c>
      <c r="AD454" s="367">
        <f t="shared" si="124"/>
        <v>0</v>
      </c>
      <c r="AE454" s="368">
        <f t="shared" si="125"/>
        <v>2256.9524028262331</v>
      </c>
      <c r="AF454" s="385"/>
    </row>
    <row r="455" spans="2:33" s="1" customFormat="1" ht="13" hidden="1" x14ac:dyDescent="0.3">
      <c r="B455" s="383">
        <v>2026</v>
      </c>
      <c r="C455" s="361" t="s">
        <v>402</v>
      </c>
      <c r="D455" s="361" t="s">
        <v>87</v>
      </c>
      <c r="E455" s="360" t="s">
        <v>177</v>
      </c>
      <c r="F455" s="360" t="s">
        <v>172</v>
      </c>
      <c r="G455" s="362"/>
      <c r="H455" s="363"/>
      <c r="I455" s="360" t="s">
        <v>147</v>
      </c>
      <c r="J455" s="364" t="str">
        <f>IFERROR(VLOOKUP(I455,Map!$F$18:$G$56,2,0),"Add in Map")</f>
        <v>3P</v>
      </c>
      <c r="K455" s="364" t="str">
        <f>VLOOKUP(L455,Map!$C$18:$D$29,2,0)</f>
        <v>PNT</v>
      </c>
      <c r="L455" s="360" t="s">
        <v>46</v>
      </c>
      <c r="M455" s="365"/>
      <c r="N455" s="366">
        <f t="shared" si="116"/>
        <v>0</v>
      </c>
      <c r="O455" s="366">
        <f t="shared" si="117"/>
        <v>0</v>
      </c>
      <c r="P455" s="367">
        <f t="shared" si="118"/>
        <v>0</v>
      </c>
      <c r="Q455" s="367">
        <f t="shared" si="119"/>
        <v>0</v>
      </c>
      <c r="R455" s="368">
        <f t="shared" si="120"/>
        <v>0</v>
      </c>
      <c r="S455" s="384">
        <f>INDEX(FX!$D$3:$O$19,MATCH(B455,FX!$B$3:$B$32,0),MATCH(D455,FX!$D$2:$O$2,0))</f>
        <v>919</v>
      </c>
      <c r="T455" s="360" t="s">
        <v>143</v>
      </c>
      <c r="U455" s="360" t="s">
        <v>32</v>
      </c>
      <c r="V455" s="360" t="s">
        <v>83</v>
      </c>
      <c r="W455" s="364" t="str">
        <f>VLOOKUP(I455,Map!$F$18:$H$51,3,0)</f>
        <v>Variable</v>
      </c>
      <c r="X455" s="370" t="s">
        <v>172</v>
      </c>
      <c r="Y455" s="364" t="str">
        <f>VLOOKUP(L455,Map!$C$18:$D$29,2,0)</f>
        <v>PNT</v>
      </c>
      <c r="Z455" s="365">
        <v>92398.564321678758</v>
      </c>
      <c r="AA455" s="366">
        <f t="shared" si="121"/>
        <v>0</v>
      </c>
      <c r="AB455" s="366">
        <f t="shared" si="122"/>
        <v>109954.29154279771</v>
      </c>
      <c r="AC455" s="367">
        <f t="shared" si="123"/>
        <v>100.54250742293662</v>
      </c>
      <c r="AD455" s="367">
        <f t="shared" si="124"/>
        <v>0</v>
      </c>
      <c r="AE455" s="368">
        <f t="shared" si="125"/>
        <v>119.64558383329458</v>
      </c>
      <c r="AF455" s="385"/>
    </row>
    <row r="456" spans="2:33" s="1" customFormat="1" ht="13" hidden="1" x14ac:dyDescent="0.3">
      <c r="B456" s="383">
        <v>2026</v>
      </c>
      <c r="C456" s="361" t="s">
        <v>402</v>
      </c>
      <c r="D456" s="361" t="s">
        <v>87</v>
      </c>
      <c r="E456" s="360" t="s">
        <v>177</v>
      </c>
      <c r="F456" s="360" t="s">
        <v>172</v>
      </c>
      <c r="G456" s="362"/>
      <c r="H456" s="363"/>
      <c r="I456" s="360" t="s">
        <v>147</v>
      </c>
      <c r="J456" s="364" t="str">
        <f>IFERROR(VLOOKUP(I456,Map!$F$18:$G$56,2,0),"Add in Map")</f>
        <v>3P</v>
      </c>
      <c r="K456" s="364" t="str">
        <f>VLOOKUP(L456,Map!$C$18:$D$29,2,0)</f>
        <v>GTT</v>
      </c>
      <c r="L456" s="360" t="s">
        <v>48</v>
      </c>
      <c r="M456" s="365"/>
      <c r="N456" s="366">
        <f t="shared" si="116"/>
        <v>0</v>
      </c>
      <c r="O456" s="366">
        <f t="shared" si="117"/>
        <v>0</v>
      </c>
      <c r="P456" s="367">
        <f t="shared" si="118"/>
        <v>0</v>
      </c>
      <c r="Q456" s="367">
        <f t="shared" si="119"/>
        <v>0</v>
      </c>
      <c r="R456" s="368">
        <f t="shared" si="120"/>
        <v>0</v>
      </c>
      <c r="S456" s="384">
        <f>INDEX(FX!$D$3:$O$19,MATCH(B456,FX!$B$3:$B$32,0),MATCH(D456,FX!$D$2:$O$2,0))</f>
        <v>919</v>
      </c>
      <c r="T456" s="360" t="s">
        <v>143</v>
      </c>
      <c r="U456" s="360" t="s">
        <v>32</v>
      </c>
      <c r="V456" s="360" t="s">
        <v>83</v>
      </c>
      <c r="W456" s="364" t="str">
        <f>VLOOKUP(I456,Map!$F$18:$H$51,3,0)</f>
        <v>Variable</v>
      </c>
      <c r="X456" s="370" t="s">
        <v>172</v>
      </c>
      <c r="Y456" s="364" t="str">
        <f>VLOOKUP(L456,Map!$C$18:$D$29,2,0)</f>
        <v>GTT</v>
      </c>
      <c r="Z456" s="365">
        <v>104638.71868670369</v>
      </c>
      <c r="AA456" s="366">
        <f t="shared" si="121"/>
        <v>0</v>
      </c>
      <c r="AB456" s="366">
        <f t="shared" si="122"/>
        <v>124520.07523717739</v>
      </c>
      <c r="AC456" s="367">
        <f t="shared" si="123"/>
        <v>113.86150020315962</v>
      </c>
      <c r="AD456" s="367">
        <f t="shared" si="124"/>
        <v>0</v>
      </c>
      <c r="AE456" s="368">
        <f t="shared" si="125"/>
        <v>135.49518524175994</v>
      </c>
      <c r="AF456" s="385"/>
    </row>
    <row r="457" spans="2:33" s="1" customFormat="1" ht="13" hidden="1" x14ac:dyDescent="0.3">
      <c r="B457" s="383">
        <v>2026</v>
      </c>
      <c r="C457" s="361" t="s">
        <v>402</v>
      </c>
      <c r="D457" s="361" t="s">
        <v>87</v>
      </c>
      <c r="E457" s="360" t="s">
        <v>177</v>
      </c>
      <c r="F457" s="360" t="s">
        <v>172</v>
      </c>
      <c r="G457" s="362"/>
      <c r="H457" s="363"/>
      <c r="I457" s="360" t="s">
        <v>147</v>
      </c>
      <c r="J457" s="364" t="str">
        <f>IFERROR(VLOOKUP(I457,Map!$F$18:$G$56,2,0),"Add in Map")</f>
        <v>3P</v>
      </c>
      <c r="K457" s="364" t="str">
        <f>VLOOKUP(L457,Map!$C$18:$D$29,2,0)</f>
        <v>DGT</v>
      </c>
      <c r="L457" s="360" t="s">
        <v>50</v>
      </c>
      <c r="M457" s="365"/>
      <c r="N457" s="366">
        <f t="shared" si="116"/>
        <v>0</v>
      </c>
      <c r="O457" s="366">
        <f t="shared" si="117"/>
        <v>0</v>
      </c>
      <c r="P457" s="367">
        <f t="shared" si="118"/>
        <v>0</v>
      </c>
      <c r="Q457" s="367">
        <f t="shared" si="119"/>
        <v>0</v>
      </c>
      <c r="R457" s="368">
        <f t="shared" si="120"/>
        <v>0</v>
      </c>
      <c r="S457" s="384">
        <f>INDEX(FX!$D$3:$O$19,MATCH(B457,FX!$B$3:$B$32,0),MATCH(D457,FX!$D$2:$O$2,0))</f>
        <v>919</v>
      </c>
      <c r="T457" s="360" t="s">
        <v>143</v>
      </c>
      <c r="U457" s="360" t="s">
        <v>32</v>
      </c>
      <c r="V457" s="360" t="s">
        <v>83</v>
      </c>
      <c r="W457" s="364" t="str">
        <f>VLOOKUP(I457,Map!$F$18:$H$51,3,0)</f>
        <v>Variable</v>
      </c>
      <c r="X457" s="370" t="s">
        <v>172</v>
      </c>
      <c r="Y457" s="364" t="str">
        <f>VLOOKUP(L457,Map!$C$18:$D$29,2,0)</f>
        <v>DGT</v>
      </c>
      <c r="Z457" s="365">
        <v>26946.521542567541</v>
      </c>
      <c r="AA457" s="366">
        <f t="shared" si="121"/>
        <v>0</v>
      </c>
      <c r="AB457" s="366">
        <f t="shared" si="122"/>
        <v>32066.360635655372</v>
      </c>
      <c r="AC457" s="367">
        <f t="shared" si="123"/>
        <v>29.321568599094171</v>
      </c>
      <c r="AD457" s="367">
        <f t="shared" si="124"/>
        <v>0</v>
      </c>
      <c r="AE457" s="368">
        <f t="shared" si="125"/>
        <v>34.892666632922065</v>
      </c>
      <c r="AF457" s="385"/>
    </row>
    <row r="458" spans="2:33" s="1" customFormat="1" ht="13" hidden="1" x14ac:dyDescent="0.3">
      <c r="B458" s="383">
        <v>2026</v>
      </c>
      <c r="C458" s="361" t="s">
        <v>402</v>
      </c>
      <c r="D458" s="361" t="s">
        <v>87</v>
      </c>
      <c r="E458" s="360" t="s">
        <v>177</v>
      </c>
      <c r="F458" s="360" t="s">
        <v>172</v>
      </c>
      <c r="G458" s="362"/>
      <c r="H458" s="363"/>
      <c r="I458" s="360" t="s">
        <v>147</v>
      </c>
      <c r="J458" s="364" t="str">
        <f>IFERROR(VLOOKUP(I458,Map!$F$18:$G$56,2,0),"Add in Map")</f>
        <v>3P</v>
      </c>
      <c r="K458" s="364" t="str">
        <f>VLOOKUP(L458,Map!$C$18:$D$29,2,0)</f>
        <v>DLT</v>
      </c>
      <c r="L458" s="360" t="s">
        <v>52</v>
      </c>
      <c r="M458" s="365"/>
      <c r="N458" s="366">
        <f t="shared" si="116"/>
        <v>0</v>
      </c>
      <c r="O458" s="366">
        <f t="shared" si="117"/>
        <v>0</v>
      </c>
      <c r="P458" s="367">
        <f t="shared" si="118"/>
        <v>0</v>
      </c>
      <c r="Q458" s="367">
        <f t="shared" si="119"/>
        <v>0</v>
      </c>
      <c r="R458" s="368">
        <f t="shared" si="120"/>
        <v>0</v>
      </c>
      <c r="S458" s="384">
        <f>INDEX(FX!$D$3:$O$19,MATCH(B458,FX!$B$3:$B$32,0),MATCH(D458,FX!$D$2:$O$2,0))</f>
        <v>919</v>
      </c>
      <c r="T458" s="360" t="s">
        <v>143</v>
      </c>
      <c r="U458" s="360" t="s">
        <v>32</v>
      </c>
      <c r="V458" s="360" t="s">
        <v>83</v>
      </c>
      <c r="W458" s="364" t="str">
        <f>VLOOKUP(I458,Map!$F$18:$H$51,3,0)</f>
        <v>Variable</v>
      </c>
      <c r="X458" s="370" t="s">
        <v>172</v>
      </c>
      <c r="Y458" s="364" t="str">
        <f>VLOOKUP(L458,Map!$C$18:$D$29,2,0)</f>
        <v>DLT</v>
      </c>
      <c r="Z458" s="365">
        <v>0</v>
      </c>
      <c r="AA458" s="366">
        <f t="shared" si="121"/>
        <v>0</v>
      </c>
      <c r="AB458" s="366">
        <f t="shared" si="122"/>
        <v>0</v>
      </c>
      <c r="AC458" s="367">
        <f t="shared" si="123"/>
        <v>0</v>
      </c>
      <c r="AD458" s="367">
        <f t="shared" si="124"/>
        <v>0</v>
      </c>
      <c r="AE458" s="368">
        <f t="shared" si="125"/>
        <v>0</v>
      </c>
      <c r="AF458" s="385"/>
    </row>
    <row r="459" spans="2:33" s="1" customFormat="1" ht="13" hidden="1" x14ac:dyDescent="0.3">
      <c r="B459" s="383">
        <v>2026</v>
      </c>
      <c r="C459" s="361" t="s">
        <v>402</v>
      </c>
      <c r="D459" s="361" t="s">
        <v>87</v>
      </c>
      <c r="E459" s="360" t="s">
        <v>177</v>
      </c>
      <c r="F459" s="360" t="s">
        <v>172</v>
      </c>
      <c r="G459" s="362"/>
      <c r="H459" s="363"/>
      <c r="I459" s="360" t="s">
        <v>147</v>
      </c>
      <c r="J459" s="364" t="str">
        <f>IFERROR(VLOOKUP(I459,Map!$F$18:$G$56,2,0),"Add in Map")</f>
        <v>3P</v>
      </c>
      <c r="K459" s="364" t="str">
        <f>VLOOKUP(L459,Map!$C$18:$D$29,2,0)</f>
        <v>DMT</v>
      </c>
      <c r="L459" s="360" t="s">
        <v>54</v>
      </c>
      <c r="M459" s="365"/>
      <c r="N459" s="366">
        <f t="shared" si="116"/>
        <v>0</v>
      </c>
      <c r="O459" s="366">
        <f t="shared" si="117"/>
        <v>0</v>
      </c>
      <c r="P459" s="386">
        <f t="shared" si="118"/>
        <v>0</v>
      </c>
      <c r="Q459" s="367">
        <f t="shared" si="119"/>
        <v>0</v>
      </c>
      <c r="R459" s="368">
        <f t="shared" si="120"/>
        <v>0</v>
      </c>
      <c r="S459" s="384">
        <f>INDEX(FX!$D$3:$O$19,MATCH(B459,FX!$B$3:$B$32,0),MATCH(D459,FX!$D$2:$O$2,0))</f>
        <v>919</v>
      </c>
      <c r="T459" s="360" t="s">
        <v>143</v>
      </c>
      <c r="U459" s="360" t="s">
        <v>32</v>
      </c>
      <c r="V459" s="360" t="s">
        <v>83</v>
      </c>
      <c r="W459" s="364" t="str">
        <f>VLOOKUP(I459,Map!$F$18:$H$51,3,0)</f>
        <v>Variable</v>
      </c>
      <c r="X459" s="370" t="s">
        <v>172</v>
      </c>
      <c r="Y459" s="364" t="str">
        <f>VLOOKUP(L459,Map!$C$18:$D$29,2,0)</f>
        <v>DMT</v>
      </c>
      <c r="Z459" s="365">
        <v>0</v>
      </c>
      <c r="AA459" s="366">
        <f t="shared" si="121"/>
        <v>0</v>
      </c>
      <c r="AB459" s="366">
        <f t="shared" si="122"/>
        <v>0</v>
      </c>
      <c r="AC459" s="386">
        <f t="shared" si="123"/>
        <v>0</v>
      </c>
      <c r="AD459" s="367">
        <f t="shared" si="124"/>
        <v>0</v>
      </c>
      <c r="AE459" s="368">
        <f t="shared" si="125"/>
        <v>0</v>
      </c>
      <c r="AF459" s="385"/>
    </row>
    <row r="460" spans="2:33" s="37" customFormat="1" hidden="1" x14ac:dyDescent="0.35">
      <c r="B460" s="387">
        <v>2026</v>
      </c>
      <c r="C460" s="389" t="s">
        <v>402</v>
      </c>
      <c r="D460" s="389" t="s">
        <v>87</v>
      </c>
      <c r="E460" s="388" t="s">
        <v>177</v>
      </c>
      <c r="F460" s="388" t="s">
        <v>172</v>
      </c>
      <c r="G460" s="390"/>
      <c r="H460" s="391"/>
      <c r="I460" s="388" t="s">
        <v>147</v>
      </c>
      <c r="J460" s="392" t="str">
        <f>IFERROR(VLOOKUP(I460,Map!$F$18:$G$56,2,0),"Add in Map")</f>
        <v>3P</v>
      </c>
      <c r="K460" s="392" t="str">
        <f>VLOOKUP(L460,Map!$C$18:$D$29,2,0)</f>
        <v>TOTAL</v>
      </c>
      <c r="L460" s="388" t="s">
        <v>56</v>
      </c>
      <c r="M460" s="393">
        <f>SUM(M449:M459)</f>
        <v>0</v>
      </c>
      <c r="N460" s="393">
        <f t="shared" si="116"/>
        <v>0</v>
      </c>
      <c r="O460" s="393">
        <f t="shared" si="117"/>
        <v>0</v>
      </c>
      <c r="P460" s="394">
        <f t="shared" si="118"/>
        <v>0</v>
      </c>
      <c r="Q460" s="394">
        <f t="shared" si="119"/>
        <v>0</v>
      </c>
      <c r="R460" s="395">
        <f t="shared" si="120"/>
        <v>0</v>
      </c>
      <c r="S460" s="396">
        <f>INDEX(FX!$D$3:$O$19,MATCH(B460,FX!$B$3:$B$32,0),MATCH(D460,FX!$D$2:$O$2,0))</f>
        <v>919</v>
      </c>
      <c r="T460" s="388" t="s">
        <v>143</v>
      </c>
      <c r="U460" s="388" t="s">
        <v>32</v>
      </c>
      <c r="V460" s="388" t="s">
        <v>83</v>
      </c>
      <c r="W460" s="392" t="str">
        <f>VLOOKUP(I460,Map!$F$18:$H$51,3,0)</f>
        <v>Variable</v>
      </c>
      <c r="X460" s="397" t="s">
        <v>172</v>
      </c>
      <c r="Y460" s="392" t="str">
        <f>VLOOKUP(L460,Map!$C$18:$D$29,2,0)</f>
        <v>TOTAL</v>
      </c>
      <c r="Z460" s="393">
        <f>SUM(Z449:Z459)</f>
        <v>5460548.1701785726</v>
      </c>
      <c r="AA460" s="393">
        <f t="shared" si="121"/>
        <v>1037504.1523339289</v>
      </c>
      <c r="AB460" s="393">
        <f t="shared" si="122"/>
        <v>6498052.3225125009</v>
      </c>
      <c r="AC460" s="394">
        <f t="shared" si="123"/>
        <v>5941.836964285716</v>
      </c>
      <c r="AD460" s="394">
        <f t="shared" si="124"/>
        <v>1128.9490232142859</v>
      </c>
      <c r="AE460" s="395">
        <f t="shared" si="125"/>
        <v>7070.7859875000022</v>
      </c>
      <c r="AF460" s="398"/>
    </row>
    <row r="461" spans="2:33" s="5" customFormat="1" ht="13" hidden="1" x14ac:dyDescent="0.3">
      <c r="B461" s="400">
        <v>2026</v>
      </c>
      <c r="C461" s="402" t="s">
        <v>400</v>
      </c>
      <c r="D461" s="402" t="s">
        <v>87</v>
      </c>
      <c r="E461" s="401" t="s">
        <v>177</v>
      </c>
      <c r="F461" s="401" t="s">
        <v>172</v>
      </c>
      <c r="G461" s="403"/>
      <c r="H461" s="404"/>
      <c r="I461" s="401" t="s">
        <v>175</v>
      </c>
      <c r="J461" s="405" t="str">
        <f>IFERROR(VLOOKUP(I461,Map!$F$18:$G$56,2,0),"Add in Map")</f>
        <v>3P</v>
      </c>
      <c r="K461" s="405" t="str">
        <f>VLOOKUP(L461,Map!$C$18:$D$29,2,0)</f>
        <v>CNT</v>
      </c>
      <c r="L461" s="401" t="s">
        <v>31</v>
      </c>
      <c r="M461" s="406"/>
      <c r="N461" s="407">
        <f t="shared" si="116"/>
        <v>0</v>
      </c>
      <c r="O461" s="407">
        <f t="shared" si="117"/>
        <v>0</v>
      </c>
      <c r="P461" s="408">
        <f t="shared" si="118"/>
        <v>0</v>
      </c>
      <c r="Q461" s="408">
        <f t="shared" si="119"/>
        <v>0</v>
      </c>
      <c r="R461" s="409">
        <f t="shared" si="120"/>
        <v>0</v>
      </c>
      <c r="S461" s="410">
        <f>INDEX(FX!$D$3:$O$19,MATCH(B461,FX!$B$3:$B$32,0),MATCH(D461,FX!$D$2:$O$2,0))</f>
        <v>919</v>
      </c>
      <c r="T461" s="360" t="s">
        <v>144</v>
      </c>
      <c r="U461" s="360" t="s">
        <v>32</v>
      </c>
      <c r="V461" s="360" t="s">
        <v>83</v>
      </c>
      <c r="W461" s="405" t="str">
        <f>VLOOKUP(I461,Map!$F$18:$H$51,3,0)</f>
        <v>Variable</v>
      </c>
      <c r="X461" s="411" t="s">
        <v>172</v>
      </c>
      <c r="Y461" s="405" t="str">
        <f>VLOOKUP(L461,Map!$C$18:$D$29,2,0)</f>
        <v>CNT</v>
      </c>
      <c r="Z461" s="406">
        <v>1714158.186077598</v>
      </c>
      <c r="AA461" s="407">
        <f t="shared" si="121"/>
        <v>0</v>
      </c>
      <c r="AB461" s="407">
        <f t="shared" si="122"/>
        <v>2039848.2414323415</v>
      </c>
      <c r="AC461" s="408">
        <f t="shared" si="123"/>
        <v>1865.2428575381916</v>
      </c>
      <c r="AD461" s="408">
        <f t="shared" si="124"/>
        <v>0</v>
      </c>
      <c r="AE461" s="409">
        <f t="shared" si="125"/>
        <v>2219.6390004704481</v>
      </c>
      <c r="AF461" s="412"/>
      <c r="AG461" s="504">
        <f>SUM(Z461,Z473)</f>
        <v>2728746.9574819123</v>
      </c>
    </row>
    <row r="462" spans="2:33" s="1" customFormat="1" ht="13" hidden="1" x14ac:dyDescent="0.3">
      <c r="B462" s="383">
        <v>2026</v>
      </c>
      <c r="C462" s="361" t="s">
        <v>400</v>
      </c>
      <c r="D462" s="361" t="s">
        <v>87</v>
      </c>
      <c r="E462" s="360" t="s">
        <v>177</v>
      </c>
      <c r="F462" s="360" t="s">
        <v>172</v>
      </c>
      <c r="G462" s="362"/>
      <c r="H462" s="363"/>
      <c r="I462" s="360" t="s">
        <v>175</v>
      </c>
      <c r="J462" s="364" t="str">
        <f>IFERROR(VLOOKUP(I462,Map!$F$18:$G$56,2,0),"Add in Map")</f>
        <v>3P</v>
      </c>
      <c r="K462" s="364" t="str">
        <f>VLOOKUP(L462,Map!$C$18:$D$29,2,0)</f>
        <v>CVT</v>
      </c>
      <c r="L462" s="360" t="s">
        <v>36</v>
      </c>
      <c r="M462" s="365"/>
      <c r="N462" s="366">
        <f t="shared" si="116"/>
        <v>0</v>
      </c>
      <c r="O462" s="366">
        <f t="shared" si="117"/>
        <v>0</v>
      </c>
      <c r="P462" s="367">
        <f t="shared" si="118"/>
        <v>0</v>
      </c>
      <c r="Q462" s="367">
        <f t="shared" si="119"/>
        <v>0</v>
      </c>
      <c r="R462" s="368">
        <f t="shared" si="120"/>
        <v>0</v>
      </c>
      <c r="S462" s="384">
        <f>INDEX(FX!$D$3:$O$19,MATCH(B462,FX!$B$3:$B$32,0),MATCH(D462,FX!$D$2:$O$2,0))</f>
        <v>919</v>
      </c>
      <c r="T462" s="360" t="s">
        <v>144</v>
      </c>
      <c r="U462" s="360" t="s">
        <v>32</v>
      </c>
      <c r="V462" s="360" t="s">
        <v>83</v>
      </c>
      <c r="W462" s="364" t="str">
        <f>VLOOKUP(I462,Map!$F$18:$H$51,3,0)</f>
        <v>Variable</v>
      </c>
      <c r="X462" s="370" t="s">
        <v>172</v>
      </c>
      <c r="Y462" s="364" t="str">
        <f>VLOOKUP(L462,Map!$C$18:$D$29,2,0)</f>
        <v>CVT</v>
      </c>
      <c r="Z462" s="365">
        <v>0</v>
      </c>
      <c r="AA462" s="366">
        <f t="shared" si="121"/>
        <v>0</v>
      </c>
      <c r="AB462" s="366">
        <f t="shared" si="122"/>
        <v>0</v>
      </c>
      <c r="AC462" s="367">
        <f t="shared" si="123"/>
        <v>0</v>
      </c>
      <c r="AD462" s="367">
        <f t="shared" si="124"/>
        <v>0</v>
      </c>
      <c r="AE462" s="368">
        <f t="shared" si="125"/>
        <v>0</v>
      </c>
      <c r="AF462" s="385"/>
      <c r="AG462" s="1">
        <f t="shared" ref="AG462:AG471" si="126">SUM(Z462,Z474)</f>
        <v>0</v>
      </c>
    </row>
    <row r="463" spans="2:33" s="1" customFormat="1" ht="13" hidden="1" x14ac:dyDescent="0.3">
      <c r="B463" s="383">
        <v>2026</v>
      </c>
      <c r="C463" s="361" t="s">
        <v>400</v>
      </c>
      <c r="D463" s="361" t="s">
        <v>87</v>
      </c>
      <c r="E463" s="360" t="s">
        <v>177</v>
      </c>
      <c r="F463" s="360" t="s">
        <v>172</v>
      </c>
      <c r="G463" s="362"/>
      <c r="H463" s="363"/>
      <c r="I463" s="360" t="s">
        <v>175</v>
      </c>
      <c r="J463" s="364" t="str">
        <f>IFERROR(VLOOKUP(I463,Map!$F$18:$G$56,2,0),"Add in Map")</f>
        <v>3P</v>
      </c>
      <c r="K463" s="364" t="str">
        <f>VLOOKUP(L463,Map!$C$18:$D$29,2,0)</f>
        <v>CDT</v>
      </c>
      <c r="L463" s="360" t="s">
        <v>38</v>
      </c>
      <c r="M463" s="365"/>
      <c r="N463" s="366">
        <f t="shared" si="116"/>
        <v>0</v>
      </c>
      <c r="O463" s="366">
        <f t="shared" si="117"/>
        <v>0</v>
      </c>
      <c r="P463" s="367">
        <f t="shared" si="118"/>
        <v>0</v>
      </c>
      <c r="Q463" s="367">
        <f t="shared" si="119"/>
        <v>0</v>
      </c>
      <c r="R463" s="368">
        <f t="shared" si="120"/>
        <v>0</v>
      </c>
      <c r="S463" s="384">
        <f>INDEX(FX!$D$3:$O$19,MATCH(B463,FX!$B$3:$B$32,0),MATCH(D463,FX!$D$2:$O$2,0))</f>
        <v>919</v>
      </c>
      <c r="T463" s="360" t="s">
        <v>144</v>
      </c>
      <c r="U463" s="360" t="s">
        <v>32</v>
      </c>
      <c r="V463" s="360" t="s">
        <v>83</v>
      </c>
      <c r="W463" s="364" t="str">
        <f>VLOOKUP(I463,Map!$F$18:$H$51,3,0)</f>
        <v>Variable</v>
      </c>
      <c r="X463" s="370" t="s">
        <v>172</v>
      </c>
      <c r="Y463" s="364" t="str">
        <f>VLOOKUP(L463,Map!$C$18:$D$29,2,0)</f>
        <v>CDT</v>
      </c>
      <c r="Z463" s="365">
        <v>41620.302238572454</v>
      </c>
      <c r="AA463" s="366">
        <f t="shared" si="121"/>
        <v>0</v>
      </c>
      <c r="AB463" s="366">
        <f t="shared" si="122"/>
        <v>49528.15966390122</v>
      </c>
      <c r="AC463" s="367">
        <f t="shared" si="123"/>
        <v>45.28868578734761</v>
      </c>
      <c r="AD463" s="367">
        <f t="shared" si="124"/>
        <v>0</v>
      </c>
      <c r="AE463" s="368">
        <f t="shared" si="125"/>
        <v>53.893536086943655</v>
      </c>
      <c r="AF463" s="385"/>
      <c r="AG463" s="1">
        <f t="shared" si="126"/>
        <v>66254.838103862683</v>
      </c>
    </row>
    <row r="464" spans="2:33" s="1" customFormat="1" ht="13" hidden="1" x14ac:dyDescent="0.3">
      <c r="B464" s="383">
        <v>2026</v>
      </c>
      <c r="C464" s="361" t="s">
        <v>400</v>
      </c>
      <c r="D464" s="361" t="s">
        <v>87</v>
      </c>
      <c r="E464" s="360" t="s">
        <v>177</v>
      </c>
      <c r="F464" s="360" t="s">
        <v>172</v>
      </c>
      <c r="G464" s="362"/>
      <c r="H464" s="363"/>
      <c r="I464" s="360" t="s">
        <v>175</v>
      </c>
      <c r="J464" s="364" t="str">
        <f>IFERROR(VLOOKUP(I464,Map!$F$18:$G$56,2,0),"Add in Map")</f>
        <v>3P</v>
      </c>
      <c r="K464" s="364" t="str">
        <f>VLOOKUP(L464,Map!$C$18:$D$29,2,0)</f>
        <v>DFT</v>
      </c>
      <c r="L464" s="360" t="s">
        <v>40</v>
      </c>
      <c r="M464" s="365"/>
      <c r="N464" s="366">
        <f t="shared" si="116"/>
        <v>0</v>
      </c>
      <c r="O464" s="366">
        <f t="shared" si="117"/>
        <v>0</v>
      </c>
      <c r="P464" s="367">
        <f t="shared" si="118"/>
        <v>0</v>
      </c>
      <c r="Q464" s="367">
        <f t="shared" si="119"/>
        <v>0</v>
      </c>
      <c r="R464" s="368">
        <f t="shared" si="120"/>
        <v>0</v>
      </c>
      <c r="S464" s="384">
        <f>INDEX(FX!$D$3:$O$19,MATCH(B464,FX!$B$3:$B$32,0),MATCH(D464,FX!$D$2:$O$2,0))</f>
        <v>919</v>
      </c>
      <c r="T464" s="360" t="s">
        <v>144</v>
      </c>
      <c r="U464" s="360" t="s">
        <v>32</v>
      </c>
      <c r="V464" s="360" t="s">
        <v>83</v>
      </c>
      <c r="W464" s="364" t="str">
        <f>VLOOKUP(I464,Map!$F$18:$H$51,3,0)</f>
        <v>Variable</v>
      </c>
      <c r="X464" s="370" t="s">
        <v>172</v>
      </c>
      <c r="Y464" s="364" t="str">
        <f>VLOOKUP(L464,Map!$C$18:$D$29,2,0)</f>
        <v>DFT</v>
      </c>
      <c r="Z464" s="365">
        <v>3699399.6282734526</v>
      </c>
      <c r="AA464" s="366">
        <f t="shared" si="121"/>
        <v>0</v>
      </c>
      <c r="AB464" s="366">
        <f t="shared" si="122"/>
        <v>4402285.5576454084</v>
      </c>
      <c r="AC464" s="367">
        <f t="shared" si="123"/>
        <v>4025.4620547045188</v>
      </c>
      <c r="AD464" s="367">
        <f t="shared" si="124"/>
        <v>0</v>
      </c>
      <c r="AE464" s="368">
        <f t="shared" si="125"/>
        <v>4790.2998450983769</v>
      </c>
      <c r="AF464" s="385"/>
      <c r="AG464" s="1">
        <f t="shared" si="126"/>
        <v>5889027.9567838684</v>
      </c>
    </row>
    <row r="465" spans="2:33" s="1" customFormat="1" ht="13" hidden="1" x14ac:dyDescent="0.3">
      <c r="B465" s="383">
        <v>2026</v>
      </c>
      <c r="C465" s="361" t="s">
        <v>400</v>
      </c>
      <c r="D465" s="361" t="s">
        <v>87</v>
      </c>
      <c r="E465" s="360" t="s">
        <v>177</v>
      </c>
      <c r="F465" s="360" t="s">
        <v>172</v>
      </c>
      <c r="G465" s="362"/>
      <c r="H465" s="363"/>
      <c r="I465" s="360" t="s">
        <v>175</v>
      </c>
      <c r="J465" s="364" t="str">
        <f>IFERROR(VLOOKUP(I465,Map!$F$18:$G$56,2,0),"Add in Map")</f>
        <v>3P</v>
      </c>
      <c r="K465" s="364" t="str">
        <f>VLOOKUP(L465,Map!$C$18:$D$29,2,0)</f>
        <v>DVT</v>
      </c>
      <c r="L465" s="360" t="s">
        <v>42</v>
      </c>
      <c r="M465" s="365"/>
      <c r="N465" s="366">
        <f t="shared" si="116"/>
        <v>0</v>
      </c>
      <c r="O465" s="366">
        <f t="shared" si="117"/>
        <v>0</v>
      </c>
      <c r="P465" s="367">
        <f t="shared" si="118"/>
        <v>0</v>
      </c>
      <c r="Q465" s="367">
        <f t="shared" si="119"/>
        <v>0</v>
      </c>
      <c r="R465" s="368">
        <f t="shared" si="120"/>
        <v>0</v>
      </c>
      <c r="S465" s="384">
        <f>INDEX(FX!$D$3:$O$19,MATCH(B465,FX!$B$3:$B$32,0),MATCH(D465,FX!$D$2:$O$2,0))</f>
        <v>919</v>
      </c>
      <c r="T465" s="360" t="s">
        <v>144</v>
      </c>
      <c r="U465" s="360" t="s">
        <v>32</v>
      </c>
      <c r="V465" s="360" t="s">
        <v>83</v>
      </c>
      <c r="W465" s="364" t="str">
        <f>VLOOKUP(I465,Map!$F$18:$H$51,3,0)</f>
        <v>Variable</v>
      </c>
      <c r="X465" s="370" t="s">
        <v>172</v>
      </c>
      <c r="Y465" s="364" t="str">
        <f>VLOOKUP(L465,Map!$C$18:$D$29,2,0)</f>
        <v>DVT</v>
      </c>
      <c r="Z465" s="365">
        <v>0</v>
      </c>
      <c r="AA465" s="366">
        <f t="shared" si="121"/>
        <v>0</v>
      </c>
      <c r="AB465" s="366">
        <f t="shared" si="122"/>
        <v>0</v>
      </c>
      <c r="AC465" s="367">
        <f t="shared" si="123"/>
        <v>0</v>
      </c>
      <c r="AD465" s="367">
        <f t="shared" si="124"/>
        <v>0</v>
      </c>
      <c r="AE465" s="368">
        <f t="shared" si="125"/>
        <v>0</v>
      </c>
      <c r="AF465" s="385"/>
      <c r="AG465" s="1">
        <f t="shared" si="126"/>
        <v>0</v>
      </c>
    </row>
    <row r="466" spans="2:33" s="1" customFormat="1" ht="13" hidden="1" x14ac:dyDescent="0.3">
      <c r="B466" s="383">
        <v>2026</v>
      </c>
      <c r="C466" s="361" t="s">
        <v>400</v>
      </c>
      <c r="D466" s="361" t="s">
        <v>87</v>
      </c>
      <c r="E466" s="360" t="s">
        <v>177</v>
      </c>
      <c r="F466" s="360" t="s">
        <v>172</v>
      </c>
      <c r="G466" s="362"/>
      <c r="H466" s="363"/>
      <c r="I466" s="360" t="s">
        <v>175</v>
      </c>
      <c r="J466" s="364" t="str">
        <f>IFERROR(VLOOKUP(I466,Map!$F$18:$G$56,2,0),"Add in Map")</f>
        <v>3P</v>
      </c>
      <c r="K466" s="364" t="str">
        <f>VLOOKUP(L466,Map!$C$18:$D$29,2,0)</f>
        <v>GLT</v>
      </c>
      <c r="L466" s="360" t="s">
        <v>44</v>
      </c>
      <c r="M466" s="365"/>
      <c r="N466" s="366">
        <f t="shared" si="116"/>
        <v>0</v>
      </c>
      <c r="O466" s="366">
        <f t="shared" si="117"/>
        <v>0</v>
      </c>
      <c r="P466" s="367">
        <f t="shared" si="118"/>
        <v>0</v>
      </c>
      <c r="Q466" s="367">
        <f t="shared" si="119"/>
        <v>0</v>
      </c>
      <c r="R466" s="368">
        <f t="shared" si="120"/>
        <v>0</v>
      </c>
      <c r="S466" s="384">
        <f>INDEX(FX!$D$3:$O$19,MATCH(B466,FX!$B$3:$B$32,0),MATCH(D466,FX!$D$2:$O$2,0))</f>
        <v>919</v>
      </c>
      <c r="T466" s="360" t="s">
        <v>144</v>
      </c>
      <c r="U466" s="360" t="s">
        <v>32</v>
      </c>
      <c r="V466" s="360" t="s">
        <v>83</v>
      </c>
      <c r="W466" s="364" t="str">
        <f>VLOOKUP(I466,Map!$F$18:$H$51,3,0)</f>
        <v>Variable</v>
      </c>
      <c r="X466" s="370" t="s">
        <v>172</v>
      </c>
      <c r="Y466" s="364" t="str">
        <f>VLOOKUP(L466,Map!$C$18:$D$29,2,0)</f>
        <v>GLT</v>
      </c>
      <c r="Z466" s="365">
        <v>1581845.3088950999</v>
      </c>
      <c r="AA466" s="366">
        <f t="shared" si="121"/>
        <v>0</v>
      </c>
      <c r="AB466" s="366">
        <f t="shared" si="122"/>
        <v>1882395.9175851687</v>
      </c>
      <c r="AC466" s="367">
        <f t="shared" si="123"/>
        <v>1721.2680183842219</v>
      </c>
      <c r="AD466" s="367">
        <f t="shared" si="124"/>
        <v>0</v>
      </c>
      <c r="AE466" s="368">
        <f t="shared" si="125"/>
        <v>2048.3089418772238</v>
      </c>
      <c r="AF466" s="385"/>
      <c r="AG466" s="1">
        <f t="shared" si="126"/>
        <v>2518119.7446728162</v>
      </c>
    </row>
    <row r="467" spans="2:33" s="1" customFormat="1" ht="13" hidden="1" x14ac:dyDescent="0.3">
      <c r="B467" s="383">
        <v>2026</v>
      </c>
      <c r="C467" s="361" t="s">
        <v>400</v>
      </c>
      <c r="D467" s="361" t="s">
        <v>87</v>
      </c>
      <c r="E467" s="360" t="s">
        <v>177</v>
      </c>
      <c r="F467" s="360" t="s">
        <v>172</v>
      </c>
      <c r="G467" s="362"/>
      <c r="H467" s="363"/>
      <c r="I467" s="360" t="s">
        <v>175</v>
      </c>
      <c r="J467" s="364" t="str">
        <f>IFERROR(VLOOKUP(I467,Map!$F$18:$G$56,2,0),"Add in Map")</f>
        <v>3P</v>
      </c>
      <c r="K467" s="364" t="str">
        <f>VLOOKUP(L467,Map!$C$18:$D$29,2,0)</f>
        <v>PNT</v>
      </c>
      <c r="L467" s="360" t="s">
        <v>46</v>
      </c>
      <c r="M467" s="365"/>
      <c r="N467" s="366">
        <f t="shared" si="116"/>
        <v>0</v>
      </c>
      <c r="O467" s="366">
        <f t="shared" si="117"/>
        <v>0</v>
      </c>
      <c r="P467" s="367">
        <f t="shared" si="118"/>
        <v>0</v>
      </c>
      <c r="Q467" s="367">
        <f t="shared" si="119"/>
        <v>0</v>
      </c>
      <c r="R467" s="368">
        <f t="shared" si="120"/>
        <v>0</v>
      </c>
      <c r="S467" s="384">
        <f>INDEX(FX!$D$3:$O$19,MATCH(B467,FX!$B$3:$B$32,0),MATCH(D467,FX!$D$2:$O$2,0))</f>
        <v>919</v>
      </c>
      <c r="T467" s="360" t="s">
        <v>144</v>
      </c>
      <c r="U467" s="360" t="s">
        <v>32</v>
      </c>
      <c r="V467" s="360" t="s">
        <v>83</v>
      </c>
      <c r="W467" s="364" t="str">
        <f>VLOOKUP(I467,Map!$F$18:$H$51,3,0)</f>
        <v>Variable</v>
      </c>
      <c r="X467" s="370" t="s">
        <v>172</v>
      </c>
      <c r="Y467" s="364" t="str">
        <f>VLOOKUP(L467,Map!$C$18:$D$29,2,0)</f>
        <v>PNT</v>
      </c>
      <c r="Z467" s="365">
        <v>89777.423158729958</v>
      </c>
      <c r="AA467" s="366">
        <f t="shared" si="121"/>
        <v>0</v>
      </c>
      <c r="AB467" s="366">
        <f t="shared" si="122"/>
        <v>106835.13355888864</v>
      </c>
      <c r="AC467" s="367">
        <f t="shared" si="123"/>
        <v>97.690340760315522</v>
      </c>
      <c r="AD467" s="367">
        <f t="shared" si="124"/>
        <v>0</v>
      </c>
      <c r="AE467" s="368">
        <f t="shared" si="125"/>
        <v>116.25150550477547</v>
      </c>
      <c r="AF467" s="385"/>
      <c r="AG467" s="1">
        <f t="shared" si="126"/>
        <v>142915.55603483875</v>
      </c>
    </row>
    <row r="468" spans="2:33" s="1" customFormat="1" ht="13" hidden="1" x14ac:dyDescent="0.3">
      <c r="B468" s="383">
        <v>2026</v>
      </c>
      <c r="C468" s="361" t="s">
        <v>400</v>
      </c>
      <c r="D468" s="361" t="s">
        <v>87</v>
      </c>
      <c r="E468" s="360" t="s">
        <v>177</v>
      </c>
      <c r="F468" s="360" t="s">
        <v>172</v>
      </c>
      <c r="G468" s="362"/>
      <c r="H468" s="363"/>
      <c r="I468" s="360" t="s">
        <v>175</v>
      </c>
      <c r="J468" s="364" t="str">
        <f>IFERROR(VLOOKUP(I468,Map!$F$18:$G$56,2,0),"Add in Map")</f>
        <v>3P</v>
      </c>
      <c r="K468" s="364" t="str">
        <f>VLOOKUP(L468,Map!$C$18:$D$29,2,0)</f>
        <v>GTT</v>
      </c>
      <c r="L468" s="360" t="s">
        <v>48</v>
      </c>
      <c r="M468" s="365"/>
      <c r="N468" s="366">
        <f t="shared" si="116"/>
        <v>0</v>
      </c>
      <c r="O468" s="366">
        <f t="shared" si="117"/>
        <v>0</v>
      </c>
      <c r="P468" s="367">
        <f t="shared" si="118"/>
        <v>0</v>
      </c>
      <c r="Q468" s="367">
        <f t="shared" si="119"/>
        <v>0</v>
      </c>
      <c r="R468" s="368">
        <f t="shared" si="120"/>
        <v>0</v>
      </c>
      <c r="S468" s="384">
        <f>INDEX(FX!$D$3:$O$19,MATCH(B468,FX!$B$3:$B$32,0),MATCH(D468,FX!$D$2:$O$2,0))</f>
        <v>919</v>
      </c>
      <c r="T468" s="360" t="s">
        <v>144</v>
      </c>
      <c r="U468" s="360" t="s">
        <v>32</v>
      </c>
      <c r="V468" s="360" t="s">
        <v>83</v>
      </c>
      <c r="W468" s="364" t="str">
        <f>VLOOKUP(I468,Map!$F$18:$H$51,3,0)</f>
        <v>Variable</v>
      </c>
      <c r="X468" s="370" t="s">
        <v>172</v>
      </c>
      <c r="Y468" s="364" t="str">
        <f>VLOOKUP(L468,Map!$C$18:$D$29,2,0)</f>
        <v>GTT</v>
      </c>
      <c r="Z468" s="365">
        <v>123075.39138406732</v>
      </c>
      <c r="AA468" s="366">
        <f t="shared" si="121"/>
        <v>0</v>
      </c>
      <c r="AB468" s="366">
        <f t="shared" si="122"/>
        <v>146459.71574704011</v>
      </c>
      <c r="AC468" s="367">
        <f t="shared" si="123"/>
        <v>133.92316799136813</v>
      </c>
      <c r="AD468" s="367">
        <f t="shared" si="124"/>
        <v>0</v>
      </c>
      <c r="AE468" s="368">
        <f t="shared" si="125"/>
        <v>159.36856990972808</v>
      </c>
      <c r="AF468" s="385"/>
      <c r="AG468" s="1">
        <f t="shared" si="126"/>
        <v>195922.17480736406</v>
      </c>
    </row>
    <row r="469" spans="2:33" s="1" customFormat="1" ht="13" hidden="1" x14ac:dyDescent="0.3">
      <c r="B469" s="383">
        <v>2026</v>
      </c>
      <c r="C469" s="361" t="s">
        <v>400</v>
      </c>
      <c r="D469" s="361" t="s">
        <v>87</v>
      </c>
      <c r="E469" s="360" t="s">
        <v>177</v>
      </c>
      <c r="F469" s="360" t="s">
        <v>172</v>
      </c>
      <c r="G469" s="362"/>
      <c r="H469" s="363"/>
      <c r="I469" s="360" t="s">
        <v>175</v>
      </c>
      <c r="J469" s="364" t="str">
        <f>IFERROR(VLOOKUP(I469,Map!$F$18:$G$56,2,0),"Add in Map")</f>
        <v>3P</v>
      </c>
      <c r="K469" s="364" t="str">
        <f>VLOOKUP(L469,Map!$C$18:$D$29,2,0)</f>
        <v>DGT</v>
      </c>
      <c r="L469" s="360" t="s">
        <v>50</v>
      </c>
      <c r="M469" s="365"/>
      <c r="N469" s="366">
        <f t="shared" si="116"/>
        <v>0</v>
      </c>
      <c r="O469" s="366">
        <f t="shared" si="117"/>
        <v>0</v>
      </c>
      <c r="P469" s="367">
        <f t="shared" si="118"/>
        <v>0</v>
      </c>
      <c r="Q469" s="367">
        <f t="shared" si="119"/>
        <v>0</v>
      </c>
      <c r="R469" s="368">
        <f t="shared" si="120"/>
        <v>0</v>
      </c>
      <c r="S469" s="384">
        <f>INDEX(FX!$D$3:$O$19,MATCH(B469,FX!$B$3:$B$32,0),MATCH(D469,FX!$D$2:$O$2,0))</f>
        <v>919</v>
      </c>
      <c r="T469" s="360" t="s">
        <v>144</v>
      </c>
      <c r="U469" s="360" t="s">
        <v>32</v>
      </c>
      <c r="V469" s="360" t="s">
        <v>83</v>
      </c>
      <c r="W469" s="364" t="str">
        <f>VLOOKUP(I469,Map!$F$18:$H$51,3,0)</f>
        <v>Variable</v>
      </c>
      <c r="X469" s="370" t="s">
        <v>172</v>
      </c>
      <c r="Y469" s="364" t="str">
        <f>VLOOKUP(L469,Map!$C$18:$D$29,2,0)</f>
        <v>DGT</v>
      </c>
      <c r="Z469" s="365">
        <v>0</v>
      </c>
      <c r="AA469" s="366">
        <f t="shared" si="121"/>
        <v>0</v>
      </c>
      <c r="AB469" s="366">
        <f t="shared" si="122"/>
        <v>0</v>
      </c>
      <c r="AC469" s="367">
        <f t="shared" si="123"/>
        <v>0</v>
      </c>
      <c r="AD469" s="367">
        <f t="shared" si="124"/>
        <v>0</v>
      </c>
      <c r="AE469" s="368">
        <f t="shared" si="125"/>
        <v>0</v>
      </c>
      <c r="AF469" s="385"/>
      <c r="AG469" s="1">
        <f t="shared" si="126"/>
        <v>0</v>
      </c>
    </row>
    <row r="470" spans="2:33" s="1" customFormat="1" ht="13" hidden="1" x14ac:dyDescent="0.3">
      <c r="B470" s="383">
        <v>2026</v>
      </c>
      <c r="C470" s="361" t="s">
        <v>400</v>
      </c>
      <c r="D470" s="361" t="s">
        <v>87</v>
      </c>
      <c r="E470" s="360" t="s">
        <v>177</v>
      </c>
      <c r="F470" s="360" t="s">
        <v>172</v>
      </c>
      <c r="G470" s="362"/>
      <c r="H470" s="363"/>
      <c r="I470" s="360" t="s">
        <v>175</v>
      </c>
      <c r="J470" s="364" t="str">
        <f>IFERROR(VLOOKUP(I470,Map!$F$18:$G$56,2,0),"Add in Map")</f>
        <v>3P</v>
      </c>
      <c r="K470" s="364" t="str">
        <f>VLOOKUP(L470,Map!$C$18:$D$29,2,0)</f>
        <v>DLT</v>
      </c>
      <c r="L470" s="360" t="s">
        <v>52</v>
      </c>
      <c r="M470" s="365"/>
      <c r="N470" s="366">
        <f t="shared" si="116"/>
        <v>0</v>
      </c>
      <c r="O470" s="366">
        <f t="shared" si="117"/>
        <v>0</v>
      </c>
      <c r="P470" s="367">
        <f t="shared" si="118"/>
        <v>0</v>
      </c>
      <c r="Q470" s="367">
        <f t="shared" si="119"/>
        <v>0</v>
      </c>
      <c r="R470" s="368">
        <f t="shared" si="120"/>
        <v>0</v>
      </c>
      <c r="S470" s="384">
        <f>INDEX(FX!$D$3:$O$19,MATCH(B470,FX!$B$3:$B$32,0),MATCH(D470,FX!$D$2:$O$2,0))</f>
        <v>919</v>
      </c>
      <c r="T470" s="360" t="s">
        <v>144</v>
      </c>
      <c r="U470" s="360" t="s">
        <v>32</v>
      </c>
      <c r="V470" s="360" t="s">
        <v>83</v>
      </c>
      <c r="W470" s="364" t="str">
        <f>VLOOKUP(I470,Map!$F$18:$H$51,3,0)</f>
        <v>Variable</v>
      </c>
      <c r="X470" s="370" t="s">
        <v>172</v>
      </c>
      <c r="Y470" s="364" t="str">
        <f>VLOOKUP(L470,Map!$C$18:$D$29,2,0)</f>
        <v>DLT</v>
      </c>
      <c r="Z470" s="365">
        <v>0</v>
      </c>
      <c r="AA470" s="366">
        <f t="shared" si="121"/>
        <v>0</v>
      </c>
      <c r="AB470" s="366">
        <f t="shared" si="122"/>
        <v>0</v>
      </c>
      <c r="AC470" s="367">
        <f t="shared" si="123"/>
        <v>0</v>
      </c>
      <c r="AD470" s="367">
        <f t="shared" si="124"/>
        <v>0</v>
      </c>
      <c r="AE470" s="368">
        <f t="shared" si="125"/>
        <v>0</v>
      </c>
      <c r="AF470" s="385"/>
      <c r="AG470" s="1">
        <f t="shared" si="126"/>
        <v>0</v>
      </c>
    </row>
    <row r="471" spans="2:33" s="1" customFormat="1" ht="13" hidden="1" x14ac:dyDescent="0.3">
      <c r="B471" s="383">
        <v>2026</v>
      </c>
      <c r="C471" s="361" t="s">
        <v>400</v>
      </c>
      <c r="D471" s="361" t="s">
        <v>87</v>
      </c>
      <c r="E471" s="360" t="s">
        <v>177</v>
      </c>
      <c r="F471" s="360" t="s">
        <v>172</v>
      </c>
      <c r="G471" s="362"/>
      <c r="H471" s="363"/>
      <c r="I471" s="360" t="s">
        <v>175</v>
      </c>
      <c r="J471" s="364" t="str">
        <f>IFERROR(VLOOKUP(I471,Map!$F$18:$G$56,2,0),"Add in Map")</f>
        <v>3P</v>
      </c>
      <c r="K471" s="364" t="str">
        <f>VLOOKUP(L471,Map!$C$18:$D$29,2,0)</f>
        <v>DMT</v>
      </c>
      <c r="L471" s="360" t="s">
        <v>54</v>
      </c>
      <c r="M471" s="365"/>
      <c r="N471" s="366">
        <f t="shared" si="116"/>
        <v>0</v>
      </c>
      <c r="O471" s="366">
        <f t="shared" si="117"/>
        <v>0</v>
      </c>
      <c r="P471" s="386">
        <f t="shared" si="118"/>
        <v>0</v>
      </c>
      <c r="Q471" s="367">
        <f t="shared" si="119"/>
        <v>0</v>
      </c>
      <c r="R471" s="368">
        <f t="shared" si="120"/>
        <v>0</v>
      </c>
      <c r="S471" s="384">
        <f>INDEX(FX!$D$3:$O$19,MATCH(B471,FX!$B$3:$B$32,0),MATCH(D471,FX!$D$2:$O$2,0))</f>
        <v>919</v>
      </c>
      <c r="T471" s="360" t="s">
        <v>144</v>
      </c>
      <c r="U471" s="360" t="s">
        <v>32</v>
      </c>
      <c r="V471" s="360" t="s">
        <v>83</v>
      </c>
      <c r="W471" s="364" t="str">
        <f>VLOOKUP(I471,Map!$F$18:$H$51,3,0)</f>
        <v>Variable</v>
      </c>
      <c r="X471" s="370" t="s">
        <v>172</v>
      </c>
      <c r="Y471" s="364" t="str">
        <f>VLOOKUP(L471,Map!$C$18:$D$29,2,0)</f>
        <v>DMT</v>
      </c>
      <c r="Z471" s="365">
        <v>0</v>
      </c>
      <c r="AA471" s="366">
        <f t="shared" si="121"/>
        <v>0</v>
      </c>
      <c r="AB471" s="366">
        <f t="shared" si="122"/>
        <v>0</v>
      </c>
      <c r="AC471" s="386">
        <f t="shared" si="123"/>
        <v>0</v>
      </c>
      <c r="AD471" s="367">
        <f t="shared" si="124"/>
        <v>0</v>
      </c>
      <c r="AE471" s="368">
        <f t="shared" si="125"/>
        <v>0</v>
      </c>
      <c r="AF471" s="385"/>
      <c r="AG471" s="1">
        <f t="shared" si="126"/>
        <v>0</v>
      </c>
    </row>
    <row r="472" spans="2:33" s="37" customFormat="1" hidden="1" x14ac:dyDescent="0.35">
      <c r="B472" s="387">
        <v>2026</v>
      </c>
      <c r="C472" s="389" t="s">
        <v>400</v>
      </c>
      <c r="D472" s="389" t="s">
        <v>87</v>
      </c>
      <c r="E472" s="388" t="s">
        <v>177</v>
      </c>
      <c r="F472" s="388" t="s">
        <v>172</v>
      </c>
      <c r="G472" s="390"/>
      <c r="H472" s="391"/>
      <c r="I472" s="388" t="s">
        <v>175</v>
      </c>
      <c r="J472" s="392" t="str">
        <f>IFERROR(VLOOKUP(I472,Map!$F$18:$G$56,2,0),"Add in Map")</f>
        <v>3P</v>
      </c>
      <c r="K472" s="392" t="str">
        <f>VLOOKUP(L472,Map!$C$18:$D$29,2,0)</f>
        <v>TOTAL</v>
      </c>
      <c r="L472" s="388" t="s">
        <v>56</v>
      </c>
      <c r="M472" s="393">
        <f>SUM(M461:M471)</f>
        <v>0</v>
      </c>
      <c r="N472" s="393">
        <f t="shared" si="116"/>
        <v>0</v>
      </c>
      <c r="O472" s="393">
        <f t="shared" si="117"/>
        <v>0</v>
      </c>
      <c r="P472" s="394">
        <f t="shared" si="118"/>
        <v>0</v>
      </c>
      <c r="Q472" s="394">
        <f t="shared" si="119"/>
        <v>0</v>
      </c>
      <c r="R472" s="395">
        <f t="shared" si="120"/>
        <v>0</v>
      </c>
      <c r="S472" s="396">
        <f>INDEX(FX!$D$3:$O$19,MATCH(B472,FX!$B$3:$B$32,0),MATCH(D472,FX!$D$2:$O$2,0))</f>
        <v>919</v>
      </c>
      <c r="T472" s="388" t="s">
        <v>144</v>
      </c>
      <c r="U472" s="388" t="s">
        <v>32</v>
      </c>
      <c r="V472" s="388" t="s">
        <v>83</v>
      </c>
      <c r="W472" s="392" t="str">
        <f>VLOOKUP(I472,Map!$F$18:$H$51,3,0)</f>
        <v>Variable</v>
      </c>
      <c r="X472" s="397" t="s">
        <v>172</v>
      </c>
      <c r="Y472" s="392" t="str">
        <f>VLOOKUP(L472,Map!$C$18:$D$29,2,0)</f>
        <v>TOTAL</v>
      </c>
      <c r="Z472" s="393">
        <f>SUM(Z461:Z471)</f>
        <v>7249876.2400275199</v>
      </c>
      <c r="AA472" s="393">
        <f t="shared" si="121"/>
        <v>1377476.4856052287</v>
      </c>
      <c r="AB472" s="393">
        <f t="shared" si="122"/>
        <v>8627352.7256327476</v>
      </c>
      <c r="AC472" s="394">
        <f t="shared" si="123"/>
        <v>7888.8751251659633</v>
      </c>
      <c r="AD472" s="394">
        <f t="shared" si="124"/>
        <v>1498.886273781533</v>
      </c>
      <c r="AE472" s="395">
        <f t="shared" si="125"/>
        <v>9387.7613989474958</v>
      </c>
      <c r="AF472" s="398"/>
    </row>
    <row r="473" spans="2:33" s="5" customFormat="1" ht="13" hidden="1" x14ac:dyDescent="0.3">
      <c r="B473" s="400">
        <v>2026</v>
      </c>
      <c r="C473" s="402" t="s">
        <v>402</v>
      </c>
      <c r="D473" s="402" t="s">
        <v>87</v>
      </c>
      <c r="E473" s="401" t="s">
        <v>177</v>
      </c>
      <c r="F473" s="401" t="s">
        <v>172</v>
      </c>
      <c r="G473" s="403"/>
      <c r="H473" s="404"/>
      <c r="I473" s="401" t="s">
        <v>175</v>
      </c>
      <c r="J473" s="405" t="str">
        <f>IFERROR(VLOOKUP(I473,Map!$F$18:$G$56,2,0),"Add in Map")</f>
        <v>3P</v>
      </c>
      <c r="K473" s="405" t="str">
        <f>VLOOKUP(L473,Map!$C$18:$D$29,2,0)</f>
        <v>CNT</v>
      </c>
      <c r="L473" s="401" t="s">
        <v>31</v>
      </c>
      <c r="M473" s="406"/>
      <c r="N473" s="407">
        <f t="shared" si="116"/>
        <v>0</v>
      </c>
      <c r="O473" s="407">
        <f t="shared" si="117"/>
        <v>0</v>
      </c>
      <c r="P473" s="408">
        <f t="shared" si="118"/>
        <v>0</v>
      </c>
      <c r="Q473" s="408">
        <f t="shared" si="119"/>
        <v>0</v>
      </c>
      <c r="R473" s="409">
        <f t="shared" si="120"/>
        <v>0</v>
      </c>
      <c r="S473" s="410">
        <f>INDEX(FX!$D$3:$O$19,MATCH(B473,FX!$B$3:$B$32,0),MATCH(D473,FX!$D$2:$O$2,0))</f>
        <v>919</v>
      </c>
      <c r="T473" s="360" t="s">
        <v>143</v>
      </c>
      <c r="U473" s="360" t="s">
        <v>32</v>
      </c>
      <c r="V473" s="360" t="s">
        <v>83</v>
      </c>
      <c r="W473" s="405" t="str">
        <f>VLOOKUP(I473,Map!$F$18:$H$51,3,0)</f>
        <v>Variable</v>
      </c>
      <c r="X473" s="411" t="s">
        <v>172</v>
      </c>
      <c r="Y473" s="405" t="str">
        <f>VLOOKUP(L473,Map!$C$18:$D$29,2,0)</f>
        <v>CNT</v>
      </c>
      <c r="Z473" s="406">
        <v>1014588.7714043141</v>
      </c>
      <c r="AA473" s="407">
        <f t="shared" si="121"/>
        <v>0</v>
      </c>
      <c r="AB473" s="407">
        <f t="shared" si="122"/>
        <v>1207360.6379711337</v>
      </c>
      <c r="AC473" s="408">
        <f t="shared" si="123"/>
        <v>1104.0138970667183</v>
      </c>
      <c r="AD473" s="408">
        <f t="shared" si="124"/>
        <v>0</v>
      </c>
      <c r="AE473" s="409">
        <f t="shared" si="125"/>
        <v>1313.7765375093948</v>
      </c>
      <c r="AF473" s="412"/>
    </row>
    <row r="474" spans="2:33" s="1" customFormat="1" ht="13" hidden="1" x14ac:dyDescent="0.3">
      <c r="B474" s="383">
        <v>2026</v>
      </c>
      <c r="C474" s="361" t="s">
        <v>402</v>
      </c>
      <c r="D474" s="361" t="s">
        <v>87</v>
      </c>
      <c r="E474" s="360" t="s">
        <v>177</v>
      </c>
      <c r="F474" s="360" t="s">
        <v>172</v>
      </c>
      <c r="G474" s="362"/>
      <c r="H474" s="363"/>
      <c r="I474" s="360" t="s">
        <v>175</v>
      </c>
      <c r="J474" s="364" t="str">
        <f>IFERROR(VLOOKUP(I474,Map!$F$18:$G$56,2,0),"Add in Map")</f>
        <v>3P</v>
      </c>
      <c r="K474" s="364" t="str">
        <f>VLOOKUP(L474,Map!$C$18:$D$29,2,0)</f>
        <v>CVT</v>
      </c>
      <c r="L474" s="360" t="s">
        <v>36</v>
      </c>
      <c r="M474" s="365"/>
      <c r="N474" s="366">
        <f t="shared" si="116"/>
        <v>0</v>
      </c>
      <c r="O474" s="366">
        <f t="shared" si="117"/>
        <v>0</v>
      </c>
      <c r="P474" s="367">
        <f t="shared" si="118"/>
        <v>0</v>
      </c>
      <c r="Q474" s="367">
        <f t="shared" si="119"/>
        <v>0</v>
      </c>
      <c r="R474" s="368">
        <f t="shared" si="120"/>
        <v>0</v>
      </c>
      <c r="S474" s="384">
        <f>INDEX(FX!$D$3:$O$19,MATCH(B474,FX!$B$3:$B$32,0),MATCH(D474,FX!$D$2:$O$2,0))</f>
        <v>919</v>
      </c>
      <c r="T474" s="360" t="s">
        <v>143</v>
      </c>
      <c r="U474" s="360" t="s">
        <v>32</v>
      </c>
      <c r="V474" s="360" t="s">
        <v>83</v>
      </c>
      <c r="W474" s="364" t="str">
        <f>VLOOKUP(I474,Map!$F$18:$H$51,3,0)</f>
        <v>Variable</v>
      </c>
      <c r="X474" s="370" t="s">
        <v>172</v>
      </c>
      <c r="Y474" s="364" t="str">
        <f>VLOOKUP(L474,Map!$C$18:$D$29,2,0)</f>
        <v>CVT</v>
      </c>
      <c r="Z474" s="365">
        <v>0</v>
      </c>
      <c r="AA474" s="366">
        <f t="shared" si="121"/>
        <v>0</v>
      </c>
      <c r="AB474" s="366">
        <f t="shared" si="122"/>
        <v>0</v>
      </c>
      <c r="AC474" s="367">
        <f t="shared" si="123"/>
        <v>0</v>
      </c>
      <c r="AD474" s="367">
        <f t="shared" si="124"/>
        <v>0</v>
      </c>
      <c r="AE474" s="368">
        <f t="shared" si="125"/>
        <v>0</v>
      </c>
      <c r="AF474" s="385"/>
    </row>
    <row r="475" spans="2:33" s="1" customFormat="1" ht="13" hidden="1" x14ac:dyDescent="0.3">
      <c r="B475" s="383">
        <v>2026</v>
      </c>
      <c r="C475" s="361" t="s">
        <v>402</v>
      </c>
      <c r="D475" s="361" t="s">
        <v>87</v>
      </c>
      <c r="E475" s="360" t="s">
        <v>177</v>
      </c>
      <c r="F475" s="360" t="s">
        <v>172</v>
      </c>
      <c r="G475" s="362"/>
      <c r="H475" s="363"/>
      <c r="I475" s="360" t="s">
        <v>175</v>
      </c>
      <c r="J475" s="364" t="str">
        <f>IFERROR(VLOOKUP(I475,Map!$F$18:$G$56,2,0),"Add in Map")</f>
        <v>3P</v>
      </c>
      <c r="K475" s="364" t="str">
        <f>VLOOKUP(L475,Map!$C$18:$D$29,2,0)</f>
        <v>CDT</v>
      </c>
      <c r="L475" s="360" t="s">
        <v>38</v>
      </c>
      <c r="M475" s="365"/>
      <c r="N475" s="366">
        <f t="shared" si="116"/>
        <v>0</v>
      </c>
      <c r="O475" s="366">
        <f t="shared" si="117"/>
        <v>0</v>
      </c>
      <c r="P475" s="367">
        <f t="shared" si="118"/>
        <v>0</v>
      </c>
      <c r="Q475" s="367">
        <f t="shared" si="119"/>
        <v>0</v>
      </c>
      <c r="R475" s="368">
        <f t="shared" si="120"/>
        <v>0</v>
      </c>
      <c r="S475" s="384">
        <f>INDEX(FX!$D$3:$O$19,MATCH(B475,FX!$B$3:$B$32,0),MATCH(D475,FX!$D$2:$O$2,0))</f>
        <v>919</v>
      </c>
      <c r="T475" s="360" t="s">
        <v>143</v>
      </c>
      <c r="U475" s="360" t="s">
        <v>32</v>
      </c>
      <c r="V475" s="360" t="s">
        <v>83</v>
      </c>
      <c r="W475" s="364" t="str">
        <f>VLOOKUP(I475,Map!$F$18:$H$51,3,0)</f>
        <v>Variable</v>
      </c>
      <c r="X475" s="370" t="s">
        <v>172</v>
      </c>
      <c r="Y475" s="364" t="str">
        <f>VLOOKUP(L475,Map!$C$18:$D$29,2,0)</f>
        <v>CDT</v>
      </c>
      <c r="Z475" s="365">
        <v>24634.535865290236</v>
      </c>
      <c r="AA475" s="366">
        <f t="shared" si="121"/>
        <v>0</v>
      </c>
      <c r="AB475" s="366">
        <f t="shared" si="122"/>
        <v>29315.09767969538</v>
      </c>
      <c r="AC475" s="367">
        <f t="shared" si="123"/>
        <v>26.805806164624848</v>
      </c>
      <c r="AD475" s="367">
        <f t="shared" si="124"/>
        <v>0</v>
      </c>
      <c r="AE475" s="368">
        <f t="shared" si="125"/>
        <v>31.898909335903568</v>
      </c>
      <c r="AF475" s="385"/>
    </row>
    <row r="476" spans="2:33" s="1" customFormat="1" ht="13" hidden="1" x14ac:dyDescent="0.3">
      <c r="B476" s="383">
        <v>2026</v>
      </c>
      <c r="C476" s="361" t="s">
        <v>402</v>
      </c>
      <c r="D476" s="361" t="s">
        <v>87</v>
      </c>
      <c r="E476" s="360" t="s">
        <v>177</v>
      </c>
      <c r="F476" s="360" t="s">
        <v>172</v>
      </c>
      <c r="G476" s="362"/>
      <c r="H476" s="363"/>
      <c r="I476" s="360" t="s">
        <v>175</v>
      </c>
      <c r="J476" s="364" t="str">
        <f>IFERROR(VLOOKUP(I476,Map!$F$18:$G$56,2,0),"Add in Map")</f>
        <v>3P</v>
      </c>
      <c r="K476" s="364" t="str">
        <f>VLOOKUP(L476,Map!$C$18:$D$29,2,0)</f>
        <v>DFT</v>
      </c>
      <c r="L476" s="360" t="s">
        <v>40</v>
      </c>
      <c r="M476" s="365"/>
      <c r="N476" s="366">
        <f t="shared" si="116"/>
        <v>0</v>
      </c>
      <c r="O476" s="366">
        <f t="shared" si="117"/>
        <v>0</v>
      </c>
      <c r="P476" s="367">
        <f t="shared" si="118"/>
        <v>0</v>
      </c>
      <c r="Q476" s="367">
        <f t="shared" si="119"/>
        <v>0</v>
      </c>
      <c r="R476" s="368">
        <f t="shared" si="120"/>
        <v>0</v>
      </c>
      <c r="S476" s="384">
        <f>INDEX(FX!$D$3:$O$19,MATCH(B476,FX!$B$3:$B$32,0),MATCH(D476,FX!$D$2:$O$2,0))</f>
        <v>919</v>
      </c>
      <c r="T476" s="360" t="s">
        <v>143</v>
      </c>
      <c r="U476" s="360" t="s">
        <v>32</v>
      </c>
      <c r="V476" s="360" t="s">
        <v>83</v>
      </c>
      <c r="W476" s="364" t="str">
        <f>VLOOKUP(I476,Map!$F$18:$H$51,3,0)</f>
        <v>Variable</v>
      </c>
      <c r="X476" s="370" t="s">
        <v>172</v>
      </c>
      <c r="Y476" s="364" t="str">
        <f>VLOOKUP(L476,Map!$C$18:$D$29,2,0)</f>
        <v>DFT</v>
      </c>
      <c r="Z476" s="365">
        <v>2189628.3285104162</v>
      </c>
      <c r="AA476" s="366">
        <f t="shared" si="121"/>
        <v>0</v>
      </c>
      <c r="AB476" s="366">
        <f t="shared" si="122"/>
        <v>2605657.7109273952</v>
      </c>
      <c r="AC476" s="367">
        <f t="shared" si="123"/>
        <v>2382.6205968557306</v>
      </c>
      <c r="AD476" s="367">
        <f t="shared" si="124"/>
        <v>0</v>
      </c>
      <c r="AE476" s="368">
        <f t="shared" si="125"/>
        <v>2835.3185102583193</v>
      </c>
      <c r="AF476" s="385"/>
    </row>
    <row r="477" spans="2:33" s="1" customFormat="1" ht="13" hidden="1" x14ac:dyDescent="0.3">
      <c r="B477" s="383">
        <v>2026</v>
      </c>
      <c r="C477" s="361" t="s">
        <v>402</v>
      </c>
      <c r="D477" s="361" t="s">
        <v>87</v>
      </c>
      <c r="E477" s="360" t="s">
        <v>177</v>
      </c>
      <c r="F477" s="360" t="s">
        <v>172</v>
      </c>
      <c r="G477" s="362"/>
      <c r="H477" s="363"/>
      <c r="I477" s="360" t="s">
        <v>175</v>
      </c>
      <c r="J477" s="364" t="str">
        <f>IFERROR(VLOOKUP(I477,Map!$F$18:$G$56,2,0),"Add in Map")</f>
        <v>3P</v>
      </c>
      <c r="K477" s="364" t="str">
        <f>VLOOKUP(L477,Map!$C$18:$D$29,2,0)</f>
        <v>DVT</v>
      </c>
      <c r="L477" s="360" t="s">
        <v>42</v>
      </c>
      <c r="M477" s="365"/>
      <c r="N477" s="366">
        <f t="shared" ref="N477:N496" si="127">IF(L477="TOTAL",(M477*0.19),0)</f>
        <v>0</v>
      </c>
      <c r="O477" s="366">
        <f t="shared" ref="O477:O496" si="128">M477*1.19</f>
        <v>0</v>
      </c>
      <c r="P477" s="367">
        <f t="shared" ref="P477:P496" si="129">M477/S477</f>
        <v>0</v>
      </c>
      <c r="Q477" s="367">
        <f t="shared" ref="Q477:Q496" si="130">IF(L477="TOTAL",(P477*0.19),0)</f>
        <v>0</v>
      </c>
      <c r="R477" s="368">
        <f t="shared" ref="R477:R496" si="131">P477*1.19</f>
        <v>0</v>
      </c>
      <c r="S477" s="384">
        <f>INDEX(FX!$D$3:$O$19,MATCH(B477,FX!$B$3:$B$32,0),MATCH(D477,FX!$D$2:$O$2,0))</f>
        <v>919</v>
      </c>
      <c r="T477" s="360" t="s">
        <v>143</v>
      </c>
      <c r="U477" s="360" t="s">
        <v>32</v>
      </c>
      <c r="V477" s="360" t="s">
        <v>83</v>
      </c>
      <c r="W477" s="364" t="str">
        <f>VLOOKUP(I477,Map!$F$18:$H$51,3,0)</f>
        <v>Variable</v>
      </c>
      <c r="X477" s="370" t="s">
        <v>172</v>
      </c>
      <c r="Y477" s="364" t="str">
        <f>VLOOKUP(L477,Map!$C$18:$D$29,2,0)</f>
        <v>DVT</v>
      </c>
      <c r="Z477" s="365">
        <v>0</v>
      </c>
      <c r="AA477" s="366">
        <f t="shared" ref="AA477:AA496" si="132">IF(Y477="TOTAL",(Z477*0.19),0)</f>
        <v>0</v>
      </c>
      <c r="AB477" s="366">
        <f t="shared" ref="AB477:AB496" si="133">Z477*1.19</f>
        <v>0</v>
      </c>
      <c r="AC477" s="367">
        <f t="shared" ref="AC477:AC496" si="134">Z477/S477</f>
        <v>0</v>
      </c>
      <c r="AD477" s="367">
        <f t="shared" ref="AD477:AD496" si="135">IF(Y477="TOTAL",(AC477*0.19),0)</f>
        <v>0</v>
      </c>
      <c r="AE477" s="368">
        <f t="shared" ref="AE477:AE496" si="136">AC477*1.19</f>
        <v>0</v>
      </c>
      <c r="AF477" s="385"/>
    </row>
    <row r="478" spans="2:33" s="1" customFormat="1" ht="13" hidden="1" x14ac:dyDescent="0.3">
      <c r="B478" s="383">
        <v>2026</v>
      </c>
      <c r="C478" s="361" t="s">
        <v>402</v>
      </c>
      <c r="D478" s="361" t="s">
        <v>87</v>
      </c>
      <c r="E478" s="360" t="s">
        <v>177</v>
      </c>
      <c r="F478" s="360" t="s">
        <v>172</v>
      </c>
      <c r="G478" s="362"/>
      <c r="H478" s="363"/>
      <c r="I478" s="360" t="s">
        <v>175</v>
      </c>
      <c r="J478" s="364" t="str">
        <f>IFERROR(VLOOKUP(I478,Map!$F$18:$G$56,2,0),"Add in Map")</f>
        <v>3P</v>
      </c>
      <c r="K478" s="364" t="str">
        <f>VLOOKUP(L478,Map!$C$18:$D$29,2,0)</f>
        <v>GLT</v>
      </c>
      <c r="L478" s="360" t="s">
        <v>44</v>
      </c>
      <c r="M478" s="365"/>
      <c r="N478" s="366">
        <f t="shared" si="127"/>
        <v>0</v>
      </c>
      <c r="O478" s="366">
        <f t="shared" si="128"/>
        <v>0</v>
      </c>
      <c r="P478" s="367">
        <f t="shared" si="129"/>
        <v>0</v>
      </c>
      <c r="Q478" s="367">
        <f t="shared" si="130"/>
        <v>0</v>
      </c>
      <c r="R478" s="368">
        <f t="shared" si="131"/>
        <v>0</v>
      </c>
      <c r="S478" s="384">
        <f>INDEX(FX!$D$3:$O$19,MATCH(B478,FX!$B$3:$B$32,0),MATCH(D478,FX!$D$2:$O$2,0))</f>
        <v>919</v>
      </c>
      <c r="T478" s="360" t="s">
        <v>143</v>
      </c>
      <c r="U478" s="360" t="s">
        <v>32</v>
      </c>
      <c r="V478" s="360" t="s">
        <v>83</v>
      </c>
      <c r="W478" s="364" t="str">
        <f>VLOOKUP(I478,Map!$F$18:$H$51,3,0)</f>
        <v>Variable</v>
      </c>
      <c r="X478" s="370" t="s">
        <v>172</v>
      </c>
      <c r="Y478" s="364" t="str">
        <f>VLOOKUP(L478,Map!$C$18:$D$29,2,0)</f>
        <v>GLT</v>
      </c>
      <c r="Z478" s="365">
        <v>936274.43577771657</v>
      </c>
      <c r="AA478" s="366">
        <f t="shared" si="132"/>
        <v>0</v>
      </c>
      <c r="AB478" s="366">
        <f t="shared" si="133"/>
        <v>1114166.5785754826</v>
      </c>
      <c r="AC478" s="367">
        <f t="shared" si="134"/>
        <v>1018.7969921411496</v>
      </c>
      <c r="AD478" s="367">
        <f t="shared" si="135"/>
        <v>0</v>
      </c>
      <c r="AE478" s="368">
        <f t="shared" si="136"/>
        <v>1212.3684206479679</v>
      </c>
      <c r="AF478" s="385"/>
    </row>
    <row r="479" spans="2:33" s="1" customFormat="1" ht="13" hidden="1" x14ac:dyDescent="0.3">
      <c r="B479" s="383">
        <v>2026</v>
      </c>
      <c r="C479" s="361" t="s">
        <v>402</v>
      </c>
      <c r="D479" s="361" t="s">
        <v>87</v>
      </c>
      <c r="E479" s="360" t="s">
        <v>177</v>
      </c>
      <c r="F479" s="360" t="s">
        <v>172</v>
      </c>
      <c r="G479" s="362"/>
      <c r="H479" s="363"/>
      <c r="I479" s="360" t="s">
        <v>175</v>
      </c>
      <c r="J479" s="364" t="str">
        <f>IFERROR(VLOOKUP(I479,Map!$F$18:$G$56,2,0),"Add in Map")</f>
        <v>3P</v>
      </c>
      <c r="K479" s="364" t="str">
        <f>VLOOKUP(L479,Map!$C$18:$D$29,2,0)</f>
        <v>PNT</v>
      </c>
      <c r="L479" s="360" t="s">
        <v>46</v>
      </c>
      <c r="M479" s="365"/>
      <c r="N479" s="366">
        <f t="shared" si="127"/>
        <v>0</v>
      </c>
      <c r="O479" s="366">
        <f t="shared" si="128"/>
        <v>0</v>
      </c>
      <c r="P479" s="367">
        <f t="shared" si="129"/>
        <v>0</v>
      </c>
      <c r="Q479" s="367">
        <f t="shared" si="130"/>
        <v>0</v>
      </c>
      <c r="R479" s="368">
        <f t="shared" si="131"/>
        <v>0</v>
      </c>
      <c r="S479" s="384">
        <f>INDEX(FX!$D$3:$O$19,MATCH(B479,FX!$B$3:$B$32,0),MATCH(D479,FX!$D$2:$O$2,0))</f>
        <v>919</v>
      </c>
      <c r="T479" s="360" t="s">
        <v>143</v>
      </c>
      <c r="U479" s="360" t="s">
        <v>32</v>
      </c>
      <c r="V479" s="360" t="s">
        <v>83</v>
      </c>
      <c r="W479" s="364" t="str">
        <f>VLOOKUP(I479,Map!$F$18:$H$51,3,0)</f>
        <v>Variable</v>
      </c>
      <c r="X479" s="370" t="s">
        <v>172</v>
      </c>
      <c r="Y479" s="364" t="str">
        <f>VLOOKUP(L479,Map!$C$18:$D$29,2,0)</f>
        <v>PNT</v>
      </c>
      <c r="Z479" s="365">
        <v>53138.132876108801</v>
      </c>
      <c r="AA479" s="366">
        <f t="shared" si="132"/>
        <v>0</v>
      </c>
      <c r="AB479" s="366">
        <f t="shared" si="133"/>
        <v>63234.378122569469</v>
      </c>
      <c r="AC479" s="367">
        <f t="shared" si="134"/>
        <v>57.821689745493799</v>
      </c>
      <c r="AD479" s="367">
        <f t="shared" si="135"/>
        <v>0</v>
      </c>
      <c r="AE479" s="368">
        <f t="shared" si="136"/>
        <v>68.80781079713762</v>
      </c>
      <c r="AF479" s="385"/>
    </row>
    <row r="480" spans="2:33" s="1" customFormat="1" ht="13" hidden="1" x14ac:dyDescent="0.3">
      <c r="B480" s="383">
        <v>2026</v>
      </c>
      <c r="C480" s="361" t="s">
        <v>402</v>
      </c>
      <c r="D480" s="361" t="s">
        <v>87</v>
      </c>
      <c r="E480" s="360" t="s">
        <v>177</v>
      </c>
      <c r="F480" s="360" t="s">
        <v>172</v>
      </c>
      <c r="G480" s="362"/>
      <c r="H480" s="363"/>
      <c r="I480" s="360" t="s">
        <v>175</v>
      </c>
      <c r="J480" s="364" t="str">
        <f>IFERROR(VLOOKUP(I480,Map!$F$18:$G$56,2,0),"Add in Map")</f>
        <v>3P</v>
      </c>
      <c r="K480" s="364" t="str">
        <f>VLOOKUP(L480,Map!$C$18:$D$29,2,0)</f>
        <v>GTT</v>
      </c>
      <c r="L480" s="360" t="s">
        <v>48</v>
      </c>
      <c r="M480" s="365"/>
      <c r="N480" s="366">
        <f t="shared" si="127"/>
        <v>0</v>
      </c>
      <c r="O480" s="366">
        <f t="shared" si="128"/>
        <v>0</v>
      </c>
      <c r="P480" s="367">
        <f t="shared" si="129"/>
        <v>0</v>
      </c>
      <c r="Q480" s="367">
        <f t="shared" si="130"/>
        <v>0</v>
      </c>
      <c r="R480" s="368">
        <f t="shared" si="131"/>
        <v>0</v>
      </c>
      <c r="S480" s="384">
        <f>INDEX(FX!$D$3:$O$19,MATCH(B480,FX!$B$3:$B$32,0),MATCH(D480,FX!$D$2:$O$2,0))</f>
        <v>919</v>
      </c>
      <c r="T480" s="360" t="s">
        <v>143</v>
      </c>
      <c r="U480" s="360" t="s">
        <v>32</v>
      </c>
      <c r="V480" s="360" t="s">
        <v>83</v>
      </c>
      <c r="W480" s="364" t="str">
        <f>VLOOKUP(I480,Map!$F$18:$H$51,3,0)</f>
        <v>Variable</v>
      </c>
      <c r="X480" s="370" t="s">
        <v>172</v>
      </c>
      <c r="Y480" s="364" t="str">
        <f>VLOOKUP(L480,Map!$C$18:$D$29,2,0)</f>
        <v>GTT</v>
      </c>
      <c r="Z480" s="365">
        <v>72846.783423296729</v>
      </c>
      <c r="AA480" s="366">
        <f t="shared" si="132"/>
        <v>0</v>
      </c>
      <c r="AB480" s="366">
        <f t="shared" si="133"/>
        <v>86687.672273723103</v>
      </c>
      <c r="AC480" s="367">
        <f t="shared" si="134"/>
        <v>79.267446597711341</v>
      </c>
      <c r="AD480" s="367">
        <f t="shared" si="135"/>
        <v>0</v>
      </c>
      <c r="AE480" s="368">
        <f t="shared" si="136"/>
        <v>94.328261451276489</v>
      </c>
      <c r="AF480" s="385"/>
    </row>
    <row r="481" spans="2:32" s="1" customFormat="1" ht="13" hidden="1" x14ac:dyDescent="0.3">
      <c r="B481" s="383">
        <v>2026</v>
      </c>
      <c r="C481" s="361" t="s">
        <v>402</v>
      </c>
      <c r="D481" s="361" t="s">
        <v>87</v>
      </c>
      <c r="E481" s="360" t="s">
        <v>177</v>
      </c>
      <c r="F481" s="360" t="s">
        <v>172</v>
      </c>
      <c r="G481" s="362"/>
      <c r="H481" s="363"/>
      <c r="I481" s="360" t="s">
        <v>175</v>
      </c>
      <c r="J481" s="364" t="str">
        <f>IFERROR(VLOOKUP(I481,Map!$F$18:$G$56,2,0),"Add in Map")</f>
        <v>3P</v>
      </c>
      <c r="K481" s="364" t="str">
        <f>VLOOKUP(L481,Map!$C$18:$D$29,2,0)</f>
        <v>DGT</v>
      </c>
      <c r="L481" s="360" t="s">
        <v>50</v>
      </c>
      <c r="M481" s="365"/>
      <c r="N481" s="366">
        <f t="shared" si="127"/>
        <v>0</v>
      </c>
      <c r="O481" s="366">
        <f t="shared" si="128"/>
        <v>0</v>
      </c>
      <c r="P481" s="367">
        <f t="shared" si="129"/>
        <v>0</v>
      </c>
      <c r="Q481" s="367">
        <f t="shared" si="130"/>
        <v>0</v>
      </c>
      <c r="R481" s="368">
        <f t="shared" si="131"/>
        <v>0</v>
      </c>
      <c r="S481" s="384">
        <f>INDEX(FX!$D$3:$O$19,MATCH(B481,FX!$B$3:$B$32,0),MATCH(D481,FX!$D$2:$O$2,0))</f>
        <v>919</v>
      </c>
      <c r="T481" s="360" t="s">
        <v>143</v>
      </c>
      <c r="U481" s="360" t="s">
        <v>32</v>
      </c>
      <c r="V481" s="360" t="s">
        <v>83</v>
      </c>
      <c r="W481" s="364" t="str">
        <f>VLOOKUP(I481,Map!$F$18:$H$51,3,0)</f>
        <v>Variable</v>
      </c>
      <c r="X481" s="370" t="s">
        <v>172</v>
      </c>
      <c r="Y481" s="364" t="str">
        <f>VLOOKUP(L481,Map!$C$18:$D$29,2,0)</f>
        <v>DGT</v>
      </c>
      <c r="Z481" s="365">
        <v>0</v>
      </c>
      <c r="AA481" s="366">
        <f t="shared" si="132"/>
        <v>0</v>
      </c>
      <c r="AB481" s="366">
        <f t="shared" si="133"/>
        <v>0</v>
      </c>
      <c r="AC481" s="367">
        <f t="shared" si="134"/>
        <v>0</v>
      </c>
      <c r="AD481" s="367">
        <f t="shared" si="135"/>
        <v>0</v>
      </c>
      <c r="AE481" s="368">
        <f t="shared" si="136"/>
        <v>0</v>
      </c>
      <c r="AF481" s="385"/>
    </row>
    <row r="482" spans="2:32" s="1" customFormat="1" ht="13" hidden="1" x14ac:dyDescent="0.3">
      <c r="B482" s="383">
        <v>2026</v>
      </c>
      <c r="C482" s="361" t="s">
        <v>402</v>
      </c>
      <c r="D482" s="361" t="s">
        <v>87</v>
      </c>
      <c r="E482" s="360" t="s">
        <v>177</v>
      </c>
      <c r="F482" s="360" t="s">
        <v>172</v>
      </c>
      <c r="G482" s="362"/>
      <c r="H482" s="363"/>
      <c r="I482" s="360" t="s">
        <v>175</v>
      </c>
      <c r="J482" s="364" t="str">
        <f>IFERROR(VLOOKUP(I482,Map!$F$18:$G$56,2,0),"Add in Map")</f>
        <v>3P</v>
      </c>
      <c r="K482" s="364" t="str">
        <f>VLOOKUP(L482,Map!$C$18:$D$29,2,0)</f>
        <v>DLT</v>
      </c>
      <c r="L482" s="360" t="s">
        <v>52</v>
      </c>
      <c r="M482" s="365"/>
      <c r="N482" s="366">
        <f t="shared" si="127"/>
        <v>0</v>
      </c>
      <c r="O482" s="366">
        <f t="shared" si="128"/>
        <v>0</v>
      </c>
      <c r="P482" s="367">
        <f t="shared" si="129"/>
        <v>0</v>
      </c>
      <c r="Q482" s="367">
        <f t="shared" si="130"/>
        <v>0</v>
      </c>
      <c r="R482" s="368">
        <f t="shared" si="131"/>
        <v>0</v>
      </c>
      <c r="S482" s="384">
        <f>INDEX(FX!$D$3:$O$19,MATCH(B482,FX!$B$3:$B$32,0),MATCH(D482,FX!$D$2:$O$2,0))</f>
        <v>919</v>
      </c>
      <c r="T482" s="360" t="s">
        <v>143</v>
      </c>
      <c r="U482" s="360" t="s">
        <v>32</v>
      </c>
      <c r="V482" s="360" t="s">
        <v>83</v>
      </c>
      <c r="W482" s="364" t="str">
        <f>VLOOKUP(I482,Map!$F$18:$H$51,3,0)</f>
        <v>Variable</v>
      </c>
      <c r="X482" s="370" t="s">
        <v>172</v>
      </c>
      <c r="Y482" s="364" t="str">
        <f>VLOOKUP(L482,Map!$C$18:$D$29,2,0)</f>
        <v>DLT</v>
      </c>
      <c r="Z482" s="365">
        <v>0</v>
      </c>
      <c r="AA482" s="366">
        <f t="shared" si="132"/>
        <v>0</v>
      </c>
      <c r="AB482" s="366">
        <f t="shared" si="133"/>
        <v>0</v>
      </c>
      <c r="AC482" s="367">
        <f t="shared" si="134"/>
        <v>0</v>
      </c>
      <c r="AD482" s="367">
        <f t="shared" si="135"/>
        <v>0</v>
      </c>
      <c r="AE482" s="368">
        <f t="shared" si="136"/>
        <v>0</v>
      </c>
      <c r="AF482" s="385"/>
    </row>
    <row r="483" spans="2:32" s="1" customFormat="1" ht="13" hidden="1" x14ac:dyDescent="0.3">
      <c r="B483" s="383">
        <v>2026</v>
      </c>
      <c r="C483" s="361" t="s">
        <v>402</v>
      </c>
      <c r="D483" s="361" t="s">
        <v>87</v>
      </c>
      <c r="E483" s="360" t="s">
        <v>177</v>
      </c>
      <c r="F483" s="360" t="s">
        <v>172</v>
      </c>
      <c r="G483" s="362"/>
      <c r="H483" s="363"/>
      <c r="I483" s="360" t="s">
        <v>175</v>
      </c>
      <c r="J483" s="364" t="str">
        <f>IFERROR(VLOOKUP(I483,Map!$F$18:$G$56,2,0),"Add in Map")</f>
        <v>3P</v>
      </c>
      <c r="K483" s="364" t="str">
        <f>VLOOKUP(L483,Map!$C$18:$D$29,2,0)</f>
        <v>DMT</v>
      </c>
      <c r="L483" s="360" t="s">
        <v>54</v>
      </c>
      <c r="M483" s="365"/>
      <c r="N483" s="366">
        <f t="shared" si="127"/>
        <v>0</v>
      </c>
      <c r="O483" s="366">
        <f t="shared" si="128"/>
        <v>0</v>
      </c>
      <c r="P483" s="386">
        <f t="shared" si="129"/>
        <v>0</v>
      </c>
      <c r="Q483" s="367">
        <f t="shared" si="130"/>
        <v>0</v>
      </c>
      <c r="R483" s="368">
        <f t="shared" si="131"/>
        <v>0</v>
      </c>
      <c r="S483" s="384">
        <f>INDEX(FX!$D$3:$O$19,MATCH(B483,FX!$B$3:$B$32,0),MATCH(D483,FX!$D$2:$O$2,0))</f>
        <v>919</v>
      </c>
      <c r="T483" s="360" t="s">
        <v>143</v>
      </c>
      <c r="U483" s="360" t="s">
        <v>32</v>
      </c>
      <c r="V483" s="360" t="s">
        <v>83</v>
      </c>
      <c r="W483" s="364" t="str">
        <f>VLOOKUP(I483,Map!$F$18:$H$51,3,0)</f>
        <v>Variable</v>
      </c>
      <c r="X483" s="370" t="s">
        <v>172</v>
      </c>
      <c r="Y483" s="364" t="str">
        <f>VLOOKUP(L483,Map!$C$18:$D$29,2,0)</f>
        <v>DMT</v>
      </c>
      <c r="Z483" s="365">
        <v>0</v>
      </c>
      <c r="AA483" s="366">
        <f t="shared" si="132"/>
        <v>0</v>
      </c>
      <c r="AB483" s="366">
        <f t="shared" si="133"/>
        <v>0</v>
      </c>
      <c r="AC483" s="386">
        <f t="shared" si="134"/>
        <v>0</v>
      </c>
      <c r="AD483" s="367">
        <f t="shared" si="135"/>
        <v>0</v>
      </c>
      <c r="AE483" s="368">
        <f t="shared" si="136"/>
        <v>0</v>
      </c>
      <c r="AF483" s="385"/>
    </row>
    <row r="484" spans="2:32" s="37" customFormat="1" hidden="1" x14ac:dyDescent="0.35">
      <c r="B484" s="387">
        <v>2026</v>
      </c>
      <c r="C484" s="389" t="s">
        <v>402</v>
      </c>
      <c r="D484" s="389" t="s">
        <v>87</v>
      </c>
      <c r="E484" s="388" t="s">
        <v>177</v>
      </c>
      <c r="F484" s="388" t="s">
        <v>172</v>
      </c>
      <c r="G484" s="390"/>
      <c r="H484" s="391"/>
      <c r="I484" s="388" t="s">
        <v>175</v>
      </c>
      <c r="J484" s="392" t="str">
        <f>IFERROR(VLOOKUP(I484,Map!$F$18:$G$56,2,0),"Add in Map")</f>
        <v>3P</v>
      </c>
      <c r="K484" s="392" t="str">
        <f>VLOOKUP(L484,Map!$C$18:$D$29,2,0)</f>
        <v>TOTAL</v>
      </c>
      <c r="L484" s="388" t="s">
        <v>56</v>
      </c>
      <c r="M484" s="393">
        <f>SUM(M473:M483)</f>
        <v>0</v>
      </c>
      <c r="N484" s="393">
        <f t="shared" si="127"/>
        <v>0</v>
      </c>
      <c r="O484" s="393">
        <f t="shared" si="128"/>
        <v>0</v>
      </c>
      <c r="P484" s="394">
        <f t="shared" si="129"/>
        <v>0</v>
      </c>
      <c r="Q484" s="394">
        <f t="shared" si="130"/>
        <v>0</v>
      </c>
      <c r="R484" s="395">
        <f t="shared" si="131"/>
        <v>0</v>
      </c>
      <c r="S484" s="396">
        <f>INDEX(FX!$D$3:$O$19,MATCH(B484,FX!$B$3:$B$32,0),MATCH(D484,FX!$D$2:$O$2,0))</f>
        <v>919</v>
      </c>
      <c r="T484" s="388" t="s">
        <v>143</v>
      </c>
      <c r="U484" s="388" t="s">
        <v>32</v>
      </c>
      <c r="V484" s="388" t="s">
        <v>83</v>
      </c>
      <c r="W484" s="392" t="str">
        <f>VLOOKUP(I484,Map!$F$18:$H$51,3,0)</f>
        <v>Variable</v>
      </c>
      <c r="X484" s="397" t="s">
        <v>172</v>
      </c>
      <c r="Y484" s="392" t="str">
        <f>VLOOKUP(L484,Map!$C$18:$D$29,2,0)</f>
        <v>TOTAL</v>
      </c>
      <c r="Z484" s="393">
        <f>SUM(Z473:Z483)</f>
        <v>4291110.9878571425</v>
      </c>
      <c r="AA484" s="393">
        <f t="shared" si="132"/>
        <v>815311.08769285702</v>
      </c>
      <c r="AB484" s="393">
        <f t="shared" si="133"/>
        <v>5106422.0755499993</v>
      </c>
      <c r="AC484" s="394">
        <f t="shared" si="134"/>
        <v>4669.3264285714286</v>
      </c>
      <c r="AD484" s="394">
        <f t="shared" si="135"/>
        <v>887.17202142857138</v>
      </c>
      <c r="AE484" s="395">
        <f t="shared" si="136"/>
        <v>5556.49845</v>
      </c>
      <c r="AF484" s="398"/>
    </row>
    <row r="485" spans="2:32" s="5" customFormat="1" ht="13" hidden="1" x14ac:dyDescent="0.3">
      <c r="B485" s="400">
        <v>2026</v>
      </c>
      <c r="C485" s="402" t="s">
        <v>401</v>
      </c>
      <c r="D485" s="402" t="s">
        <v>87</v>
      </c>
      <c r="E485" s="401" t="s">
        <v>177</v>
      </c>
      <c r="F485" s="401" t="s">
        <v>172</v>
      </c>
      <c r="G485" s="403"/>
      <c r="H485" s="404"/>
      <c r="I485" s="401" t="s">
        <v>146</v>
      </c>
      <c r="J485" s="405" t="str">
        <f>IFERROR(VLOOKUP(I485,Map!$F$18:$G$56,2,0),"Add in Map")</f>
        <v>OBS</v>
      </c>
      <c r="K485" s="405" t="str">
        <f>VLOOKUP(L485,Map!$C$18:$D$29,2,0)</f>
        <v>CNT</v>
      </c>
      <c r="L485" s="401" t="s">
        <v>31</v>
      </c>
      <c r="M485" s="406"/>
      <c r="N485" s="407">
        <f t="shared" si="127"/>
        <v>0</v>
      </c>
      <c r="O485" s="407">
        <f t="shared" si="128"/>
        <v>0</v>
      </c>
      <c r="P485" s="408">
        <f t="shared" si="129"/>
        <v>0</v>
      </c>
      <c r="Q485" s="408">
        <f t="shared" si="130"/>
        <v>0</v>
      </c>
      <c r="R485" s="409">
        <f t="shared" si="131"/>
        <v>0</v>
      </c>
      <c r="S485" s="410">
        <f>INDEX(FX!$D$3:$O$19,MATCH(B485,FX!$B$3:$B$32,0),MATCH(D485,FX!$D$2:$O$2,0))</f>
        <v>919</v>
      </c>
      <c r="T485" s="401" t="s">
        <v>81</v>
      </c>
      <c r="U485" s="401" t="s">
        <v>32</v>
      </c>
      <c r="V485" s="401" t="s">
        <v>83</v>
      </c>
      <c r="W485" s="405" t="str">
        <f>VLOOKUP(I485,Map!$F$18:$H$51,3,0)</f>
        <v>Variable</v>
      </c>
      <c r="X485" s="411" t="s">
        <v>172</v>
      </c>
      <c r="Y485" s="405" t="str">
        <f>VLOOKUP(L485,Map!$C$18:$D$29,2,0)</f>
        <v>CNT</v>
      </c>
      <c r="Z485" s="406">
        <v>1510079.1350874617</v>
      </c>
      <c r="AA485" s="407">
        <f t="shared" si="132"/>
        <v>0</v>
      </c>
      <c r="AB485" s="407">
        <f t="shared" si="133"/>
        <v>1796994.1707540792</v>
      </c>
      <c r="AC485" s="408">
        <f t="shared" si="134"/>
        <v>1643.1764255576297</v>
      </c>
      <c r="AD485" s="408">
        <f t="shared" si="135"/>
        <v>0</v>
      </c>
      <c r="AE485" s="409">
        <f t="shared" si="136"/>
        <v>1955.3799464135793</v>
      </c>
      <c r="AF485" s="412"/>
    </row>
    <row r="486" spans="2:32" s="1" customFormat="1" ht="13" hidden="1" x14ac:dyDescent="0.3">
      <c r="B486" s="383">
        <v>2026</v>
      </c>
      <c r="C486" s="361" t="s">
        <v>401</v>
      </c>
      <c r="D486" s="361" t="s">
        <v>87</v>
      </c>
      <c r="E486" s="360" t="s">
        <v>177</v>
      </c>
      <c r="F486" s="360" t="s">
        <v>172</v>
      </c>
      <c r="G486" s="362"/>
      <c r="H486" s="363"/>
      <c r="I486" s="360" t="s">
        <v>146</v>
      </c>
      <c r="J486" s="364" t="str">
        <f>IFERROR(VLOOKUP(I486,Map!$F$18:$G$56,2,0),"Add in Map")</f>
        <v>OBS</v>
      </c>
      <c r="K486" s="364" t="str">
        <f>VLOOKUP(L486,Map!$C$18:$D$29,2,0)</f>
        <v>CVT</v>
      </c>
      <c r="L486" s="360" t="s">
        <v>36</v>
      </c>
      <c r="M486" s="365"/>
      <c r="N486" s="366">
        <f t="shared" si="127"/>
        <v>0</v>
      </c>
      <c r="O486" s="366">
        <f t="shared" si="128"/>
        <v>0</v>
      </c>
      <c r="P486" s="367">
        <f t="shared" si="129"/>
        <v>0</v>
      </c>
      <c r="Q486" s="367">
        <f t="shared" si="130"/>
        <v>0</v>
      </c>
      <c r="R486" s="368">
        <f t="shared" si="131"/>
        <v>0</v>
      </c>
      <c r="S486" s="384">
        <f>INDEX(FX!$D$3:$O$19,MATCH(B486,FX!$B$3:$B$32,0),MATCH(D486,FX!$D$2:$O$2,0))</f>
        <v>919</v>
      </c>
      <c r="T486" s="360" t="s">
        <v>81</v>
      </c>
      <c r="U486" s="360" t="s">
        <v>32</v>
      </c>
      <c r="V486" s="360" t="s">
        <v>83</v>
      </c>
      <c r="W486" s="364" t="str">
        <f>VLOOKUP(I486,Map!$F$18:$H$51,3,0)</f>
        <v>Variable</v>
      </c>
      <c r="X486" s="370" t="s">
        <v>172</v>
      </c>
      <c r="Y486" s="364" t="str">
        <f>VLOOKUP(L486,Map!$C$18:$D$29,2,0)</f>
        <v>CVT</v>
      </c>
      <c r="Z486" s="365">
        <v>550.1088821580156</v>
      </c>
      <c r="AA486" s="366">
        <f t="shared" si="132"/>
        <v>0</v>
      </c>
      <c r="AB486" s="366">
        <f t="shared" si="133"/>
        <v>654.62956976803855</v>
      </c>
      <c r="AC486" s="367">
        <f t="shared" si="134"/>
        <v>0.59859508395866767</v>
      </c>
      <c r="AD486" s="367">
        <f t="shared" si="135"/>
        <v>0</v>
      </c>
      <c r="AE486" s="368">
        <f t="shared" si="136"/>
        <v>0.7123281499108145</v>
      </c>
      <c r="AF486" s="385"/>
    </row>
    <row r="487" spans="2:32" s="1" customFormat="1" ht="13" hidden="1" x14ac:dyDescent="0.3">
      <c r="B487" s="383">
        <v>2026</v>
      </c>
      <c r="C487" s="361" t="s">
        <v>401</v>
      </c>
      <c r="D487" s="361" t="s">
        <v>87</v>
      </c>
      <c r="E487" s="360" t="s">
        <v>177</v>
      </c>
      <c r="F487" s="360" t="s">
        <v>172</v>
      </c>
      <c r="G487" s="362"/>
      <c r="H487" s="363"/>
      <c r="I487" s="360" t="s">
        <v>146</v>
      </c>
      <c r="J487" s="364" t="str">
        <f>IFERROR(VLOOKUP(I487,Map!$F$18:$G$56,2,0),"Add in Map")</f>
        <v>OBS</v>
      </c>
      <c r="K487" s="364" t="str">
        <f>VLOOKUP(L487,Map!$C$18:$D$29,2,0)</f>
        <v>CDT</v>
      </c>
      <c r="L487" s="360" t="s">
        <v>38</v>
      </c>
      <c r="M487" s="365"/>
      <c r="N487" s="366">
        <f t="shared" si="127"/>
        <v>0</v>
      </c>
      <c r="O487" s="366">
        <f t="shared" si="128"/>
        <v>0</v>
      </c>
      <c r="P487" s="367">
        <f t="shared" si="129"/>
        <v>0</v>
      </c>
      <c r="Q487" s="367">
        <f t="shared" si="130"/>
        <v>0</v>
      </c>
      <c r="R487" s="368">
        <f t="shared" si="131"/>
        <v>0</v>
      </c>
      <c r="S487" s="384">
        <f>INDEX(FX!$D$3:$O$19,MATCH(B487,FX!$B$3:$B$32,0),MATCH(D487,FX!$D$2:$O$2,0))</f>
        <v>919</v>
      </c>
      <c r="T487" s="360" t="s">
        <v>81</v>
      </c>
      <c r="U487" s="360" t="s">
        <v>32</v>
      </c>
      <c r="V487" s="360" t="s">
        <v>83</v>
      </c>
      <c r="W487" s="364" t="str">
        <f>VLOOKUP(I487,Map!$F$18:$H$51,3,0)</f>
        <v>Variable</v>
      </c>
      <c r="X487" s="370" t="s">
        <v>172</v>
      </c>
      <c r="Y487" s="364" t="str">
        <f>VLOOKUP(L487,Map!$C$18:$D$29,2,0)</f>
        <v>CDT</v>
      </c>
      <c r="Z487" s="365">
        <v>64239.558792798023</v>
      </c>
      <c r="AA487" s="366">
        <f t="shared" si="132"/>
        <v>0</v>
      </c>
      <c r="AB487" s="366">
        <f t="shared" si="133"/>
        <v>76445.074963429637</v>
      </c>
      <c r="AC487" s="367">
        <f t="shared" si="134"/>
        <v>69.901587369747574</v>
      </c>
      <c r="AD487" s="367">
        <f t="shared" si="135"/>
        <v>0</v>
      </c>
      <c r="AE487" s="368">
        <f t="shared" si="136"/>
        <v>83.18288896999961</v>
      </c>
      <c r="AF487" s="385"/>
    </row>
    <row r="488" spans="2:32" s="1" customFormat="1" ht="13" hidden="1" x14ac:dyDescent="0.3">
      <c r="B488" s="383">
        <v>2026</v>
      </c>
      <c r="C488" s="361" t="s">
        <v>401</v>
      </c>
      <c r="D488" s="361" t="s">
        <v>87</v>
      </c>
      <c r="E488" s="360" t="s">
        <v>177</v>
      </c>
      <c r="F488" s="360" t="s">
        <v>172</v>
      </c>
      <c r="G488" s="362"/>
      <c r="H488" s="363"/>
      <c r="I488" s="360" t="s">
        <v>146</v>
      </c>
      <c r="J488" s="364" t="str">
        <f>IFERROR(VLOOKUP(I488,Map!$F$18:$G$56,2,0),"Add in Map")</f>
        <v>OBS</v>
      </c>
      <c r="K488" s="364" t="str">
        <f>VLOOKUP(L488,Map!$C$18:$D$29,2,0)</f>
        <v>DFT</v>
      </c>
      <c r="L488" s="360" t="s">
        <v>40</v>
      </c>
      <c r="M488" s="365"/>
      <c r="N488" s="366">
        <f t="shared" si="127"/>
        <v>0</v>
      </c>
      <c r="O488" s="366">
        <f t="shared" si="128"/>
        <v>0</v>
      </c>
      <c r="P488" s="367">
        <f t="shared" si="129"/>
        <v>0</v>
      </c>
      <c r="Q488" s="367">
        <f t="shared" si="130"/>
        <v>0</v>
      </c>
      <c r="R488" s="368">
        <f t="shared" si="131"/>
        <v>0</v>
      </c>
      <c r="S488" s="384">
        <f>INDEX(FX!$D$3:$O$19,MATCH(B488,FX!$B$3:$B$32,0),MATCH(D488,FX!$D$2:$O$2,0))</f>
        <v>919</v>
      </c>
      <c r="T488" s="360" t="s">
        <v>81</v>
      </c>
      <c r="U488" s="360" t="s">
        <v>32</v>
      </c>
      <c r="V488" s="360" t="s">
        <v>83</v>
      </c>
      <c r="W488" s="364" t="str">
        <f>VLOOKUP(I488,Map!$F$18:$H$51,3,0)</f>
        <v>Variable</v>
      </c>
      <c r="X488" s="370" t="s">
        <v>172</v>
      </c>
      <c r="Y488" s="364" t="str">
        <f>VLOOKUP(L488,Map!$C$18:$D$29,2,0)</f>
        <v>DFT</v>
      </c>
      <c r="Z488" s="365">
        <v>3155727.835386992</v>
      </c>
      <c r="AA488" s="366">
        <f t="shared" si="132"/>
        <v>0</v>
      </c>
      <c r="AB488" s="366">
        <f t="shared" si="133"/>
        <v>3755316.1241105204</v>
      </c>
      <c r="AC488" s="367">
        <f t="shared" si="134"/>
        <v>3433.8714204428638</v>
      </c>
      <c r="AD488" s="367">
        <f t="shared" si="135"/>
        <v>0</v>
      </c>
      <c r="AE488" s="368">
        <f t="shared" si="136"/>
        <v>4086.306990327008</v>
      </c>
      <c r="AF488" s="385"/>
    </row>
    <row r="489" spans="2:32" s="1" customFormat="1" ht="13" hidden="1" x14ac:dyDescent="0.3">
      <c r="B489" s="383">
        <v>2026</v>
      </c>
      <c r="C489" s="361" t="s">
        <v>401</v>
      </c>
      <c r="D489" s="361" t="s">
        <v>87</v>
      </c>
      <c r="E489" s="360" t="s">
        <v>177</v>
      </c>
      <c r="F489" s="360" t="s">
        <v>172</v>
      </c>
      <c r="G489" s="362"/>
      <c r="H489" s="363"/>
      <c r="I489" s="360" t="s">
        <v>146</v>
      </c>
      <c r="J489" s="364" t="str">
        <f>IFERROR(VLOOKUP(I489,Map!$F$18:$G$56,2,0),"Add in Map")</f>
        <v>OBS</v>
      </c>
      <c r="K489" s="364" t="str">
        <f>VLOOKUP(L489,Map!$C$18:$D$29,2,0)</f>
        <v>DVT</v>
      </c>
      <c r="L489" s="360" t="s">
        <v>42</v>
      </c>
      <c r="M489" s="365"/>
      <c r="N489" s="366">
        <f t="shared" si="127"/>
        <v>0</v>
      </c>
      <c r="O489" s="366">
        <f t="shared" si="128"/>
        <v>0</v>
      </c>
      <c r="P489" s="367">
        <f t="shared" si="129"/>
        <v>0</v>
      </c>
      <c r="Q489" s="367">
        <f t="shared" si="130"/>
        <v>0</v>
      </c>
      <c r="R489" s="368">
        <f t="shared" si="131"/>
        <v>0</v>
      </c>
      <c r="S489" s="384">
        <f>INDEX(FX!$D$3:$O$19,MATCH(B489,FX!$B$3:$B$32,0),MATCH(D489,FX!$D$2:$O$2,0))</f>
        <v>919</v>
      </c>
      <c r="T489" s="360" t="s">
        <v>81</v>
      </c>
      <c r="U489" s="360" t="s">
        <v>32</v>
      </c>
      <c r="V489" s="360" t="s">
        <v>83</v>
      </c>
      <c r="W489" s="364" t="str">
        <f>VLOOKUP(I489,Map!$F$18:$H$51,3,0)</f>
        <v>Variable</v>
      </c>
      <c r="X489" s="370" t="s">
        <v>172</v>
      </c>
      <c r="Y489" s="364" t="str">
        <f>VLOOKUP(L489,Map!$C$18:$D$29,2,0)</f>
        <v>DVT</v>
      </c>
      <c r="Z489" s="365">
        <v>0</v>
      </c>
      <c r="AA489" s="366">
        <f t="shared" si="132"/>
        <v>0</v>
      </c>
      <c r="AB489" s="366">
        <f t="shared" si="133"/>
        <v>0</v>
      </c>
      <c r="AC489" s="367">
        <f t="shared" si="134"/>
        <v>0</v>
      </c>
      <c r="AD489" s="367">
        <f t="shared" si="135"/>
        <v>0</v>
      </c>
      <c r="AE489" s="368">
        <f t="shared" si="136"/>
        <v>0</v>
      </c>
      <c r="AF489" s="385"/>
    </row>
    <row r="490" spans="2:32" s="1" customFormat="1" ht="13" hidden="1" x14ac:dyDescent="0.3">
      <c r="B490" s="383">
        <v>2026</v>
      </c>
      <c r="C490" s="361" t="s">
        <v>401</v>
      </c>
      <c r="D490" s="361" t="s">
        <v>87</v>
      </c>
      <c r="E490" s="360" t="s">
        <v>177</v>
      </c>
      <c r="F490" s="360" t="s">
        <v>172</v>
      </c>
      <c r="G490" s="362"/>
      <c r="H490" s="363"/>
      <c r="I490" s="360" t="s">
        <v>146</v>
      </c>
      <c r="J490" s="364" t="str">
        <f>IFERROR(VLOOKUP(I490,Map!$F$18:$G$56,2,0),"Add in Map")</f>
        <v>OBS</v>
      </c>
      <c r="K490" s="364" t="str">
        <f>VLOOKUP(L490,Map!$C$18:$D$29,2,0)</f>
        <v>GLT</v>
      </c>
      <c r="L490" s="360" t="s">
        <v>44</v>
      </c>
      <c r="M490" s="365"/>
      <c r="N490" s="366">
        <f t="shared" si="127"/>
        <v>0</v>
      </c>
      <c r="O490" s="366">
        <f t="shared" si="128"/>
        <v>0</v>
      </c>
      <c r="P490" s="367">
        <f t="shared" si="129"/>
        <v>0</v>
      </c>
      <c r="Q490" s="367">
        <f t="shared" si="130"/>
        <v>0</v>
      </c>
      <c r="R490" s="368">
        <f t="shared" si="131"/>
        <v>0</v>
      </c>
      <c r="S490" s="384">
        <f>INDEX(FX!$D$3:$O$19,MATCH(B490,FX!$B$3:$B$32,0),MATCH(D490,FX!$D$2:$O$2,0))</f>
        <v>919</v>
      </c>
      <c r="T490" s="360" t="s">
        <v>81</v>
      </c>
      <c r="U490" s="360" t="s">
        <v>32</v>
      </c>
      <c r="V490" s="360" t="s">
        <v>83</v>
      </c>
      <c r="W490" s="364" t="str">
        <f>VLOOKUP(I490,Map!$F$18:$H$51,3,0)</f>
        <v>Variable</v>
      </c>
      <c r="X490" s="370" t="s">
        <v>172</v>
      </c>
      <c r="Y490" s="364" t="str">
        <f>VLOOKUP(L490,Map!$C$18:$D$29,2,0)</f>
        <v>GLT</v>
      </c>
      <c r="Z490" s="365">
        <v>2000869.7102041999</v>
      </c>
      <c r="AA490" s="366">
        <f t="shared" si="132"/>
        <v>0</v>
      </c>
      <c r="AB490" s="366">
        <f t="shared" si="133"/>
        <v>2381034.9551429977</v>
      </c>
      <c r="AC490" s="367">
        <f t="shared" si="134"/>
        <v>2177.2249294931448</v>
      </c>
      <c r="AD490" s="367">
        <f t="shared" si="135"/>
        <v>0</v>
      </c>
      <c r="AE490" s="368">
        <f t="shared" si="136"/>
        <v>2590.8976660968424</v>
      </c>
      <c r="AF490" s="385"/>
    </row>
    <row r="491" spans="2:32" s="1" customFormat="1" ht="13" hidden="1" x14ac:dyDescent="0.3">
      <c r="B491" s="383">
        <v>2026</v>
      </c>
      <c r="C491" s="361" t="s">
        <v>401</v>
      </c>
      <c r="D491" s="361" t="s">
        <v>87</v>
      </c>
      <c r="E491" s="360" t="s">
        <v>177</v>
      </c>
      <c r="F491" s="360" t="s">
        <v>172</v>
      </c>
      <c r="G491" s="362"/>
      <c r="H491" s="363"/>
      <c r="I491" s="360" t="s">
        <v>146</v>
      </c>
      <c r="J491" s="364" t="str">
        <f>IFERROR(VLOOKUP(I491,Map!$F$18:$G$56,2,0),"Add in Map")</f>
        <v>OBS</v>
      </c>
      <c r="K491" s="364" t="str">
        <f>VLOOKUP(L491,Map!$C$18:$D$29,2,0)</f>
        <v>PNT</v>
      </c>
      <c r="L491" s="360" t="s">
        <v>46</v>
      </c>
      <c r="M491" s="365"/>
      <c r="N491" s="366">
        <f t="shared" si="127"/>
        <v>0</v>
      </c>
      <c r="O491" s="366">
        <f t="shared" si="128"/>
        <v>0</v>
      </c>
      <c r="P491" s="367">
        <f t="shared" si="129"/>
        <v>0</v>
      </c>
      <c r="Q491" s="367">
        <f t="shared" si="130"/>
        <v>0</v>
      </c>
      <c r="R491" s="368">
        <f t="shared" si="131"/>
        <v>0</v>
      </c>
      <c r="S491" s="384">
        <f>INDEX(FX!$D$3:$O$19,MATCH(B491,FX!$B$3:$B$32,0),MATCH(D491,FX!$D$2:$O$2,0))</f>
        <v>919</v>
      </c>
      <c r="T491" s="360" t="s">
        <v>81</v>
      </c>
      <c r="U491" s="360" t="s">
        <v>32</v>
      </c>
      <c r="V491" s="360" t="s">
        <v>83</v>
      </c>
      <c r="W491" s="364" t="str">
        <f>VLOOKUP(I491,Map!$F$18:$H$51,3,0)</f>
        <v>Variable</v>
      </c>
      <c r="X491" s="370" t="s">
        <v>172</v>
      </c>
      <c r="Y491" s="364" t="str">
        <f>VLOOKUP(L491,Map!$C$18:$D$29,2,0)</f>
        <v>PNT</v>
      </c>
      <c r="Z491" s="365">
        <v>159638.43726471707</v>
      </c>
      <c r="AA491" s="366">
        <f t="shared" si="132"/>
        <v>0</v>
      </c>
      <c r="AB491" s="366">
        <f t="shared" si="133"/>
        <v>189969.7403450133</v>
      </c>
      <c r="AC491" s="367">
        <f t="shared" si="134"/>
        <v>173.70885447738527</v>
      </c>
      <c r="AD491" s="367">
        <f t="shared" si="135"/>
        <v>0</v>
      </c>
      <c r="AE491" s="368">
        <f t="shared" si="136"/>
        <v>206.71353682808848</v>
      </c>
      <c r="AF491" s="385"/>
    </row>
    <row r="492" spans="2:32" s="1" customFormat="1" ht="13" hidden="1" x14ac:dyDescent="0.3">
      <c r="B492" s="383">
        <v>2026</v>
      </c>
      <c r="C492" s="361" t="s">
        <v>401</v>
      </c>
      <c r="D492" s="361" t="s">
        <v>87</v>
      </c>
      <c r="E492" s="360" t="s">
        <v>177</v>
      </c>
      <c r="F492" s="360" t="s">
        <v>172</v>
      </c>
      <c r="G492" s="362"/>
      <c r="H492" s="363"/>
      <c r="I492" s="360" t="s">
        <v>146</v>
      </c>
      <c r="J492" s="364" t="str">
        <f>IFERROR(VLOOKUP(I492,Map!$F$18:$G$56,2,0),"Add in Map")</f>
        <v>OBS</v>
      </c>
      <c r="K492" s="364" t="str">
        <f>VLOOKUP(L492,Map!$C$18:$D$29,2,0)</f>
        <v>GTT</v>
      </c>
      <c r="L492" s="360" t="s">
        <v>48</v>
      </c>
      <c r="M492" s="365"/>
      <c r="N492" s="366">
        <f t="shared" si="127"/>
        <v>0</v>
      </c>
      <c r="O492" s="366">
        <f t="shared" si="128"/>
        <v>0</v>
      </c>
      <c r="P492" s="367">
        <f t="shared" si="129"/>
        <v>0</v>
      </c>
      <c r="Q492" s="367">
        <f t="shared" si="130"/>
        <v>0</v>
      </c>
      <c r="R492" s="368">
        <f t="shared" si="131"/>
        <v>0</v>
      </c>
      <c r="S492" s="384">
        <f>INDEX(FX!$D$3:$O$19,MATCH(B492,FX!$B$3:$B$32,0),MATCH(D492,FX!$D$2:$O$2,0))</f>
        <v>919</v>
      </c>
      <c r="T492" s="360" t="s">
        <v>81</v>
      </c>
      <c r="U492" s="360" t="s">
        <v>32</v>
      </c>
      <c r="V492" s="360" t="s">
        <v>83</v>
      </c>
      <c r="W492" s="364" t="str">
        <f>VLOOKUP(I492,Map!$F$18:$H$51,3,0)</f>
        <v>Variable</v>
      </c>
      <c r="X492" s="370" t="s">
        <v>172</v>
      </c>
      <c r="Y492" s="364" t="str">
        <f>VLOOKUP(L492,Map!$C$18:$D$29,2,0)</f>
        <v>GTT</v>
      </c>
      <c r="Z492" s="365">
        <v>211280.54306962018</v>
      </c>
      <c r="AA492" s="366">
        <f t="shared" si="132"/>
        <v>0</v>
      </c>
      <c r="AB492" s="366">
        <f t="shared" si="133"/>
        <v>251423.84625284802</v>
      </c>
      <c r="AC492" s="367">
        <f t="shared" si="134"/>
        <v>229.90265840002195</v>
      </c>
      <c r="AD492" s="367">
        <f t="shared" si="135"/>
        <v>0</v>
      </c>
      <c r="AE492" s="368">
        <f t="shared" si="136"/>
        <v>273.58416349602612</v>
      </c>
      <c r="AF492" s="385"/>
    </row>
    <row r="493" spans="2:32" s="1" customFormat="1" ht="13" hidden="1" x14ac:dyDescent="0.3">
      <c r="B493" s="383">
        <v>2026</v>
      </c>
      <c r="C493" s="361" t="s">
        <v>401</v>
      </c>
      <c r="D493" s="361" t="s">
        <v>87</v>
      </c>
      <c r="E493" s="360" t="s">
        <v>177</v>
      </c>
      <c r="F493" s="360" t="s">
        <v>172</v>
      </c>
      <c r="G493" s="362"/>
      <c r="H493" s="363"/>
      <c r="I493" s="360" t="s">
        <v>146</v>
      </c>
      <c r="J493" s="364" t="str">
        <f>IFERROR(VLOOKUP(I493,Map!$F$18:$G$56,2,0),"Add in Map")</f>
        <v>OBS</v>
      </c>
      <c r="K493" s="364" t="str">
        <f>VLOOKUP(L493,Map!$C$18:$D$29,2,0)</f>
        <v>DGT</v>
      </c>
      <c r="L493" s="360" t="s">
        <v>50</v>
      </c>
      <c r="M493" s="365"/>
      <c r="N493" s="366">
        <f t="shared" si="127"/>
        <v>0</v>
      </c>
      <c r="O493" s="366">
        <f t="shared" si="128"/>
        <v>0</v>
      </c>
      <c r="P493" s="367">
        <f t="shared" si="129"/>
        <v>0</v>
      </c>
      <c r="Q493" s="367">
        <f t="shared" si="130"/>
        <v>0</v>
      </c>
      <c r="R493" s="368">
        <f t="shared" si="131"/>
        <v>0</v>
      </c>
      <c r="S493" s="384">
        <f>INDEX(FX!$D$3:$O$19,MATCH(B493,FX!$B$3:$B$32,0),MATCH(D493,FX!$D$2:$O$2,0))</f>
        <v>919</v>
      </c>
      <c r="T493" s="360" t="s">
        <v>81</v>
      </c>
      <c r="U493" s="360" t="s">
        <v>32</v>
      </c>
      <c r="V493" s="360" t="s">
        <v>83</v>
      </c>
      <c r="W493" s="364" t="str">
        <f>VLOOKUP(I493,Map!$F$18:$H$51,3,0)</f>
        <v>Variable</v>
      </c>
      <c r="X493" s="370" t="s">
        <v>172</v>
      </c>
      <c r="Y493" s="364" t="str">
        <f>VLOOKUP(L493,Map!$C$18:$D$29,2,0)</f>
        <v>DGT</v>
      </c>
      <c r="Z493" s="365">
        <v>152112.35149566966</v>
      </c>
      <c r="AA493" s="366">
        <f t="shared" si="132"/>
        <v>0</v>
      </c>
      <c r="AB493" s="366">
        <f t="shared" si="133"/>
        <v>181013.6982798469</v>
      </c>
      <c r="AC493" s="367">
        <f t="shared" si="134"/>
        <v>165.51942491367754</v>
      </c>
      <c r="AD493" s="367">
        <f t="shared" si="135"/>
        <v>0</v>
      </c>
      <c r="AE493" s="368">
        <f t="shared" si="136"/>
        <v>196.96811564727625</v>
      </c>
      <c r="AF493" s="385"/>
    </row>
    <row r="494" spans="2:32" s="1" customFormat="1" ht="13" hidden="1" x14ac:dyDescent="0.3">
      <c r="B494" s="383">
        <v>2026</v>
      </c>
      <c r="C494" s="361" t="s">
        <v>401</v>
      </c>
      <c r="D494" s="361" t="s">
        <v>87</v>
      </c>
      <c r="E494" s="360" t="s">
        <v>177</v>
      </c>
      <c r="F494" s="360" t="s">
        <v>172</v>
      </c>
      <c r="G494" s="362"/>
      <c r="H494" s="363"/>
      <c r="I494" s="360" t="s">
        <v>146</v>
      </c>
      <c r="J494" s="364" t="str">
        <f>IFERROR(VLOOKUP(I494,Map!$F$18:$G$56,2,0),"Add in Map")</f>
        <v>OBS</v>
      </c>
      <c r="K494" s="364" t="str">
        <f>VLOOKUP(L494,Map!$C$18:$D$29,2,0)</f>
        <v>DLT</v>
      </c>
      <c r="L494" s="360" t="s">
        <v>52</v>
      </c>
      <c r="M494" s="365"/>
      <c r="N494" s="366">
        <f t="shared" si="127"/>
        <v>0</v>
      </c>
      <c r="O494" s="366">
        <f t="shared" si="128"/>
        <v>0</v>
      </c>
      <c r="P494" s="367">
        <f t="shared" si="129"/>
        <v>0</v>
      </c>
      <c r="Q494" s="367">
        <f t="shared" si="130"/>
        <v>0</v>
      </c>
      <c r="R494" s="368">
        <f t="shared" si="131"/>
        <v>0</v>
      </c>
      <c r="S494" s="384">
        <f>INDEX(FX!$D$3:$O$19,MATCH(B494,FX!$B$3:$B$32,0),MATCH(D494,FX!$D$2:$O$2,0))</f>
        <v>919</v>
      </c>
      <c r="T494" s="360" t="s">
        <v>81</v>
      </c>
      <c r="U494" s="360" t="s">
        <v>32</v>
      </c>
      <c r="V494" s="360" t="s">
        <v>83</v>
      </c>
      <c r="W494" s="364" t="str">
        <f>VLOOKUP(I494,Map!$F$18:$H$51,3,0)</f>
        <v>Variable</v>
      </c>
      <c r="X494" s="370" t="s">
        <v>172</v>
      </c>
      <c r="Y494" s="364" t="str">
        <f>VLOOKUP(L494,Map!$C$18:$D$29,2,0)</f>
        <v>DLT</v>
      </c>
      <c r="Z494" s="365">
        <v>7233.083116383983</v>
      </c>
      <c r="AA494" s="366">
        <f t="shared" si="132"/>
        <v>0</v>
      </c>
      <c r="AB494" s="366">
        <f t="shared" si="133"/>
        <v>8607.3689084969392</v>
      </c>
      <c r="AC494" s="367">
        <f t="shared" si="134"/>
        <v>7.8706018676648348</v>
      </c>
      <c r="AD494" s="367">
        <f t="shared" si="135"/>
        <v>0</v>
      </c>
      <c r="AE494" s="368">
        <f t="shared" si="136"/>
        <v>9.3660162225211536</v>
      </c>
      <c r="AF494" s="385"/>
    </row>
    <row r="495" spans="2:32" s="1" customFormat="1" ht="13" hidden="1" x14ac:dyDescent="0.3">
      <c r="B495" s="383">
        <v>2026</v>
      </c>
      <c r="C495" s="361" t="s">
        <v>401</v>
      </c>
      <c r="D495" s="361" t="s">
        <v>87</v>
      </c>
      <c r="E495" s="360" t="s">
        <v>177</v>
      </c>
      <c r="F495" s="360" t="s">
        <v>172</v>
      </c>
      <c r="G495" s="362"/>
      <c r="H495" s="363"/>
      <c r="I495" s="360" t="s">
        <v>146</v>
      </c>
      <c r="J495" s="364" t="str">
        <f>IFERROR(VLOOKUP(I495,Map!$F$18:$G$56,2,0),"Add in Map")</f>
        <v>OBS</v>
      </c>
      <c r="K495" s="364" t="str">
        <f>VLOOKUP(L495,Map!$C$18:$D$29,2,0)</f>
        <v>DMT</v>
      </c>
      <c r="L495" s="360" t="s">
        <v>54</v>
      </c>
      <c r="M495" s="365"/>
      <c r="N495" s="366">
        <f t="shared" si="127"/>
        <v>0</v>
      </c>
      <c r="O495" s="366">
        <f t="shared" si="128"/>
        <v>0</v>
      </c>
      <c r="P495" s="386">
        <f t="shared" si="129"/>
        <v>0</v>
      </c>
      <c r="Q495" s="367">
        <f t="shared" si="130"/>
        <v>0</v>
      </c>
      <c r="R495" s="368">
        <f t="shared" si="131"/>
        <v>0</v>
      </c>
      <c r="S495" s="384">
        <f>INDEX(FX!$D$3:$O$19,MATCH(B495,FX!$B$3:$B$32,0),MATCH(D495,FX!$D$2:$O$2,0))</f>
        <v>919</v>
      </c>
      <c r="T495" s="360" t="s">
        <v>81</v>
      </c>
      <c r="U495" s="360" t="s">
        <v>32</v>
      </c>
      <c r="V495" s="360" t="s">
        <v>83</v>
      </c>
      <c r="W495" s="364" t="str">
        <f>VLOOKUP(I495,Map!$F$18:$H$51,3,0)</f>
        <v>Variable</v>
      </c>
      <c r="X495" s="370" t="s">
        <v>172</v>
      </c>
      <c r="Y495" s="364" t="str">
        <f>VLOOKUP(L495,Map!$C$18:$D$29,2,0)</f>
        <v>DMT</v>
      </c>
      <c r="Z495" s="365">
        <v>0</v>
      </c>
      <c r="AA495" s="366">
        <f t="shared" si="132"/>
        <v>0</v>
      </c>
      <c r="AB495" s="366">
        <f t="shared" si="133"/>
        <v>0</v>
      </c>
      <c r="AC495" s="386">
        <f t="shared" si="134"/>
        <v>0</v>
      </c>
      <c r="AD495" s="367">
        <f t="shared" si="135"/>
        <v>0</v>
      </c>
      <c r="AE495" s="368">
        <f t="shared" si="136"/>
        <v>0</v>
      </c>
      <c r="AF495" s="385"/>
    </row>
    <row r="496" spans="2:32" s="37" customFormat="1" hidden="1" x14ac:dyDescent="0.35">
      <c r="B496" s="387">
        <v>2026</v>
      </c>
      <c r="C496" s="389" t="s">
        <v>401</v>
      </c>
      <c r="D496" s="389" t="s">
        <v>87</v>
      </c>
      <c r="E496" s="388" t="s">
        <v>177</v>
      </c>
      <c r="F496" s="388" t="s">
        <v>172</v>
      </c>
      <c r="G496" s="390"/>
      <c r="H496" s="391"/>
      <c r="I496" s="388" t="s">
        <v>146</v>
      </c>
      <c r="J496" s="392" t="str">
        <f>IFERROR(VLOOKUP(I496,Map!$F$18:$G$56,2,0),"Add in Map")</f>
        <v>OBS</v>
      </c>
      <c r="K496" s="392" t="str">
        <f>VLOOKUP(L496,Map!$C$18:$D$29,2,0)</f>
        <v>TOTAL</v>
      </c>
      <c r="L496" s="388" t="s">
        <v>56</v>
      </c>
      <c r="M496" s="393">
        <f>SUM(M485:M495)</f>
        <v>0</v>
      </c>
      <c r="N496" s="393">
        <f t="shared" si="127"/>
        <v>0</v>
      </c>
      <c r="O496" s="393">
        <f t="shared" si="128"/>
        <v>0</v>
      </c>
      <c r="P496" s="394">
        <f t="shared" si="129"/>
        <v>0</v>
      </c>
      <c r="Q496" s="394">
        <f t="shared" si="130"/>
        <v>0</v>
      </c>
      <c r="R496" s="395">
        <f t="shared" si="131"/>
        <v>0</v>
      </c>
      <c r="S496" s="396">
        <f>INDEX(FX!$D$3:$O$19,MATCH(B496,FX!$B$3:$B$32,0),MATCH(D496,FX!$D$2:$O$2,0))</f>
        <v>919</v>
      </c>
      <c r="T496" s="388" t="s">
        <v>81</v>
      </c>
      <c r="U496" s="388" t="s">
        <v>32</v>
      </c>
      <c r="V496" s="388" t="s">
        <v>83</v>
      </c>
      <c r="W496" s="392" t="str">
        <f>VLOOKUP(I496,Map!$F$18:$H$51,3,0)</f>
        <v>Variable</v>
      </c>
      <c r="X496" s="397" t="s">
        <v>172</v>
      </c>
      <c r="Y496" s="392" t="str">
        <f>VLOOKUP(L496,Map!$C$18:$D$29,2,0)</f>
        <v>TOTAL</v>
      </c>
      <c r="Z496" s="393">
        <f>SUM(Z485:Z495)</f>
        <v>7261730.7633000007</v>
      </c>
      <c r="AA496" s="393">
        <f t="shared" si="132"/>
        <v>1379728.8450270002</v>
      </c>
      <c r="AB496" s="393">
        <f t="shared" si="133"/>
        <v>8641459.6083270013</v>
      </c>
      <c r="AC496" s="394">
        <f t="shared" si="134"/>
        <v>7901.774497606094</v>
      </c>
      <c r="AD496" s="394">
        <f t="shared" si="135"/>
        <v>1501.3371545451578</v>
      </c>
      <c r="AE496" s="395">
        <f t="shared" si="136"/>
        <v>9403.1116521512522</v>
      </c>
      <c r="AF496" s="398"/>
    </row>
    <row r="497" spans="2:32" s="5" customFormat="1" ht="13" x14ac:dyDescent="0.3">
      <c r="B497" s="400">
        <v>2026</v>
      </c>
      <c r="C497" s="402" t="s">
        <v>406</v>
      </c>
      <c r="D497" s="402" t="s">
        <v>87</v>
      </c>
      <c r="E497" s="401" t="s">
        <v>177</v>
      </c>
      <c r="F497" s="401" t="s">
        <v>457</v>
      </c>
      <c r="G497" s="403">
        <v>46259</v>
      </c>
      <c r="H497" s="404">
        <v>2943361</v>
      </c>
      <c r="I497" s="401" t="s">
        <v>180</v>
      </c>
      <c r="J497" s="405" t="str">
        <f>IFERROR(VLOOKUP(I497,Map!$F$18:$G$56,2,0),"Add in Map")</f>
        <v>OBS</v>
      </c>
      <c r="K497" s="405" t="str">
        <f>VLOOKUP(L497,Map!$C$18:$D$29,2,0)</f>
        <v>CNT</v>
      </c>
      <c r="L497" s="401" t="s">
        <v>31</v>
      </c>
      <c r="M497" s="406">
        <v>1508792.3878151153</v>
      </c>
      <c r="N497" s="407">
        <f t="shared" ref="N497:N532" si="137">IF(L497="TOTAL",(M497*0.19),0)</f>
        <v>0</v>
      </c>
      <c r="O497" s="407">
        <f t="shared" ref="O497:O532" si="138">M497*1.19</f>
        <v>1795462.9414999872</v>
      </c>
      <c r="P497" s="408">
        <f t="shared" ref="P497:P532" si="139">M497/S497</f>
        <v>1641.7762653048044</v>
      </c>
      <c r="Q497" s="408">
        <f t="shared" ref="Q497:Q532" si="140">IF(L497="TOTAL",(P497*0.19),0)</f>
        <v>0</v>
      </c>
      <c r="R497" s="409">
        <f t="shared" ref="R497:R532" si="141">P497*1.19</f>
        <v>1953.7137557127171</v>
      </c>
      <c r="S497" s="410">
        <f>INDEX(FX!$D$3:$O$19,MATCH(B497,FX!$B$3:$B$32,0),MATCH(D497,FX!$D$2:$O$2,0))</f>
        <v>919</v>
      </c>
      <c r="T497" s="401" t="s">
        <v>81</v>
      </c>
      <c r="U497" s="401" t="s">
        <v>32</v>
      </c>
      <c r="V497" s="401" t="s">
        <v>83</v>
      </c>
      <c r="W497" s="405" t="str">
        <f>VLOOKUP(I497,Map!$F$18:$H$51,3,0)</f>
        <v>Variable</v>
      </c>
      <c r="X497" s="411" t="s">
        <v>457</v>
      </c>
      <c r="Y497" s="405" t="str">
        <f>VLOOKUP(L497,Map!$C$18:$D$29,2,0)</f>
        <v>CNT</v>
      </c>
      <c r="Z497" s="406"/>
      <c r="AA497" s="407">
        <f t="shared" ref="AA497:AA532" si="142">IF(Y497="TOTAL",(Z497*0.19),0)</f>
        <v>0</v>
      </c>
      <c r="AB497" s="407">
        <f t="shared" ref="AB497:AB532" si="143">Z497*1.19</f>
        <v>0</v>
      </c>
      <c r="AC497" s="408">
        <f t="shared" ref="AC497:AC532" si="144">Z497/S497</f>
        <v>0</v>
      </c>
      <c r="AD497" s="408">
        <f t="shared" ref="AD497:AD532" si="145">IF(Y497="TOTAL",(AC497*0.19),0)</f>
        <v>0</v>
      </c>
      <c r="AE497" s="409">
        <f t="shared" ref="AE497:AE532" si="146">AC497*1.19</f>
        <v>0</v>
      </c>
      <c r="AF497" s="412"/>
    </row>
    <row r="498" spans="2:32" s="1" customFormat="1" ht="13" x14ac:dyDescent="0.3">
      <c r="B498" s="383">
        <v>2026</v>
      </c>
      <c r="C498" s="361" t="s">
        <v>406</v>
      </c>
      <c r="D498" s="361" t="s">
        <v>87</v>
      </c>
      <c r="E498" s="360" t="s">
        <v>177</v>
      </c>
      <c r="F498" s="360" t="s">
        <v>457</v>
      </c>
      <c r="G498" s="362">
        <v>46259</v>
      </c>
      <c r="H498" s="363">
        <v>2943361</v>
      </c>
      <c r="I498" s="360" t="s">
        <v>180</v>
      </c>
      <c r="J498" s="364" t="str">
        <f>IFERROR(VLOOKUP(I498,Map!$F$18:$G$56,2,0),"Add in Map")</f>
        <v>OBS</v>
      </c>
      <c r="K498" s="364" t="str">
        <f>VLOOKUP(L498,Map!$C$18:$D$29,2,0)</f>
        <v>CVT</v>
      </c>
      <c r="L498" s="360" t="s">
        <v>36</v>
      </c>
      <c r="M498" s="365">
        <v>549.64013115870512</v>
      </c>
      <c r="N498" s="366">
        <f t="shared" si="137"/>
        <v>0</v>
      </c>
      <c r="O498" s="366">
        <f t="shared" si="138"/>
        <v>654.07175607885904</v>
      </c>
      <c r="P498" s="367">
        <f t="shared" si="139"/>
        <v>0.59808501758292176</v>
      </c>
      <c r="Q498" s="367">
        <f t="shared" si="140"/>
        <v>0</v>
      </c>
      <c r="R498" s="368">
        <f t="shared" si="141"/>
        <v>0.71172117092367682</v>
      </c>
      <c r="S498" s="384">
        <f>INDEX(FX!$D$3:$O$19,MATCH(B498,FX!$B$3:$B$32,0),MATCH(D498,FX!$D$2:$O$2,0))</f>
        <v>919</v>
      </c>
      <c r="T498" s="360" t="s">
        <v>81</v>
      </c>
      <c r="U498" s="360" t="s">
        <v>32</v>
      </c>
      <c r="V498" s="360" t="s">
        <v>83</v>
      </c>
      <c r="W498" s="364" t="str">
        <f>VLOOKUP(I498,Map!$F$18:$H$51,3,0)</f>
        <v>Variable</v>
      </c>
      <c r="X498" s="370" t="s">
        <v>457</v>
      </c>
      <c r="Y498" s="364" t="str">
        <f>VLOOKUP(L498,Map!$C$18:$D$29,2,0)</f>
        <v>CVT</v>
      </c>
      <c r="Z498" s="365"/>
      <c r="AA498" s="366">
        <f t="shared" si="142"/>
        <v>0</v>
      </c>
      <c r="AB498" s="366">
        <f t="shared" si="143"/>
        <v>0</v>
      </c>
      <c r="AC498" s="367">
        <f t="shared" si="144"/>
        <v>0</v>
      </c>
      <c r="AD498" s="367">
        <f t="shared" si="145"/>
        <v>0</v>
      </c>
      <c r="AE498" s="368">
        <f t="shared" si="146"/>
        <v>0</v>
      </c>
      <c r="AF498" s="385"/>
    </row>
    <row r="499" spans="2:32" s="1" customFormat="1" ht="13" x14ac:dyDescent="0.3">
      <c r="B499" s="383">
        <v>2026</v>
      </c>
      <c r="C499" s="361" t="s">
        <v>406</v>
      </c>
      <c r="D499" s="361" t="s">
        <v>87</v>
      </c>
      <c r="E499" s="360" t="s">
        <v>177</v>
      </c>
      <c r="F499" s="360" t="s">
        <v>457</v>
      </c>
      <c r="G499" s="362">
        <v>46259</v>
      </c>
      <c r="H499" s="363">
        <v>2943361</v>
      </c>
      <c r="I499" s="360" t="s">
        <v>180</v>
      </c>
      <c r="J499" s="364" t="str">
        <f>IFERROR(VLOOKUP(I499,Map!$F$18:$G$56,2,0),"Add in Map")</f>
        <v>OBS</v>
      </c>
      <c r="K499" s="364" t="str">
        <f>VLOOKUP(L499,Map!$C$18:$D$29,2,0)</f>
        <v>CDT</v>
      </c>
      <c r="L499" s="360" t="s">
        <v>38</v>
      </c>
      <c r="M499" s="365">
        <v>64184.819888635509</v>
      </c>
      <c r="N499" s="366">
        <f t="shared" si="137"/>
        <v>0</v>
      </c>
      <c r="O499" s="366">
        <f t="shared" si="138"/>
        <v>76379.935667476253</v>
      </c>
      <c r="P499" s="367">
        <f t="shared" si="139"/>
        <v>69.842023817884126</v>
      </c>
      <c r="Q499" s="367">
        <f t="shared" si="140"/>
        <v>0</v>
      </c>
      <c r="R499" s="368">
        <f t="shared" si="141"/>
        <v>83.112008343282099</v>
      </c>
      <c r="S499" s="384">
        <f>INDEX(FX!$D$3:$O$19,MATCH(B499,FX!$B$3:$B$32,0),MATCH(D499,FX!$D$2:$O$2,0))</f>
        <v>919</v>
      </c>
      <c r="T499" s="360" t="s">
        <v>81</v>
      </c>
      <c r="U499" s="360" t="s">
        <v>32</v>
      </c>
      <c r="V499" s="360" t="s">
        <v>83</v>
      </c>
      <c r="W499" s="364" t="str">
        <f>VLOOKUP(I499,Map!$F$18:$H$51,3,0)</f>
        <v>Variable</v>
      </c>
      <c r="X499" s="370" t="s">
        <v>457</v>
      </c>
      <c r="Y499" s="364" t="str">
        <f>VLOOKUP(L499,Map!$C$18:$D$29,2,0)</f>
        <v>CDT</v>
      </c>
      <c r="Z499" s="365"/>
      <c r="AA499" s="366">
        <f t="shared" si="142"/>
        <v>0</v>
      </c>
      <c r="AB499" s="366">
        <f t="shared" si="143"/>
        <v>0</v>
      </c>
      <c r="AC499" s="367">
        <f t="shared" si="144"/>
        <v>0</v>
      </c>
      <c r="AD499" s="367">
        <f t="shared" si="145"/>
        <v>0</v>
      </c>
      <c r="AE499" s="368">
        <f t="shared" si="146"/>
        <v>0</v>
      </c>
      <c r="AF499" s="385"/>
    </row>
    <row r="500" spans="2:32" s="1" customFormat="1" ht="13" x14ac:dyDescent="0.3">
      <c r="B500" s="383">
        <v>2026</v>
      </c>
      <c r="C500" s="361" t="s">
        <v>406</v>
      </c>
      <c r="D500" s="361" t="s">
        <v>87</v>
      </c>
      <c r="E500" s="360" t="s">
        <v>177</v>
      </c>
      <c r="F500" s="360" t="s">
        <v>457</v>
      </c>
      <c r="G500" s="362">
        <v>46259</v>
      </c>
      <c r="H500" s="363">
        <v>2943361</v>
      </c>
      <c r="I500" s="360" t="s">
        <v>180</v>
      </c>
      <c r="J500" s="364" t="str">
        <f>IFERROR(VLOOKUP(I500,Map!$F$18:$G$56,2,0),"Add in Map")</f>
        <v>OBS</v>
      </c>
      <c r="K500" s="364" t="str">
        <f>VLOOKUP(L500,Map!$C$18:$D$29,2,0)</f>
        <v>DFT</v>
      </c>
      <c r="L500" s="360" t="s">
        <v>40</v>
      </c>
      <c r="M500" s="365">
        <v>3153038.821222038</v>
      </c>
      <c r="N500" s="366">
        <f t="shared" si="137"/>
        <v>0</v>
      </c>
      <c r="O500" s="366">
        <f t="shared" si="138"/>
        <v>3752116.1972542251</v>
      </c>
      <c r="P500" s="367">
        <f t="shared" si="139"/>
        <v>3430.9453985005853</v>
      </c>
      <c r="Q500" s="367">
        <f t="shared" si="140"/>
        <v>0</v>
      </c>
      <c r="R500" s="368">
        <f t="shared" si="141"/>
        <v>4082.8250242156964</v>
      </c>
      <c r="S500" s="384">
        <f>INDEX(FX!$D$3:$O$19,MATCH(B500,FX!$B$3:$B$32,0),MATCH(D500,FX!$D$2:$O$2,0))</f>
        <v>919</v>
      </c>
      <c r="T500" s="360" t="s">
        <v>81</v>
      </c>
      <c r="U500" s="360" t="s">
        <v>32</v>
      </c>
      <c r="V500" s="360" t="s">
        <v>83</v>
      </c>
      <c r="W500" s="364" t="str">
        <f>VLOOKUP(I500,Map!$F$18:$H$51,3,0)</f>
        <v>Variable</v>
      </c>
      <c r="X500" s="370" t="s">
        <v>457</v>
      </c>
      <c r="Y500" s="364" t="str">
        <f>VLOOKUP(L500,Map!$C$18:$D$29,2,0)</f>
        <v>DFT</v>
      </c>
      <c r="Z500" s="365"/>
      <c r="AA500" s="366">
        <f t="shared" si="142"/>
        <v>0</v>
      </c>
      <c r="AB500" s="366">
        <f t="shared" si="143"/>
        <v>0</v>
      </c>
      <c r="AC500" s="367">
        <f t="shared" si="144"/>
        <v>0</v>
      </c>
      <c r="AD500" s="367">
        <f t="shared" si="145"/>
        <v>0</v>
      </c>
      <c r="AE500" s="368">
        <f t="shared" si="146"/>
        <v>0</v>
      </c>
      <c r="AF500" s="385"/>
    </row>
    <row r="501" spans="2:32" s="1" customFormat="1" ht="13" x14ac:dyDescent="0.3">
      <c r="B501" s="383">
        <v>2026</v>
      </c>
      <c r="C501" s="361" t="s">
        <v>406</v>
      </c>
      <c r="D501" s="361" t="s">
        <v>87</v>
      </c>
      <c r="E501" s="360" t="s">
        <v>177</v>
      </c>
      <c r="F501" s="360" t="s">
        <v>457</v>
      </c>
      <c r="G501" s="362">
        <v>46259</v>
      </c>
      <c r="H501" s="363">
        <v>2943361</v>
      </c>
      <c r="I501" s="360" t="s">
        <v>180</v>
      </c>
      <c r="J501" s="364" t="str">
        <f>IFERROR(VLOOKUP(I501,Map!$F$18:$G$56,2,0),"Add in Map")</f>
        <v>OBS</v>
      </c>
      <c r="K501" s="364" t="str">
        <f>VLOOKUP(L501,Map!$C$18:$D$29,2,0)</f>
        <v>DVT</v>
      </c>
      <c r="L501" s="360" t="s">
        <v>42</v>
      </c>
      <c r="M501" s="365">
        <v>0</v>
      </c>
      <c r="N501" s="366">
        <f t="shared" si="137"/>
        <v>0</v>
      </c>
      <c r="O501" s="366">
        <f t="shared" si="138"/>
        <v>0</v>
      </c>
      <c r="P501" s="367">
        <f t="shared" si="139"/>
        <v>0</v>
      </c>
      <c r="Q501" s="367">
        <f t="shared" si="140"/>
        <v>0</v>
      </c>
      <c r="R501" s="368">
        <f t="shared" si="141"/>
        <v>0</v>
      </c>
      <c r="S501" s="384">
        <f>INDEX(FX!$D$3:$O$19,MATCH(B501,FX!$B$3:$B$32,0),MATCH(D501,FX!$D$2:$O$2,0))</f>
        <v>919</v>
      </c>
      <c r="T501" s="360" t="s">
        <v>81</v>
      </c>
      <c r="U501" s="360" t="s">
        <v>32</v>
      </c>
      <c r="V501" s="360" t="s">
        <v>83</v>
      </c>
      <c r="W501" s="364" t="str">
        <f>VLOOKUP(I501,Map!$F$18:$H$51,3,0)</f>
        <v>Variable</v>
      </c>
      <c r="X501" s="370" t="s">
        <v>457</v>
      </c>
      <c r="Y501" s="364" t="str">
        <f>VLOOKUP(L501,Map!$C$18:$D$29,2,0)</f>
        <v>DVT</v>
      </c>
      <c r="Z501" s="365"/>
      <c r="AA501" s="366">
        <f t="shared" si="142"/>
        <v>0</v>
      </c>
      <c r="AB501" s="366">
        <f t="shared" si="143"/>
        <v>0</v>
      </c>
      <c r="AC501" s="367">
        <f t="shared" si="144"/>
        <v>0</v>
      </c>
      <c r="AD501" s="367">
        <f t="shared" si="145"/>
        <v>0</v>
      </c>
      <c r="AE501" s="368">
        <f t="shared" si="146"/>
        <v>0</v>
      </c>
      <c r="AF501" s="385"/>
    </row>
    <row r="502" spans="2:32" s="1" customFormat="1" ht="13" x14ac:dyDescent="0.3">
      <c r="B502" s="383">
        <v>2026</v>
      </c>
      <c r="C502" s="361" t="s">
        <v>406</v>
      </c>
      <c r="D502" s="361" t="s">
        <v>87</v>
      </c>
      <c r="E502" s="360" t="s">
        <v>177</v>
      </c>
      <c r="F502" s="360" t="s">
        <v>457</v>
      </c>
      <c r="G502" s="362">
        <v>46259</v>
      </c>
      <c r="H502" s="363">
        <v>2943361</v>
      </c>
      <c r="I502" s="360" t="s">
        <v>180</v>
      </c>
      <c r="J502" s="364" t="str">
        <f>IFERROR(VLOOKUP(I502,Map!$F$18:$G$56,2,0),"Add in Map")</f>
        <v>OBS</v>
      </c>
      <c r="K502" s="364" t="str">
        <f>VLOOKUP(L502,Map!$C$18:$D$29,2,0)</f>
        <v>GLT</v>
      </c>
      <c r="L502" s="360" t="s">
        <v>44</v>
      </c>
      <c r="M502" s="365">
        <v>1999164.7574092748</v>
      </c>
      <c r="N502" s="366">
        <f t="shared" si="137"/>
        <v>0</v>
      </c>
      <c r="O502" s="366">
        <f t="shared" si="138"/>
        <v>2379006.0613170369</v>
      </c>
      <c r="P502" s="367">
        <f t="shared" si="139"/>
        <v>2175.3697033833241</v>
      </c>
      <c r="Q502" s="367">
        <f t="shared" si="140"/>
        <v>0</v>
      </c>
      <c r="R502" s="368">
        <f t="shared" si="141"/>
        <v>2588.6899470261556</v>
      </c>
      <c r="S502" s="384">
        <f>INDEX(FX!$D$3:$O$19,MATCH(B502,FX!$B$3:$B$32,0),MATCH(D502,FX!$D$2:$O$2,0))</f>
        <v>919</v>
      </c>
      <c r="T502" s="360" t="s">
        <v>81</v>
      </c>
      <c r="U502" s="360" t="s">
        <v>32</v>
      </c>
      <c r="V502" s="360" t="s">
        <v>83</v>
      </c>
      <c r="W502" s="364" t="str">
        <f>VLOOKUP(I502,Map!$F$18:$H$51,3,0)</f>
        <v>Variable</v>
      </c>
      <c r="X502" s="370" t="s">
        <v>457</v>
      </c>
      <c r="Y502" s="364" t="str">
        <f>VLOOKUP(L502,Map!$C$18:$D$29,2,0)</f>
        <v>GLT</v>
      </c>
      <c r="Z502" s="365"/>
      <c r="AA502" s="366">
        <f t="shared" si="142"/>
        <v>0</v>
      </c>
      <c r="AB502" s="366">
        <f t="shared" si="143"/>
        <v>0</v>
      </c>
      <c r="AC502" s="367">
        <f t="shared" si="144"/>
        <v>0</v>
      </c>
      <c r="AD502" s="367">
        <f t="shared" si="145"/>
        <v>0</v>
      </c>
      <c r="AE502" s="368">
        <f t="shared" si="146"/>
        <v>0</v>
      </c>
      <c r="AF502" s="385"/>
    </row>
    <row r="503" spans="2:32" s="1" customFormat="1" ht="13" x14ac:dyDescent="0.3">
      <c r="B503" s="383">
        <v>2026</v>
      </c>
      <c r="C503" s="361" t="s">
        <v>406</v>
      </c>
      <c r="D503" s="361" t="s">
        <v>87</v>
      </c>
      <c r="E503" s="360" t="s">
        <v>177</v>
      </c>
      <c r="F503" s="360" t="s">
        <v>457</v>
      </c>
      <c r="G503" s="362">
        <v>46259</v>
      </c>
      <c r="H503" s="363">
        <v>2943361</v>
      </c>
      <c r="I503" s="360" t="s">
        <v>180</v>
      </c>
      <c r="J503" s="364" t="str">
        <f>IFERROR(VLOOKUP(I503,Map!$F$18:$G$56,2,0),"Add in Map")</f>
        <v>OBS</v>
      </c>
      <c r="K503" s="364" t="str">
        <f>VLOOKUP(L503,Map!$C$18:$D$29,2,0)</f>
        <v>PNT</v>
      </c>
      <c r="L503" s="360" t="s">
        <v>46</v>
      </c>
      <c r="M503" s="365">
        <v>159502.40841765926</v>
      </c>
      <c r="N503" s="366">
        <f t="shared" si="137"/>
        <v>0</v>
      </c>
      <c r="O503" s="366">
        <f t="shared" si="138"/>
        <v>189807.86601701452</v>
      </c>
      <c r="P503" s="367">
        <f t="shared" si="139"/>
        <v>173.56083614543988</v>
      </c>
      <c r="Q503" s="367">
        <f t="shared" si="140"/>
        <v>0</v>
      </c>
      <c r="R503" s="368">
        <f t="shared" si="141"/>
        <v>206.53739501307345</v>
      </c>
      <c r="S503" s="384">
        <f>INDEX(FX!$D$3:$O$19,MATCH(B503,FX!$B$3:$B$32,0),MATCH(D503,FX!$D$2:$O$2,0))</f>
        <v>919</v>
      </c>
      <c r="T503" s="360" t="s">
        <v>81</v>
      </c>
      <c r="U503" s="360" t="s">
        <v>32</v>
      </c>
      <c r="V503" s="360" t="s">
        <v>83</v>
      </c>
      <c r="W503" s="364" t="str">
        <f>VLOOKUP(I503,Map!$F$18:$H$51,3,0)</f>
        <v>Variable</v>
      </c>
      <c r="X503" s="370" t="s">
        <v>457</v>
      </c>
      <c r="Y503" s="364" t="str">
        <f>VLOOKUP(L503,Map!$C$18:$D$29,2,0)</f>
        <v>PNT</v>
      </c>
      <c r="Z503" s="365"/>
      <c r="AA503" s="366">
        <f t="shared" si="142"/>
        <v>0</v>
      </c>
      <c r="AB503" s="366">
        <f t="shared" si="143"/>
        <v>0</v>
      </c>
      <c r="AC503" s="367">
        <f t="shared" si="144"/>
        <v>0</v>
      </c>
      <c r="AD503" s="367">
        <f t="shared" si="145"/>
        <v>0</v>
      </c>
      <c r="AE503" s="368">
        <f t="shared" si="146"/>
        <v>0</v>
      </c>
      <c r="AF503" s="385"/>
    </row>
    <row r="504" spans="2:32" s="1" customFormat="1" ht="13" x14ac:dyDescent="0.3">
      <c r="B504" s="383">
        <v>2026</v>
      </c>
      <c r="C504" s="361" t="s">
        <v>406</v>
      </c>
      <c r="D504" s="361" t="s">
        <v>87</v>
      </c>
      <c r="E504" s="360" t="s">
        <v>177</v>
      </c>
      <c r="F504" s="360" t="s">
        <v>457</v>
      </c>
      <c r="G504" s="362">
        <v>46259</v>
      </c>
      <c r="H504" s="363">
        <v>2943361</v>
      </c>
      <c r="I504" s="360" t="s">
        <v>180</v>
      </c>
      <c r="J504" s="364" t="str">
        <f>IFERROR(VLOOKUP(I504,Map!$F$18:$G$56,2,0),"Add in Map")</f>
        <v>OBS</v>
      </c>
      <c r="K504" s="364" t="str">
        <f>VLOOKUP(L504,Map!$C$18:$D$29,2,0)</f>
        <v>GTT</v>
      </c>
      <c r="L504" s="360" t="s">
        <v>48</v>
      </c>
      <c r="M504" s="365">
        <v>211100.50968184744</v>
      </c>
      <c r="N504" s="366">
        <f t="shared" si="137"/>
        <v>0</v>
      </c>
      <c r="O504" s="366">
        <f t="shared" si="138"/>
        <v>251209.60652139844</v>
      </c>
      <c r="P504" s="367">
        <f t="shared" si="139"/>
        <v>229.70675699874585</v>
      </c>
      <c r="Q504" s="367">
        <f t="shared" si="140"/>
        <v>0</v>
      </c>
      <c r="R504" s="368">
        <f t="shared" si="141"/>
        <v>273.35104082850756</v>
      </c>
      <c r="S504" s="384">
        <f>INDEX(FX!$D$3:$O$19,MATCH(B504,FX!$B$3:$B$32,0),MATCH(D504,FX!$D$2:$O$2,0))</f>
        <v>919</v>
      </c>
      <c r="T504" s="360" t="s">
        <v>81</v>
      </c>
      <c r="U504" s="360" t="s">
        <v>32</v>
      </c>
      <c r="V504" s="360" t="s">
        <v>83</v>
      </c>
      <c r="W504" s="364" t="str">
        <f>VLOOKUP(I504,Map!$F$18:$H$51,3,0)</f>
        <v>Variable</v>
      </c>
      <c r="X504" s="370" t="s">
        <v>457</v>
      </c>
      <c r="Y504" s="364" t="str">
        <f>VLOOKUP(L504,Map!$C$18:$D$29,2,0)</f>
        <v>GTT</v>
      </c>
      <c r="Z504" s="365"/>
      <c r="AA504" s="366">
        <f t="shared" si="142"/>
        <v>0</v>
      </c>
      <c r="AB504" s="366">
        <f t="shared" si="143"/>
        <v>0</v>
      </c>
      <c r="AC504" s="367">
        <f t="shared" si="144"/>
        <v>0</v>
      </c>
      <c r="AD504" s="367">
        <f t="shared" si="145"/>
        <v>0</v>
      </c>
      <c r="AE504" s="368">
        <f t="shared" si="146"/>
        <v>0</v>
      </c>
      <c r="AF504" s="385"/>
    </row>
    <row r="505" spans="2:32" s="1" customFormat="1" ht="13" x14ac:dyDescent="0.3">
      <c r="B505" s="383">
        <v>2026</v>
      </c>
      <c r="C505" s="361" t="s">
        <v>406</v>
      </c>
      <c r="D505" s="361" t="s">
        <v>87</v>
      </c>
      <c r="E505" s="360" t="s">
        <v>177</v>
      </c>
      <c r="F505" s="360" t="s">
        <v>457</v>
      </c>
      <c r="G505" s="362">
        <v>46259</v>
      </c>
      <c r="H505" s="363">
        <v>2943361</v>
      </c>
      <c r="I505" s="360" t="s">
        <v>180</v>
      </c>
      <c r="J505" s="364" t="str">
        <f>IFERROR(VLOOKUP(I505,Map!$F$18:$G$56,2,0),"Add in Map")</f>
        <v>OBS</v>
      </c>
      <c r="K505" s="364" t="str">
        <f>VLOOKUP(L505,Map!$C$18:$D$29,2,0)</f>
        <v>DGT</v>
      </c>
      <c r="L505" s="360" t="s">
        <v>50</v>
      </c>
      <c r="M505" s="365">
        <v>151982.73567036001</v>
      </c>
      <c r="N505" s="366">
        <f t="shared" si="137"/>
        <v>0</v>
      </c>
      <c r="O505" s="366">
        <f t="shared" si="138"/>
        <v>180859.4554477284</v>
      </c>
      <c r="P505" s="367">
        <f t="shared" si="139"/>
        <v>165.37838484261155</v>
      </c>
      <c r="Q505" s="367">
        <f t="shared" si="140"/>
        <v>0</v>
      </c>
      <c r="R505" s="368">
        <f t="shared" si="141"/>
        <v>196.80027796270775</v>
      </c>
      <c r="S505" s="384">
        <f>INDEX(FX!$D$3:$O$19,MATCH(B505,FX!$B$3:$B$32,0),MATCH(D505,FX!$D$2:$O$2,0))</f>
        <v>919</v>
      </c>
      <c r="T505" s="360" t="s">
        <v>81</v>
      </c>
      <c r="U505" s="360" t="s">
        <v>32</v>
      </c>
      <c r="V505" s="360" t="s">
        <v>83</v>
      </c>
      <c r="W505" s="364" t="str">
        <f>VLOOKUP(I505,Map!$F$18:$H$51,3,0)</f>
        <v>Variable</v>
      </c>
      <c r="X505" s="370" t="s">
        <v>457</v>
      </c>
      <c r="Y505" s="364" t="str">
        <f>VLOOKUP(L505,Map!$C$18:$D$29,2,0)</f>
        <v>DGT</v>
      </c>
      <c r="Z505" s="365"/>
      <c r="AA505" s="366">
        <f t="shared" si="142"/>
        <v>0</v>
      </c>
      <c r="AB505" s="366">
        <f t="shared" si="143"/>
        <v>0</v>
      </c>
      <c r="AC505" s="367">
        <f t="shared" si="144"/>
        <v>0</v>
      </c>
      <c r="AD505" s="367">
        <f t="shared" si="145"/>
        <v>0</v>
      </c>
      <c r="AE505" s="368">
        <f t="shared" si="146"/>
        <v>0</v>
      </c>
      <c r="AF505" s="385"/>
    </row>
    <row r="506" spans="2:32" s="1" customFormat="1" ht="13" x14ac:dyDescent="0.3">
      <c r="B506" s="383">
        <v>2026</v>
      </c>
      <c r="C506" s="361" t="s">
        <v>406</v>
      </c>
      <c r="D506" s="361" t="s">
        <v>87</v>
      </c>
      <c r="E506" s="360" t="s">
        <v>177</v>
      </c>
      <c r="F506" s="360" t="s">
        <v>457</v>
      </c>
      <c r="G506" s="362">
        <v>46259</v>
      </c>
      <c r="H506" s="363">
        <v>2943361</v>
      </c>
      <c r="I506" s="360" t="s">
        <v>180</v>
      </c>
      <c r="J506" s="364" t="str">
        <f>IFERROR(VLOOKUP(I506,Map!$F$18:$G$56,2,0),"Add in Map")</f>
        <v>OBS</v>
      </c>
      <c r="K506" s="364" t="str">
        <f>VLOOKUP(L506,Map!$C$18:$D$29,2,0)</f>
        <v>DLT</v>
      </c>
      <c r="L506" s="360" t="s">
        <v>52</v>
      </c>
      <c r="M506" s="365">
        <v>7226.9197639116492</v>
      </c>
      <c r="N506" s="366">
        <f t="shared" si="137"/>
        <v>0</v>
      </c>
      <c r="O506" s="366">
        <f t="shared" si="138"/>
        <v>8600.0345190548614</v>
      </c>
      <c r="P506" s="367">
        <f t="shared" si="139"/>
        <v>7.8638952817319359</v>
      </c>
      <c r="Q506" s="367">
        <f t="shared" si="140"/>
        <v>0</v>
      </c>
      <c r="R506" s="368">
        <f t="shared" si="141"/>
        <v>9.3580353852610028</v>
      </c>
      <c r="S506" s="384">
        <f>INDEX(FX!$D$3:$O$19,MATCH(B506,FX!$B$3:$B$32,0),MATCH(D506,FX!$D$2:$O$2,0))</f>
        <v>919</v>
      </c>
      <c r="T506" s="360" t="s">
        <v>81</v>
      </c>
      <c r="U506" s="360" t="s">
        <v>32</v>
      </c>
      <c r="V506" s="360" t="s">
        <v>83</v>
      </c>
      <c r="W506" s="364" t="str">
        <f>VLOOKUP(I506,Map!$F$18:$H$51,3,0)</f>
        <v>Variable</v>
      </c>
      <c r="X506" s="370" t="s">
        <v>457</v>
      </c>
      <c r="Y506" s="364" t="str">
        <f>VLOOKUP(L506,Map!$C$18:$D$29,2,0)</f>
        <v>DLT</v>
      </c>
      <c r="Z506" s="365"/>
      <c r="AA506" s="366">
        <f t="shared" si="142"/>
        <v>0</v>
      </c>
      <c r="AB506" s="366">
        <f t="shared" si="143"/>
        <v>0</v>
      </c>
      <c r="AC506" s="367">
        <f t="shared" si="144"/>
        <v>0</v>
      </c>
      <c r="AD506" s="367">
        <f t="shared" si="145"/>
        <v>0</v>
      </c>
      <c r="AE506" s="368">
        <f t="shared" si="146"/>
        <v>0</v>
      </c>
      <c r="AF506" s="385"/>
    </row>
    <row r="507" spans="2:32" s="1" customFormat="1" ht="13" x14ac:dyDescent="0.3">
      <c r="B507" s="383">
        <v>2026</v>
      </c>
      <c r="C507" s="361" t="s">
        <v>406</v>
      </c>
      <c r="D507" s="361" t="s">
        <v>87</v>
      </c>
      <c r="E507" s="360" t="s">
        <v>177</v>
      </c>
      <c r="F507" s="360" t="s">
        <v>457</v>
      </c>
      <c r="G507" s="362">
        <v>46259</v>
      </c>
      <c r="H507" s="363">
        <v>2943361</v>
      </c>
      <c r="I507" s="360" t="s">
        <v>180</v>
      </c>
      <c r="J507" s="364" t="str">
        <f>IFERROR(VLOOKUP(I507,Map!$F$18:$G$56,2,0),"Add in Map")</f>
        <v>OBS</v>
      </c>
      <c r="K507" s="364" t="str">
        <f>VLOOKUP(L507,Map!$C$18:$D$29,2,0)</f>
        <v>DMT</v>
      </c>
      <c r="L507" s="360" t="s">
        <v>54</v>
      </c>
      <c r="M507" s="365">
        <v>0</v>
      </c>
      <c r="N507" s="366">
        <f t="shared" si="137"/>
        <v>0</v>
      </c>
      <c r="O507" s="366">
        <f t="shared" si="138"/>
        <v>0</v>
      </c>
      <c r="P507" s="386">
        <f t="shared" si="139"/>
        <v>0</v>
      </c>
      <c r="Q507" s="367">
        <f t="shared" si="140"/>
        <v>0</v>
      </c>
      <c r="R507" s="368">
        <f t="shared" si="141"/>
        <v>0</v>
      </c>
      <c r="S507" s="384">
        <f>INDEX(FX!$D$3:$O$19,MATCH(B507,FX!$B$3:$B$32,0),MATCH(D507,FX!$D$2:$O$2,0))</f>
        <v>919</v>
      </c>
      <c r="T507" s="360" t="s">
        <v>81</v>
      </c>
      <c r="U507" s="360" t="s">
        <v>32</v>
      </c>
      <c r="V507" s="360" t="s">
        <v>83</v>
      </c>
      <c r="W507" s="364" t="str">
        <f>VLOOKUP(I507,Map!$F$18:$H$51,3,0)</f>
        <v>Variable</v>
      </c>
      <c r="X507" s="370" t="s">
        <v>457</v>
      </c>
      <c r="Y507" s="364" t="str">
        <f>VLOOKUP(L507,Map!$C$18:$D$29,2,0)</f>
        <v>DMT</v>
      </c>
      <c r="Z507" s="365"/>
      <c r="AA507" s="366">
        <f t="shared" si="142"/>
        <v>0</v>
      </c>
      <c r="AB507" s="366">
        <f t="shared" si="143"/>
        <v>0</v>
      </c>
      <c r="AC507" s="386">
        <f t="shared" si="144"/>
        <v>0</v>
      </c>
      <c r="AD507" s="367">
        <f t="shared" si="145"/>
        <v>0</v>
      </c>
      <c r="AE507" s="368">
        <f t="shared" si="146"/>
        <v>0</v>
      </c>
      <c r="AF507" s="385"/>
    </row>
    <row r="508" spans="2:32" s="37" customFormat="1" x14ac:dyDescent="0.35">
      <c r="B508" s="387">
        <v>2026</v>
      </c>
      <c r="C508" s="389" t="s">
        <v>406</v>
      </c>
      <c r="D508" s="389" t="s">
        <v>87</v>
      </c>
      <c r="E508" s="388" t="s">
        <v>177</v>
      </c>
      <c r="F508" s="388" t="s">
        <v>457</v>
      </c>
      <c r="G508" s="390">
        <v>46259</v>
      </c>
      <c r="H508" s="391">
        <v>2943361</v>
      </c>
      <c r="I508" s="388" t="s">
        <v>180</v>
      </c>
      <c r="J508" s="392" t="str">
        <f>IFERROR(VLOOKUP(I508,Map!$F$18:$G$56,2,0),"Add in Map")</f>
        <v>OBS</v>
      </c>
      <c r="K508" s="392" t="str">
        <f>VLOOKUP(L508,Map!$C$18:$D$29,2,0)</f>
        <v>TOTAL</v>
      </c>
      <c r="L508" s="388" t="s">
        <v>56</v>
      </c>
      <c r="M508" s="393">
        <f>SUM(M497:M507)</f>
        <v>7255543</v>
      </c>
      <c r="N508" s="393">
        <f t="shared" si="137"/>
        <v>1378553.17</v>
      </c>
      <c r="O508" s="393">
        <f t="shared" si="138"/>
        <v>8634096.1699999999</v>
      </c>
      <c r="P508" s="394">
        <f t="shared" si="139"/>
        <v>7895.0413492927091</v>
      </c>
      <c r="Q508" s="394">
        <f t="shared" si="140"/>
        <v>1500.0578563656147</v>
      </c>
      <c r="R508" s="395">
        <f t="shared" si="141"/>
        <v>9395.0992056583236</v>
      </c>
      <c r="S508" s="396">
        <f>INDEX(FX!$D$3:$O$19,MATCH(B508,FX!$B$3:$B$32,0),MATCH(D508,FX!$D$2:$O$2,0))</f>
        <v>919</v>
      </c>
      <c r="T508" s="388" t="s">
        <v>81</v>
      </c>
      <c r="U508" s="388" t="s">
        <v>32</v>
      </c>
      <c r="V508" s="388" t="s">
        <v>83</v>
      </c>
      <c r="W508" s="392" t="str">
        <f>VLOOKUP(I508,Map!$F$18:$H$51,3,0)</f>
        <v>Variable</v>
      </c>
      <c r="X508" s="397" t="s">
        <v>457</v>
      </c>
      <c r="Y508" s="392" t="str">
        <f>VLOOKUP(L508,Map!$C$18:$D$29,2,0)</f>
        <v>TOTAL</v>
      </c>
      <c r="Z508" s="393">
        <f>SUM(Z497:Z507)</f>
        <v>0</v>
      </c>
      <c r="AA508" s="393">
        <f t="shared" si="142"/>
        <v>0</v>
      </c>
      <c r="AB508" s="393">
        <f t="shared" si="143"/>
        <v>0</v>
      </c>
      <c r="AC508" s="394">
        <f t="shared" si="144"/>
        <v>0</v>
      </c>
      <c r="AD508" s="394">
        <f t="shared" si="145"/>
        <v>0</v>
      </c>
      <c r="AE508" s="395">
        <f t="shared" si="146"/>
        <v>0</v>
      </c>
      <c r="AF508" s="398" t="s">
        <v>485</v>
      </c>
    </row>
    <row r="509" spans="2:32" s="5" customFormat="1" ht="13" hidden="1" x14ac:dyDescent="0.3">
      <c r="B509" s="400">
        <v>2026</v>
      </c>
      <c r="C509" s="402" t="s">
        <v>401</v>
      </c>
      <c r="D509" s="402" t="s">
        <v>87</v>
      </c>
      <c r="E509" s="401" t="s">
        <v>177</v>
      </c>
      <c r="F509" s="401" t="s">
        <v>172</v>
      </c>
      <c r="G509" s="403"/>
      <c r="H509" s="404"/>
      <c r="I509" s="401" t="s">
        <v>315</v>
      </c>
      <c r="J509" s="405" t="str">
        <f>IFERROR(VLOOKUP(I509,Map!$F$18:$G$56,2,0),"Add in Map")</f>
        <v>OBS</v>
      </c>
      <c r="K509" s="405" t="str">
        <f>VLOOKUP(L509,Map!$C$18:$D$29,2,0)</f>
        <v>CNT</v>
      </c>
      <c r="L509" s="401" t="s">
        <v>31</v>
      </c>
      <c r="M509" s="406">
        <v>494628.51860062784</v>
      </c>
      <c r="N509" s="407">
        <f t="shared" si="137"/>
        <v>0</v>
      </c>
      <c r="O509" s="407">
        <f t="shared" si="138"/>
        <v>588607.93713474704</v>
      </c>
      <c r="P509" s="408">
        <f t="shared" si="139"/>
        <v>538.22472100177129</v>
      </c>
      <c r="Q509" s="408">
        <f t="shared" si="140"/>
        <v>0</v>
      </c>
      <c r="R509" s="409">
        <f t="shared" si="141"/>
        <v>640.48741799210779</v>
      </c>
      <c r="S509" s="410">
        <f>INDEX(FX!$D$3:$O$19,MATCH(B509,FX!$B$3:$B$32,0),MATCH(D509,FX!$D$2:$O$2,0))</f>
        <v>919</v>
      </c>
      <c r="T509" s="401" t="s">
        <v>81</v>
      </c>
      <c r="U509" s="401" t="s">
        <v>32</v>
      </c>
      <c r="V509" s="401" t="s">
        <v>83</v>
      </c>
      <c r="W509" s="405" t="str">
        <f>VLOOKUP(I509,Map!$F$18:$H$51,3,0)</f>
        <v>Variable</v>
      </c>
      <c r="X509" s="411" t="s">
        <v>172</v>
      </c>
      <c r="Y509" s="405" t="str">
        <f>VLOOKUP(L509,Map!$C$18:$D$29,2,0)</f>
        <v>CNT</v>
      </c>
      <c r="Z509" s="406"/>
      <c r="AA509" s="407">
        <f t="shared" si="142"/>
        <v>0</v>
      </c>
      <c r="AB509" s="407">
        <f t="shared" si="143"/>
        <v>0</v>
      </c>
      <c r="AC509" s="408">
        <f t="shared" si="144"/>
        <v>0</v>
      </c>
      <c r="AD509" s="408">
        <f t="shared" si="145"/>
        <v>0</v>
      </c>
      <c r="AE509" s="409">
        <f t="shared" si="146"/>
        <v>0</v>
      </c>
      <c r="AF509" s="412"/>
    </row>
    <row r="510" spans="2:32" s="1" customFormat="1" ht="13" hidden="1" x14ac:dyDescent="0.3">
      <c r="B510" s="383">
        <v>2026</v>
      </c>
      <c r="C510" s="361" t="s">
        <v>401</v>
      </c>
      <c r="D510" s="361" t="s">
        <v>87</v>
      </c>
      <c r="E510" s="360" t="s">
        <v>177</v>
      </c>
      <c r="F510" s="360" t="s">
        <v>172</v>
      </c>
      <c r="G510" s="362"/>
      <c r="H510" s="363"/>
      <c r="I510" s="360" t="s">
        <v>315</v>
      </c>
      <c r="J510" s="364" t="str">
        <f>IFERROR(VLOOKUP(I510,Map!$F$18:$G$56,2,0),"Add in Map")</f>
        <v>OBS</v>
      </c>
      <c r="K510" s="364" t="str">
        <f>VLOOKUP(L510,Map!$C$18:$D$29,2,0)</f>
        <v>CVT</v>
      </c>
      <c r="L510" s="360" t="s">
        <v>36</v>
      </c>
      <c r="M510" s="365">
        <v>180.18892859883599</v>
      </c>
      <c r="N510" s="366">
        <f t="shared" si="137"/>
        <v>0</v>
      </c>
      <c r="O510" s="366">
        <f t="shared" si="138"/>
        <v>214.42482503261482</v>
      </c>
      <c r="P510" s="367">
        <f t="shared" si="139"/>
        <v>0.1960706513589075</v>
      </c>
      <c r="Q510" s="367">
        <f t="shared" si="140"/>
        <v>0</v>
      </c>
      <c r="R510" s="368">
        <f t="shared" si="141"/>
        <v>0.2333240751170999</v>
      </c>
      <c r="S510" s="384">
        <f>INDEX(FX!$D$3:$O$19,MATCH(B510,FX!$B$3:$B$32,0),MATCH(D510,FX!$D$2:$O$2,0))</f>
        <v>919</v>
      </c>
      <c r="T510" s="360" t="s">
        <v>81</v>
      </c>
      <c r="U510" s="360" t="s">
        <v>32</v>
      </c>
      <c r="V510" s="360" t="s">
        <v>83</v>
      </c>
      <c r="W510" s="364" t="str">
        <f>VLOOKUP(I510,Map!$F$18:$H$51,3,0)</f>
        <v>Variable</v>
      </c>
      <c r="X510" s="370" t="s">
        <v>172</v>
      </c>
      <c r="Y510" s="364" t="str">
        <f>VLOOKUP(L510,Map!$C$18:$D$29,2,0)</f>
        <v>CVT</v>
      </c>
      <c r="Z510" s="365"/>
      <c r="AA510" s="366">
        <f t="shared" si="142"/>
        <v>0</v>
      </c>
      <c r="AB510" s="366">
        <f t="shared" si="143"/>
        <v>0</v>
      </c>
      <c r="AC510" s="367">
        <f t="shared" si="144"/>
        <v>0</v>
      </c>
      <c r="AD510" s="367">
        <f t="shared" si="145"/>
        <v>0</v>
      </c>
      <c r="AE510" s="368">
        <f t="shared" si="146"/>
        <v>0</v>
      </c>
      <c r="AF510" s="385"/>
    </row>
    <row r="511" spans="2:32" s="1" customFormat="1" ht="13" hidden="1" x14ac:dyDescent="0.3">
      <c r="B511" s="383">
        <v>2026</v>
      </c>
      <c r="C511" s="361" t="s">
        <v>401</v>
      </c>
      <c r="D511" s="361" t="s">
        <v>87</v>
      </c>
      <c r="E511" s="360" t="s">
        <v>177</v>
      </c>
      <c r="F511" s="360" t="s">
        <v>172</v>
      </c>
      <c r="G511" s="362"/>
      <c r="H511" s="363"/>
      <c r="I511" s="360" t="s">
        <v>315</v>
      </c>
      <c r="J511" s="364" t="str">
        <f>IFERROR(VLOOKUP(I511,Map!$F$18:$G$56,2,0),"Add in Map")</f>
        <v>OBS</v>
      </c>
      <c r="K511" s="364" t="str">
        <f>VLOOKUP(L511,Map!$C$18:$D$29,2,0)</f>
        <v>CDT</v>
      </c>
      <c r="L511" s="360" t="s">
        <v>38</v>
      </c>
      <c r="M511" s="365">
        <v>21041.756728463952</v>
      </c>
      <c r="N511" s="366">
        <f t="shared" si="137"/>
        <v>0</v>
      </c>
      <c r="O511" s="366">
        <f t="shared" si="138"/>
        <v>25039.690506872103</v>
      </c>
      <c r="P511" s="367">
        <f t="shared" si="139"/>
        <v>22.896362054911808</v>
      </c>
      <c r="Q511" s="367">
        <f t="shared" si="140"/>
        <v>0</v>
      </c>
      <c r="R511" s="368">
        <f t="shared" si="141"/>
        <v>27.246670845345051</v>
      </c>
      <c r="S511" s="384">
        <f>INDEX(FX!$D$3:$O$19,MATCH(B511,FX!$B$3:$B$32,0),MATCH(D511,FX!$D$2:$O$2,0))</f>
        <v>919</v>
      </c>
      <c r="T511" s="360" t="s">
        <v>81</v>
      </c>
      <c r="U511" s="360" t="s">
        <v>32</v>
      </c>
      <c r="V511" s="360" t="s">
        <v>83</v>
      </c>
      <c r="W511" s="364" t="str">
        <f>VLOOKUP(I511,Map!$F$18:$H$51,3,0)</f>
        <v>Variable</v>
      </c>
      <c r="X511" s="370" t="s">
        <v>172</v>
      </c>
      <c r="Y511" s="364" t="str">
        <f>VLOOKUP(L511,Map!$C$18:$D$29,2,0)</f>
        <v>CDT</v>
      </c>
      <c r="Z511" s="365"/>
      <c r="AA511" s="366">
        <f t="shared" si="142"/>
        <v>0</v>
      </c>
      <c r="AB511" s="366">
        <f t="shared" si="143"/>
        <v>0</v>
      </c>
      <c r="AC511" s="367">
        <f t="shared" si="144"/>
        <v>0</v>
      </c>
      <c r="AD511" s="367">
        <f t="shared" si="145"/>
        <v>0</v>
      </c>
      <c r="AE511" s="368">
        <f t="shared" si="146"/>
        <v>0</v>
      </c>
      <c r="AF511" s="385"/>
    </row>
    <row r="512" spans="2:32" s="1" customFormat="1" ht="13" hidden="1" x14ac:dyDescent="0.3">
      <c r="B512" s="383">
        <v>2026</v>
      </c>
      <c r="C512" s="361" t="s">
        <v>401</v>
      </c>
      <c r="D512" s="361" t="s">
        <v>87</v>
      </c>
      <c r="E512" s="360" t="s">
        <v>177</v>
      </c>
      <c r="F512" s="360" t="s">
        <v>172</v>
      </c>
      <c r="G512" s="362"/>
      <c r="H512" s="363"/>
      <c r="I512" s="360" t="s">
        <v>315</v>
      </c>
      <c r="J512" s="364" t="str">
        <f>IFERROR(VLOOKUP(I512,Map!$F$18:$G$56,2,0),"Add in Map")</f>
        <v>OBS</v>
      </c>
      <c r="K512" s="364" t="str">
        <f>VLOOKUP(L512,Map!$C$18:$D$29,2,0)</f>
        <v>DFT</v>
      </c>
      <c r="L512" s="360" t="s">
        <v>40</v>
      </c>
      <c r="M512" s="365">
        <v>1033663.0366287578</v>
      </c>
      <c r="N512" s="366">
        <f t="shared" si="137"/>
        <v>0</v>
      </c>
      <c r="O512" s="366">
        <f t="shared" si="138"/>
        <v>1230059.0135882217</v>
      </c>
      <c r="P512" s="367">
        <f t="shared" si="139"/>
        <v>1124.7693543294426</v>
      </c>
      <c r="Q512" s="367">
        <f t="shared" si="140"/>
        <v>0</v>
      </c>
      <c r="R512" s="368">
        <f t="shared" si="141"/>
        <v>1338.4755316520366</v>
      </c>
      <c r="S512" s="384">
        <f>INDEX(FX!$D$3:$O$19,MATCH(B512,FX!$B$3:$B$32,0),MATCH(D512,FX!$D$2:$O$2,0))</f>
        <v>919</v>
      </c>
      <c r="T512" s="360" t="s">
        <v>81</v>
      </c>
      <c r="U512" s="360" t="s">
        <v>32</v>
      </c>
      <c r="V512" s="360" t="s">
        <v>83</v>
      </c>
      <c r="W512" s="364" t="str">
        <f>VLOOKUP(I512,Map!$F$18:$H$51,3,0)</f>
        <v>Variable</v>
      </c>
      <c r="X512" s="370" t="s">
        <v>172</v>
      </c>
      <c r="Y512" s="364" t="str">
        <f>VLOOKUP(L512,Map!$C$18:$D$29,2,0)</f>
        <v>DFT</v>
      </c>
      <c r="Z512" s="365"/>
      <c r="AA512" s="366">
        <f t="shared" si="142"/>
        <v>0</v>
      </c>
      <c r="AB512" s="366">
        <f t="shared" si="143"/>
        <v>0</v>
      </c>
      <c r="AC512" s="367">
        <f t="shared" si="144"/>
        <v>0</v>
      </c>
      <c r="AD512" s="367">
        <f t="shared" si="145"/>
        <v>0</v>
      </c>
      <c r="AE512" s="368">
        <f t="shared" si="146"/>
        <v>0</v>
      </c>
      <c r="AF512" s="385"/>
    </row>
    <row r="513" spans="2:32" s="1" customFormat="1" ht="13" hidden="1" x14ac:dyDescent="0.3">
      <c r="B513" s="383">
        <v>2026</v>
      </c>
      <c r="C513" s="361" t="s">
        <v>401</v>
      </c>
      <c r="D513" s="361" t="s">
        <v>87</v>
      </c>
      <c r="E513" s="360" t="s">
        <v>177</v>
      </c>
      <c r="F513" s="360" t="s">
        <v>172</v>
      </c>
      <c r="G513" s="362"/>
      <c r="H513" s="363"/>
      <c r="I513" s="360" t="s">
        <v>315</v>
      </c>
      <c r="J513" s="364" t="str">
        <f>IFERROR(VLOOKUP(I513,Map!$F$18:$G$56,2,0),"Add in Map")</f>
        <v>OBS</v>
      </c>
      <c r="K513" s="364" t="str">
        <f>VLOOKUP(L513,Map!$C$18:$D$29,2,0)</f>
        <v>DVT</v>
      </c>
      <c r="L513" s="360" t="s">
        <v>42</v>
      </c>
      <c r="M513" s="365">
        <v>0</v>
      </c>
      <c r="N513" s="366">
        <f t="shared" si="137"/>
        <v>0</v>
      </c>
      <c r="O513" s="366">
        <f t="shared" si="138"/>
        <v>0</v>
      </c>
      <c r="P513" s="367">
        <f t="shared" si="139"/>
        <v>0</v>
      </c>
      <c r="Q513" s="367">
        <f t="shared" si="140"/>
        <v>0</v>
      </c>
      <c r="R513" s="368">
        <f t="shared" si="141"/>
        <v>0</v>
      </c>
      <c r="S513" s="384">
        <f>INDEX(FX!$D$3:$O$19,MATCH(B513,FX!$B$3:$B$32,0),MATCH(D513,FX!$D$2:$O$2,0))</f>
        <v>919</v>
      </c>
      <c r="T513" s="360" t="s">
        <v>81</v>
      </c>
      <c r="U513" s="360" t="s">
        <v>32</v>
      </c>
      <c r="V513" s="360" t="s">
        <v>83</v>
      </c>
      <c r="W513" s="364" t="str">
        <f>VLOOKUP(I513,Map!$F$18:$H$51,3,0)</f>
        <v>Variable</v>
      </c>
      <c r="X513" s="370" t="s">
        <v>172</v>
      </c>
      <c r="Y513" s="364" t="str">
        <f>VLOOKUP(L513,Map!$C$18:$D$29,2,0)</f>
        <v>DVT</v>
      </c>
      <c r="Z513" s="365"/>
      <c r="AA513" s="366">
        <f t="shared" si="142"/>
        <v>0</v>
      </c>
      <c r="AB513" s="366">
        <f t="shared" si="143"/>
        <v>0</v>
      </c>
      <c r="AC513" s="367">
        <f t="shared" si="144"/>
        <v>0</v>
      </c>
      <c r="AD513" s="367">
        <f t="shared" si="145"/>
        <v>0</v>
      </c>
      <c r="AE513" s="368">
        <f t="shared" si="146"/>
        <v>0</v>
      </c>
      <c r="AF513" s="385"/>
    </row>
    <row r="514" spans="2:32" s="1" customFormat="1" ht="13" hidden="1" x14ac:dyDescent="0.3">
      <c r="B514" s="383">
        <v>2026</v>
      </c>
      <c r="C514" s="361" t="s">
        <v>401</v>
      </c>
      <c r="D514" s="361" t="s">
        <v>87</v>
      </c>
      <c r="E514" s="360" t="s">
        <v>177</v>
      </c>
      <c r="F514" s="360" t="s">
        <v>172</v>
      </c>
      <c r="G514" s="362"/>
      <c r="H514" s="363"/>
      <c r="I514" s="360" t="s">
        <v>315</v>
      </c>
      <c r="J514" s="364" t="str">
        <f>IFERROR(VLOOKUP(I514,Map!$F$18:$G$56,2,0),"Add in Map")</f>
        <v>OBS</v>
      </c>
      <c r="K514" s="364" t="str">
        <f>VLOOKUP(L514,Map!$C$18:$D$29,2,0)</f>
        <v>GLT</v>
      </c>
      <c r="L514" s="360" t="s">
        <v>44</v>
      </c>
      <c r="M514" s="365">
        <v>655387.65331914194</v>
      </c>
      <c r="N514" s="366">
        <f t="shared" si="137"/>
        <v>0</v>
      </c>
      <c r="O514" s="366">
        <f t="shared" si="138"/>
        <v>779911.30744977889</v>
      </c>
      <c r="P514" s="367">
        <f t="shared" si="139"/>
        <v>713.15305040167789</v>
      </c>
      <c r="Q514" s="367">
        <f t="shared" si="140"/>
        <v>0</v>
      </c>
      <c r="R514" s="368">
        <f t="shared" si="141"/>
        <v>848.65212997799665</v>
      </c>
      <c r="S514" s="384">
        <f>INDEX(FX!$D$3:$O$19,MATCH(B514,FX!$B$3:$B$32,0),MATCH(D514,FX!$D$2:$O$2,0))</f>
        <v>919</v>
      </c>
      <c r="T514" s="360" t="s">
        <v>81</v>
      </c>
      <c r="U514" s="360" t="s">
        <v>32</v>
      </c>
      <c r="V514" s="360" t="s">
        <v>83</v>
      </c>
      <c r="W514" s="364" t="str">
        <f>VLOOKUP(I514,Map!$F$18:$H$51,3,0)</f>
        <v>Variable</v>
      </c>
      <c r="X514" s="370" t="s">
        <v>172</v>
      </c>
      <c r="Y514" s="364" t="str">
        <f>VLOOKUP(L514,Map!$C$18:$D$29,2,0)</f>
        <v>GLT</v>
      </c>
      <c r="Z514" s="365"/>
      <c r="AA514" s="366">
        <f t="shared" si="142"/>
        <v>0</v>
      </c>
      <c r="AB514" s="366">
        <f t="shared" si="143"/>
        <v>0</v>
      </c>
      <c r="AC514" s="367">
        <f t="shared" si="144"/>
        <v>0</v>
      </c>
      <c r="AD514" s="367">
        <f t="shared" si="145"/>
        <v>0</v>
      </c>
      <c r="AE514" s="368">
        <f t="shared" si="146"/>
        <v>0</v>
      </c>
      <c r="AF514" s="385"/>
    </row>
    <row r="515" spans="2:32" s="1" customFormat="1" ht="13" hidden="1" x14ac:dyDescent="0.3">
      <c r="B515" s="383">
        <v>2026</v>
      </c>
      <c r="C515" s="361" t="s">
        <v>401</v>
      </c>
      <c r="D515" s="361" t="s">
        <v>87</v>
      </c>
      <c r="E515" s="360" t="s">
        <v>177</v>
      </c>
      <c r="F515" s="360" t="s">
        <v>172</v>
      </c>
      <c r="G515" s="362"/>
      <c r="H515" s="363"/>
      <c r="I515" s="360" t="s">
        <v>315</v>
      </c>
      <c r="J515" s="364" t="str">
        <f>IFERROR(VLOOKUP(I515,Map!$F$18:$G$56,2,0),"Add in Map")</f>
        <v>OBS</v>
      </c>
      <c r="K515" s="364" t="str">
        <f>VLOOKUP(L515,Map!$C$18:$D$29,2,0)</f>
        <v>PNT</v>
      </c>
      <c r="L515" s="360" t="s">
        <v>46</v>
      </c>
      <c r="M515" s="365">
        <v>52289.791906430728</v>
      </c>
      <c r="N515" s="366">
        <f t="shared" si="137"/>
        <v>0</v>
      </c>
      <c r="O515" s="366">
        <f t="shared" si="138"/>
        <v>62224.852368652566</v>
      </c>
      <c r="P515" s="367">
        <f t="shared" si="139"/>
        <v>56.898576612002969</v>
      </c>
      <c r="Q515" s="367">
        <f t="shared" si="140"/>
        <v>0</v>
      </c>
      <c r="R515" s="368">
        <f t="shared" si="141"/>
        <v>67.709306168283533</v>
      </c>
      <c r="S515" s="384">
        <f>INDEX(FX!$D$3:$O$19,MATCH(B515,FX!$B$3:$B$32,0),MATCH(D515,FX!$D$2:$O$2,0))</f>
        <v>919</v>
      </c>
      <c r="T515" s="360" t="s">
        <v>81</v>
      </c>
      <c r="U515" s="360" t="s">
        <v>32</v>
      </c>
      <c r="V515" s="360" t="s">
        <v>83</v>
      </c>
      <c r="W515" s="364" t="str">
        <f>VLOOKUP(I515,Map!$F$18:$H$51,3,0)</f>
        <v>Variable</v>
      </c>
      <c r="X515" s="370" t="s">
        <v>172</v>
      </c>
      <c r="Y515" s="364" t="str">
        <f>VLOOKUP(L515,Map!$C$18:$D$29,2,0)</f>
        <v>PNT</v>
      </c>
      <c r="Z515" s="365"/>
      <c r="AA515" s="366">
        <f t="shared" si="142"/>
        <v>0</v>
      </c>
      <c r="AB515" s="366">
        <f t="shared" si="143"/>
        <v>0</v>
      </c>
      <c r="AC515" s="367">
        <f t="shared" si="144"/>
        <v>0</v>
      </c>
      <c r="AD515" s="367">
        <f t="shared" si="145"/>
        <v>0</v>
      </c>
      <c r="AE515" s="368">
        <f t="shared" si="146"/>
        <v>0</v>
      </c>
      <c r="AF515" s="385"/>
    </row>
    <row r="516" spans="2:32" s="1" customFormat="1" ht="13" hidden="1" x14ac:dyDescent="0.3">
      <c r="B516" s="383">
        <v>2026</v>
      </c>
      <c r="C516" s="361" t="s">
        <v>401</v>
      </c>
      <c r="D516" s="361" t="s">
        <v>87</v>
      </c>
      <c r="E516" s="360" t="s">
        <v>177</v>
      </c>
      <c r="F516" s="360" t="s">
        <v>172</v>
      </c>
      <c r="G516" s="362"/>
      <c r="H516" s="363"/>
      <c r="I516" s="360" t="s">
        <v>315</v>
      </c>
      <c r="J516" s="364" t="str">
        <f>IFERROR(VLOOKUP(I516,Map!$F$18:$G$56,2,0),"Add in Map")</f>
        <v>OBS</v>
      </c>
      <c r="K516" s="364" t="str">
        <f>VLOOKUP(L516,Map!$C$18:$D$29,2,0)</f>
        <v>GTT</v>
      </c>
      <c r="L516" s="360" t="s">
        <v>48</v>
      </c>
      <c r="M516" s="365">
        <v>69205.235407487155</v>
      </c>
      <c r="N516" s="366">
        <f t="shared" si="137"/>
        <v>0</v>
      </c>
      <c r="O516" s="366">
        <f t="shared" si="138"/>
        <v>82354.230134909711</v>
      </c>
      <c r="P516" s="367">
        <f t="shared" si="139"/>
        <v>75.304935155045868</v>
      </c>
      <c r="Q516" s="367">
        <f t="shared" si="140"/>
        <v>0</v>
      </c>
      <c r="R516" s="368">
        <f t="shared" si="141"/>
        <v>89.612872834504586</v>
      </c>
      <c r="S516" s="384">
        <f>INDEX(FX!$D$3:$O$19,MATCH(B516,FX!$B$3:$B$32,0),MATCH(D516,FX!$D$2:$O$2,0))</f>
        <v>919</v>
      </c>
      <c r="T516" s="360" t="s">
        <v>81</v>
      </c>
      <c r="U516" s="360" t="s">
        <v>32</v>
      </c>
      <c r="V516" s="360" t="s">
        <v>83</v>
      </c>
      <c r="W516" s="364" t="str">
        <f>VLOOKUP(I516,Map!$F$18:$H$51,3,0)</f>
        <v>Variable</v>
      </c>
      <c r="X516" s="370" t="s">
        <v>172</v>
      </c>
      <c r="Y516" s="364" t="str">
        <f>VLOOKUP(L516,Map!$C$18:$D$29,2,0)</f>
        <v>GTT</v>
      </c>
      <c r="Z516" s="365"/>
      <c r="AA516" s="366">
        <f t="shared" si="142"/>
        <v>0</v>
      </c>
      <c r="AB516" s="366">
        <f t="shared" si="143"/>
        <v>0</v>
      </c>
      <c r="AC516" s="367">
        <f t="shared" si="144"/>
        <v>0</v>
      </c>
      <c r="AD516" s="367">
        <f t="shared" si="145"/>
        <v>0</v>
      </c>
      <c r="AE516" s="368">
        <f t="shared" si="146"/>
        <v>0</v>
      </c>
      <c r="AF516" s="385"/>
    </row>
    <row r="517" spans="2:32" s="1" customFormat="1" ht="13" hidden="1" x14ac:dyDescent="0.3">
      <c r="B517" s="383">
        <v>2026</v>
      </c>
      <c r="C517" s="361" t="s">
        <v>401</v>
      </c>
      <c r="D517" s="361" t="s">
        <v>87</v>
      </c>
      <c r="E517" s="360" t="s">
        <v>177</v>
      </c>
      <c r="F517" s="360" t="s">
        <v>172</v>
      </c>
      <c r="G517" s="362"/>
      <c r="H517" s="363"/>
      <c r="I517" s="360" t="s">
        <v>315</v>
      </c>
      <c r="J517" s="364" t="str">
        <f>IFERROR(VLOOKUP(I517,Map!$F$18:$G$56,2,0),"Add in Map")</f>
        <v>OBS</v>
      </c>
      <c r="K517" s="364" t="str">
        <f>VLOOKUP(L517,Map!$C$18:$D$29,2,0)</f>
        <v>DGT</v>
      </c>
      <c r="L517" s="360" t="s">
        <v>50</v>
      </c>
      <c r="M517" s="365">
        <v>49824.612057038546</v>
      </c>
      <c r="N517" s="366">
        <f t="shared" si="137"/>
        <v>0</v>
      </c>
      <c r="O517" s="366">
        <f t="shared" si="138"/>
        <v>59291.288347875867</v>
      </c>
      <c r="P517" s="367">
        <f t="shared" si="139"/>
        <v>54.216117581108321</v>
      </c>
      <c r="Q517" s="367">
        <f t="shared" si="140"/>
        <v>0</v>
      </c>
      <c r="R517" s="368">
        <f t="shared" si="141"/>
        <v>64.517179921518903</v>
      </c>
      <c r="S517" s="384">
        <f>INDEX(FX!$D$3:$O$19,MATCH(B517,FX!$B$3:$B$32,0),MATCH(D517,FX!$D$2:$O$2,0))</f>
        <v>919</v>
      </c>
      <c r="T517" s="360" t="s">
        <v>81</v>
      </c>
      <c r="U517" s="360" t="s">
        <v>32</v>
      </c>
      <c r="V517" s="360" t="s">
        <v>83</v>
      </c>
      <c r="W517" s="364" t="str">
        <f>VLOOKUP(I517,Map!$F$18:$H$51,3,0)</f>
        <v>Variable</v>
      </c>
      <c r="X517" s="370" t="s">
        <v>172</v>
      </c>
      <c r="Y517" s="364" t="str">
        <f>VLOOKUP(L517,Map!$C$18:$D$29,2,0)</f>
        <v>DGT</v>
      </c>
      <c r="Z517" s="365"/>
      <c r="AA517" s="366">
        <f t="shared" si="142"/>
        <v>0</v>
      </c>
      <c r="AB517" s="366">
        <f t="shared" si="143"/>
        <v>0</v>
      </c>
      <c r="AC517" s="367">
        <f t="shared" si="144"/>
        <v>0</v>
      </c>
      <c r="AD517" s="367">
        <f t="shared" si="145"/>
        <v>0</v>
      </c>
      <c r="AE517" s="368">
        <f t="shared" si="146"/>
        <v>0</v>
      </c>
      <c r="AF517" s="385"/>
    </row>
    <row r="518" spans="2:32" s="1" customFormat="1" ht="13" hidden="1" x14ac:dyDescent="0.3">
      <c r="B518" s="383">
        <v>2026</v>
      </c>
      <c r="C518" s="361" t="s">
        <v>401</v>
      </c>
      <c r="D518" s="361" t="s">
        <v>87</v>
      </c>
      <c r="E518" s="360" t="s">
        <v>177</v>
      </c>
      <c r="F518" s="360" t="s">
        <v>172</v>
      </c>
      <c r="G518" s="362"/>
      <c r="H518" s="363"/>
      <c r="I518" s="360" t="s">
        <v>315</v>
      </c>
      <c r="J518" s="364" t="str">
        <f>IFERROR(VLOOKUP(I518,Map!$F$18:$G$56,2,0),"Add in Map")</f>
        <v>OBS</v>
      </c>
      <c r="K518" s="364" t="str">
        <f>VLOOKUP(L518,Map!$C$18:$D$29,2,0)</f>
        <v>DLT</v>
      </c>
      <c r="L518" s="360" t="s">
        <v>52</v>
      </c>
      <c r="M518" s="365">
        <v>2369.2064234534355</v>
      </c>
      <c r="N518" s="366">
        <f t="shared" si="137"/>
        <v>0</v>
      </c>
      <c r="O518" s="366">
        <f t="shared" si="138"/>
        <v>2819.3556439095883</v>
      </c>
      <c r="P518" s="367">
        <f t="shared" si="139"/>
        <v>2.5780265761190813</v>
      </c>
      <c r="Q518" s="367">
        <f t="shared" si="140"/>
        <v>0</v>
      </c>
      <c r="R518" s="368">
        <f t="shared" si="141"/>
        <v>3.0678516255817065</v>
      </c>
      <c r="S518" s="384">
        <f>INDEX(FX!$D$3:$O$19,MATCH(B518,FX!$B$3:$B$32,0),MATCH(D518,FX!$D$2:$O$2,0))</f>
        <v>919</v>
      </c>
      <c r="T518" s="360" t="s">
        <v>81</v>
      </c>
      <c r="U518" s="360" t="s">
        <v>32</v>
      </c>
      <c r="V518" s="360" t="s">
        <v>83</v>
      </c>
      <c r="W518" s="364" t="str">
        <f>VLOOKUP(I518,Map!$F$18:$H$51,3,0)</f>
        <v>Variable</v>
      </c>
      <c r="X518" s="370" t="s">
        <v>172</v>
      </c>
      <c r="Y518" s="364" t="str">
        <f>VLOOKUP(L518,Map!$C$18:$D$29,2,0)</f>
        <v>DLT</v>
      </c>
      <c r="Z518" s="365"/>
      <c r="AA518" s="366">
        <f t="shared" si="142"/>
        <v>0</v>
      </c>
      <c r="AB518" s="366">
        <f t="shared" si="143"/>
        <v>0</v>
      </c>
      <c r="AC518" s="367">
        <f t="shared" si="144"/>
        <v>0</v>
      </c>
      <c r="AD518" s="367">
        <f t="shared" si="145"/>
        <v>0</v>
      </c>
      <c r="AE518" s="368">
        <f t="shared" si="146"/>
        <v>0</v>
      </c>
      <c r="AF518" s="385"/>
    </row>
    <row r="519" spans="2:32" s="1" customFormat="1" ht="13" hidden="1" x14ac:dyDescent="0.3">
      <c r="B519" s="383">
        <v>2026</v>
      </c>
      <c r="C519" s="361" t="s">
        <v>401</v>
      </c>
      <c r="D519" s="361" t="s">
        <v>87</v>
      </c>
      <c r="E519" s="360" t="s">
        <v>177</v>
      </c>
      <c r="F519" s="360" t="s">
        <v>172</v>
      </c>
      <c r="G519" s="362"/>
      <c r="H519" s="363"/>
      <c r="I519" s="360" t="s">
        <v>315</v>
      </c>
      <c r="J519" s="364" t="str">
        <f>IFERROR(VLOOKUP(I519,Map!$F$18:$G$56,2,0),"Add in Map")</f>
        <v>OBS</v>
      </c>
      <c r="K519" s="364" t="str">
        <f>VLOOKUP(L519,Map!$C$18:$D$29,2,0)</f>
        <v>DMT</v>
      </c>
      <c r="L519" s="360" t="s">
        <v>54</v>
      </c>
      <c r="M519" s="365"/>
      <c r="N519" s="366">
        <f t="shared" si="137"/>
        <v>0</v>
      </c>
      <c r="O519" s="366">
        <f t="shared" si="138"/>
        <v>0</v>
      </c>
      <c r="P519" s="386">
        <f t="shared" si="139"/>
        <v>0</v>
      </c>
      <c r="Q519" s="367">
        <f t="shared" si="140"/>
        <v>0</v>
      </c>
      <c r="R519" s="368">
        <f t="shared" si="141"/>
        <v>0</v>
      </c>
      <c r="S519" s="384">
        <f>INDEX(FX!$D$3:$O$19,MATCH(B519,FX!$B$3:$B$32,0),MATCH(D519,FX!$D$2:$O$2,0))</f>
        <v>919</v>
      </c>
      <c r="T519" s="360" t="s">
        <v>81</v>
      </c>
      <c r="U519" s="360" t="s">
        <v>32</v>
      </c>
      <c r="V519" s="360" t="s">
        <v>83</v>
      </c>
      <c r="W519" s="364" t="str">
        <f>VLOOKUP(I519,Map!$F$18:$H$51,3,0)</f>
        <v>Variable</v>
      </c>
      <c r="X519" s="370" t="s">
        <v>172</v>
      </c>
      <c r="Y519" s="364" t="str">
        <f>VLOOKUP(L519,Map!$C$18:$D$29,2,0)</f>
        <v>DMT</v>
      </c>
      <c r="Z519" s="365"/>
      <c r="AA519" s="366">
        <f t="shared" si="142"/>
        <v>0</v>
      </c>
      <c r="AB519" s="366">
        <f t="shared" si="143"/>
        <v>0</v>
      </c>
      <c r="AC519" s="386">
        <f t="shared" si="144"/>
        <v>0</v>
      </c>
      <c r="AD519" s="367">
        <f t="shared" si="145"/>
        <v>0</v>
      </c>
      <c r="AE519" s="368">
        <f t="shared" si="146"/>
        <v>0</v>
      </c>
      <c r="AF519" s="385"/>
    </row>
    <row r="520" spans="2:32" s="37" customFormat="1" hidden="1" x14ac:dyDescent="0.35">
      <c r="B520" s="387">
        <v>2026</v>
      </c>
      <c r="C520" s="389" t="s">
        <v>401</v>
      </c>
      <c r="D520" s="389" t="s">
        <v>87</v>
      </c>
      <c r="E520" s="388" t="s">
        <v>177</v>
      </c>
      <c r="F520" s="388" t="s">
        <v>172</v>
      </c>
      <c r="G520" s="390"/>
      <c r="H520" s="391"/>
      <c r="I520" s="388" t="s">
        <v>315</v>
      </c>
      <c r="J520" s="392" t="str">
        <f>IFERROR(VLOOKUP(I520,Map!$F$18:$G$56,2,0),"Add in Map")</f>
        <v>OBS</v>
      </c>
      <c r="K520" s="392" t="str">
        <f>VLOOKUP(L520,Map!$C$18:$D$29,2,0)</f>
        <v>TOTAL</v>
      </c>
      <c r="L520" s="388" t="s">
        <v>56</v>
      </c>
      <c r="M520" s="393">
        <f>SUM(M509:M519)</f>
        <v>2378590.0000000005</v>
      </c>
      <c r="N520" s="393">
        <f t="shared" si="137"/>
        <v>451932.10000000009</v>
      </c>
      <c r="O520" s="393">
        <f t="shared" si="138"/>
        <v>2830522.1000000006</v>
      </c>
      <c r="P520" s="394">
        <f t="shared" si="139"/>
        <v>2588.2372143634389</v>
      </c>
      <c r="Q520" s="394">
        <f t="shared" si="140"/>
        <v>491.76507072905338</v>
      </c>
      <c r="R520" s="395">
        <f t="shared" si="141"/>
        <v>3080.002285092492</v>
      </c>
      <c r="S520" s="396">
        <f>INDEX(FX!$D$3:$O$19,MATCH(B520,FX!$B$3:$B$32,0),MATCH(D520,FX!$D$2:$O$2,0))</f>
        <v>919</v>
      </c>
      <c r="T520" s="388" t="s">
        <v>81</v>
      </c>
      <c r="U520" s="388" t="s">
        <v>32</v>
      </c>
      <c r="V520" s="388" t="s">
        <v>83</v>
      </c>
      <c r="W520" s="392" t="str">
        <f>VLOOKUP(I520,Map!$F$18:$H$51,3,0)</f>
        <v>Variable</v>
      </c>
      <c r="X520" s="397" t="s">
        <v>172</v>
      </c>
      <c r="Y520" s="392" t="str">
        <f>VLOOKUP(L520,Map!$C$18:$D$29,2,0)</f>
        <v>TOTAL</v>
      </c>
      <c r="Z520" s="393">
        <f>SUM(Z509:Z519)</f>
        <v>0</v>
      </c>
      <c r="AA520" s="393">
        <f t="shared" si="142"/>
        <v>0</v>
      </c>
      <c r="AB520" s="393">
        <f t="shared" si="143"/>
        <v>0</v>
      </c>
      <c r="AC520" s="394">
        <f t="shared" si="144"/>
        <v>0</v>
      </c>
      <c r="AD520" s="394">
        <f t="shared" si="145"/>
        <v>0</v>
      </c>
      <c r="AE520" s="395">
        <f t="shared" si="146"/>
        <v>0</v>
      </c>
      <c r="AF520" s="398"/>
    </row>
    <row r="521" spans="2:32" s="1" customFormat="1" ht="13" hidden="1" x14ac:dyDescent="0.3">
      <c r="B521" s="383">
        <v>2026</v>
      </c>
      <c r="C521" s="361" t="s">
        <v>395</v>
      </c>
      <c r="D521" s="361" t="s">
        <v>359</v>
      </c>
      <c r="E521" s="360" t="s">
        <v>391</v>
      </c>
      <c r="F521" s="360" t="s">
        <v>172</v>
      </c>
      <c r="G521" s="362" t="s">
        <v>449</v>
      </c>
      <c r="H521" s="363">
        <v>4014</v>
      </c>
      <c r="I521" s="360" t="s">
        <v>148</v>
      </c>
      <c r="J521" s="364" t="str">
        <f>IFERROR(VLOOKUP(I521,Map!$F$18:$G$56,2,0),"Add in Map")</f>
        <v>3P</v>
      </c>
      <c r="K521" s="364" t="str">
        <f>VLOOKUP(L521,Map!$C$18:$D$29,2,0)</f>
        <v>CNT</v>
      </c>
      <c r="L521" s="360" t="s">
        <v>31</v>
      </c>
      <c r="M521" s="365">
        <v>1638147.8984347619</v>
      </c>
      <c r="N521" s="366">
        <f t="shared" si="137"/>
        <v>0</v>
      </c>
      <c r="O521" s="366">
        <f t="shared" si="138"/>
        <v>1949395.9991373667</v>
      </c>
      <c r="P521" s="367">
        <f t="shared" si="139"/>
        <v>1752.0298378981411</v>
      </c>
      <c r="Q521" s="367">
        <f t="shared" si="140"/>
        <v>0</v>
      </c>
      <c r="R521" s="368">
        <f t="shared" si="141"/>
        <v>2084.9155070987877</v>
      </c>
      <c r="S521" s="384">
        <f>INDEX(FX!$D$3:$O$19,MATCH(B521,FX!$B$3:$B$32,0),MATCH(D521,FX!$D$2:$O$2,0))</f>
        <v>935</v>
      </c>
      <c r="T521" s="360" t="s">
        <v>141</v>
      </c>
      <c r="U521" s="360" t="s">
        <v>32</v>
      </c>
      <c r="V521" s="360" t="s">
        <v>83</v>
      </c>
      <c r="W521" s="364" t="str">
        <f>VLOOKUP(I521,Map!$F$18:$H$51,3,0)</f>
        <v>Variable</v>
      </c>
      <c r="X521" s="370" t="s">
        <v>172</v>
      </c>
      <c r="Y521" s="364" t="str">
        <f>VLOOKUP(L521,Map!$C$18:$D$29,2,0)</f>
        <v>CNT</v>
      </c>
      <c r="Z521" s="365"/>
      <c r="AA521" s="366">
        <f t="shared" si="142"/>
        <v>0</v>
      </c>
      <c r="AB521" s="366">
        <f t="shared" si="143"/>
        <v>0</v>
      </c>
      <c r="AC521" s="367">
        <f t="shared" si="144"/>
        <v>0</v>
      </c>
      <c r="AD521" s="367">
        <f t="shared" si="145"/>
        <v>0</v>
      </c>
      <c r="AE521" s="368">
        <f t="shared" si="146"/>
        <v>0</v>
      </c>
      <c r="AF521" s="385"/>
    </row>
    <row r="522" spans="2:32" s="1" customFormat="1" ht="13" hidden="1" x14ac:dyDescent="0.3">
      <c r="B522" s="383">
        <v>2026</v>
      </c>
      <c r="C522" s="361" t="s">
        <v>395</v>
      </c>
      <c r="D522" s="361" t="s">
        <v>359</v>
      </c>
      <c r="E522" s="360" t="s">
        <v>391</v>
      </c>
      <c r="F522" s="360" t="s">
        <v>172</v>
      </c>
      <c r="G522" s="362" t="s">
        <v>449</v>
      </c>
      <c r="H522" s="363">
        <v>4014</v>
      </c>
      <c r="I522" s="360" t="s">
        <v>148</v>
      </c>
      <c r="J522" s="364" t="str">
        <f>IFERROR(VLOOKUP(I522,Map!$F$18:$G$56,2,0),"Add in Map")</f>
        <v>3P</v>
      </c>
      <c r="K522" s="364" t="str">
        <f>VLOOKUP(L522,Map!$C$18:$D$29,2,0)</f>
        <v>CVT</v>
      </c>
      <c r="L522" s="360" t="s">
        <v>36</v>
      </c>
      <c r="M522" s="365">
        <v>0</v>
      </c>
      <c r="N522" s="366">
        <f t="shared" si="137"/>
        <v>0</v>
      </c>
      <c r="O522" s="366">
        <f t="shared" si="138"/>
        <v>0</v>
      </c>
      <c r="P522" s="367">
        <f t="shared" si="139"/>
        <v>0</v>
      </c>
      <c r="Q522" s="367">
        <f t="shared" si="140"/>
        <v>0</v>
      </c>
      <c r="R522" s="368">
        <f t="shared" si="141"/>
        <v>0</v>
      </c>
      <c r="S522" s="384">
        <f>INDEX(FX!$D$3:$O$19,MATCH(B522,FX!$B$3:$B$32,0),MATCH(D522,FX!$D$2:$O$2,0))</f>
        <v>935</v>
      </c>
      <c r="T522" s="360" t="s">
        <v>141</v>
      </c>
      <c r="U522" s="360" t="s">
        <v>32</v>
      </c>
      <c r="V522" s="360" t="s">
        <v>83</v>
      </c>
      <c r="W522" s="364" t="str">
        <f>VLOOKUP(I522,Map!$F$18:$H$51,3,0)</f>
        <v>Variable</v>
      </c>
      <c r="X522" s="370" t="s">
        <v>172</v>
      </c>
      <c r="Y522" s="364" t="str">
        <f>VLOOKUP(L522,Map!$C$18:$D$29,2,0)</f>
        <v>CVT</v>
      </c>
      <c r="Z522" s="365"/>
      <c r="AA522" s="366">
        <f t="shared" si="142"/>
        <v>0</v>
      </c>
      <c r="AB522" s="366">
        <f t="shared" si="143"/>
        <v>0</v>
      </c>
      <c r="AC522" s="367">
        <f t="shared" si="144"/>
        <v>0</v>
      </c>
      <c r="AD522" s="367">
        <f t="shared" si="145"/>
        <v>0</v>
      </c>
      <c r="AE522" s="368">
        <f t="shared" si="146"/>
        <v>0</v>
      </c>
      <c r="AF522" s="385"/>
    </row>
    <row r="523" spans="2:32" s="1" customFormat="1" ht="13" hidden="1" x14ac:dyDescent="0.3">
      <c r="B523" s="383">
        <v>2026</v>
      </c>
      <c r="C523" s="361" t="s">
        <v>395</v>
      </c>
      <c r="D523" s="361" t="s">
        <v>359</v>
      </c>
      <c r="E523" s="360" t="s">
        <v>391</v>
      </c>
      <c r="F523" s="360" t="s">
        <v>172</v>
      </c>
      <c r="G523" s="362" t="s">
        <v>449</v>
      </c>
      <c r="H523" s="363">
        <v>4014</v>
      </c>
      <c r="I523" s="360" t="s">
        <v>148</v>
      </c>
      <c r="J523" s="364" t="str">
        <f>IFERROR(VLOOKUP(I523,Map!$F$18:$G$56,2,0),"Add in Map")</f>
        <v>3P</v>
      </c>
      <c r="K523" s="364" t="str">
        <f>VLOOKUP(L523,Map!$C$18:$D$29,2,0)</f>
        <v>CDT</v>
      </c>
      <c r="L523" s="360" t="s">
        <v>38</v>
      </c>
      <c r="M523" s="365">
        <v>107837.72511395425</v>
      </c>
      <c r="N523" s="366">
        <f t="shared" si="137"/>
        <v>0</v>
      </c>
      <c r="O523" s="366">
        <f t="shared" si="138"/>
        <v>128326.89288560556</v>
      </c>
      <c r="P523" s="367">
        <f t="shared" si="139"/>
        <v>115.33446536251792</v>
      </c>
      <c r="Q523" s="367">
        <f t="shared" si="140"/>
        <v>0</v>
      </c>
      <c r="R523" s="368">
        <f t="shared" si="141"/>
        <v>137.24801378139631</v>
      </c>
      <c r="S523" s="384">
        <f>INDEX(FX!$D$3:$O$19,MATCH(B523,FX!$B$3:$B$32,0),MATCH(D523,FX!$D$2:$O$2,0))</f>
        <v>935</v>
      </c>
      <c r="T523" s="360" t="s">
        <v>141</v>
      </c>
      <c r="U523" s="360" t="s">
        <v>32</v>
      </c>
      <c r="V523" s="360" t="s">
        <v>83</v>
      </c>
      <c r="W523" s="364" t="str">
        <f>VLOOKUP(I523,Map!$F$18:$H$51,3,0)</f>
        <v>Variable</v>
      </c>
      <c r="X523" s="370" t="s">
        <v>172</v>
      </c>
      <c r="Y523" s="364" t="str">
        <f>VLOOKUP(L523,Map!$C$18:$D$29,2,0)</f>
        <v>CDT</v>
      </c>
      <c r="Z523" s="365"/>
      <c r="AA523" s="366">
        <f t="shared" si="142"/>
        <v>0</v>
      </c>
      <c r="AB523" s="366">
        <f t="shared" si="143"/>
        <v>0</v>
      </c>
      <c r="AC523" s="367">
        <f t="shared" si="144"/>
        <v>0</v>
      </c>
      <c r="AD523" s="367">
        <f t="shared" si="145"/>
        <v>0</v>
      </c>
      <c r="AE523" s="368">
        <f t="shared" si="146"/>
        <v>0</v>
      </c>
      <c r="AF523" s="385"/>
    </row>
    <row r="524" spans="2:32" s="1" customFormat="1" ht="13" hidden="1" x14ac:dyDescent="0.3">
      <c r="B524" s="383">
        <v>2026</v>
      </c>
      <c r="C524" s="361" t="s">
        <v>395</v>
      </c>
      <c r="D524" s="361" t="s">
        <v>359</v>
      </c>
      <c r="E524" s="360" t="s">
        <v>391</v>
      </c>
      <c r="F524" s="360" t="s">
        <v>172</v>
      </c>
      <c r="G524" s="362" t="s">
        <v>449</v>
      </c>
      <c r="H524" s="363">
        <v>4014</v>
      </c>
      <c r="I524" s="360" t="s">
        <v>148</v>
      </c>
      <c r="J524" s="364" t="str">
        <f>IFERROR(VLOOKUP(I524,Map!$F$18:$G$56,2,0),"Add in Map")</f>
        <v>3P</v>
      </c>
      <c r="K524" s="364" t="str">
        <f>VLOOKUP(L524,Map!$C$18:$D$29,2,0)</f>
        <v>DFT</v>
      </c>
      <c r="L524" s="360" t="s">
        <v>40</v>
      </c>
      <c r="M524" s="365">
        <v>3522826.7074085148</v>
      </c>
      <c r="N524" s="366">
        <f t="shared" si="137"/>
        <v>0</v>
      </c>
      <c r="O524" s="366">
        <f t="shared" si="138"/>
        <v>4192163.7818161324</v>
      </c>
      <c r="P524" s="367">
        <f t="shared" si="139"/>
        <v>3767.7290988326363</v>
      </c>
      <c r="Q524" s="367">
        <f t="shared" si="140"/>
        <v>0</v>
      </c>
      <c r="R524" s="368">
        <f t="shared" si="141"/>
        <v>4483.5976276108368</v>
      </c>
      <c r="S524" s="384">
        <f>INDEX(FX!$D$3:$O$19,MATCH(B524,FX!$B$3:$B$32,0),MATCH(D524,FX!$D$2:$O$2,0))</f>
        <v>935</v>
      </c>
      <c r="T524" s="360" t="s">
        <v>141</v>
      </c>
      <c r="U524" s="360" t="s">
        <v>32</v>
      </c>
      <c r="V524" s="360" t="s">
        <v>83</v>
      </c>
      <c r="W524" s="364" t="str">
        <f>VLOOKUP(I524,Map!$F$18:$H$51,3,0)</f>
        <v>Variable</v>
      </c>
      <c r="X524" s="370" t="s">
        <v>172</v>
      </c>
      <c r="Y524" s="364" t="str">
        <f>VLOOKUP(L524,Map!$C$18:$D$29,2,0)</f>
        <v>DFT</v>
      </c>
      <c r="Z524" s="365"/>
      <c r="AA524" s="366">
        <f t="shared" si="142"/>
        <v>0</v>
      </c>
      <c r="AB524" s="366">
        <f t="shared" si="143"/>
        <v>0</v>
      </c>
      <c r="AC524" s="367">
        <f t="shared" si="144"/>
        <v>0</v>
      </c>
      <c r="AD524" s="367">
        <f t="shared" si="145"/>
        <v>0</v>
      </c>
      <c r="AE524" s="368">
        <f t="shared" si="146"/>
        <v>0</v>
      </c>
      <c r="AF524" s="385"/>
    </row>
    <row r="525" spans="2:32" s="1" customFormat="1" ht="13" hidden="1" x14ac:dyDescent="0.3">
      <c r="B525" s="383">
        <v>2026</v>
      </c>
      <c r="C525" s="361" t="s">
        <v>395</v>
      </c>
      <c r="D525" s="361" t="s">
        <v>359</v>
      </c>
      <c r="E525" s="360" t="s">
        <v>391</v>
      </c>
      <c r="F525" s="360" t="s">
        <v>172</v>
      </c>
      <c r="G525" s="362" t="s">
        <v>449</v>
      </c>
      <c r="H525" s="363">
        <v>4014</v>
      </c>
      <c r="I525" s="360" t="s">
        <v>148</v>
      </c>
      <c r="J525" s="364" t="str">
        <f>IFERROR(VLOOKUP(I525,Map!$F$18:$G$56,2,0),"Add in Map")</f>
        <v>3P</v>
      </c>
      <c r="K525" s="364" t="str">
        <f>VLOOKUP(L525,Map!$C$18:$D$29,2,0)</f>
        <v>DVT</v>
      </c>
      <c r="L525" s="360" t="s">
        <v>42</v>
      </c>
      <c r="M525" s="365">
        <v>0</v>
      </c>
      <c r="N525" s="366">
        <f t="shared" si="137"/>
        <v>0</v>
      </c>
      <c r="O525" s="366">
        <f t="shared" si="138"/>
        <v>0</v>
      </c>
      <c r="P525" s="367">
        <f t="shared" si="139"/>
        <v>0</v>
      </c>
      <c r="Q525" s="367">
        <f t="shared" si="140"/>
        <v>0</v>
      </c>
      <c r="R525" s="368">
        <f t="shared" si="141"/>
        <v>0</v>
      </c>
      <c r="S525" s="384">
        <f>INDEX(FX!$D$3:$O$19,MATCH(B525,FX!$B$3:$B$32,0),MATCH(D525,FX!$D$2:$O$2,0))</f>
        <v>935</v>
      </c>
      <c r="T525" s="360" t="s">
        <v>141</v>
      </c>
      <c r="U525" s="360" t="s">
        <v>32</v>
      </c>
      <c r="V525" s="360" t="s">
        <v>83</v>
      </c>
      <c r="W525" s="364" t="str">
        <f>VLOOKUP(I525,Map!$F$18:$H$51,3,0)</f>
        <v>Variable</v>
      </c>
      <c r="X525" s="370" t="s">
        <v>172</v>
      </c>
      <c r="Y525" s="364" t="str">
        <f>VLOOKUP(L525,Map!$C$18:$D$29,2,0)</f>
        <v>DVT</v>
      </c>
      <c r="Z525" s="365"/>
      <c r="AA525" s="366">
        <f t="shared" si="142"/>
        <v>0</v>
      </c>
      <c r="AB525" s="366">
        <f t="shared" si="143"/>
        <v>0</v>
      </c>
      <c r="AC525" s="367">
        <f t="shared" si="144"/>
        <v>0</v>
      </c>
      <c r="AD525" s="367">
        <f t="shared" si="145"/>
        <v>0</v>
      </c>
      <c r="AE525" s="368">
        <f t="shared" si="146"/>
        <v>0</v>
      </c>
      <c r="AF525" s="385"/>
    </row>
    <row r="526" spans="2:32" s="1" customFormat="1" ht="13" hidden="1" x14ac:dyDescent="0.3">
      <c r="B526" s="383">
        <v>2026</v>
      </c>
      <c r="C526" s="361" t="s">
        <v>395</v>
      </c>
      <c r="D526" s="361" t="s">
        <v>359</v>
      </c>
      <c r="E526" s="360" t="s">
        <v>391</v>
      </c>
      <c r="F526" s="360" t="s">
        <v>172</v>
      </c>
      <c r="G526" s="362" t="s">
        <v>449</v>
      </c>
      <c r="H526" s="363">
        <v>4014</v>
      </c>
      <c r="I526" s="360" t="s">
        <v>148</v>
      </c>
      <c r="J526" s="364" t="str">
        <f>IFERROR(VLOOKUP(I526,Map!$F$18:$G$56,2,0),"Add in Map")</f>
        <v>3P</v>
      </c>
      <c r="K526" s="364" t="str">
        <f>VLOOKUP(L526,Map!$C$18:$D$29,2,0)</f>
        <v>GLT</v>
      </c>
      <c r="L526" s="360" t="s">
        <v>44</v>
      </c>
      <c r="M526" s="365">
        <v>1414859.3502948761</v>
      </c>
      <c r="N526" s="366">
        <f t="shared" si="137"/>
        <v>0</v>
      </c>
      <c r="O526" s="366">
        <f t="shared" si="138"/>
        <v>1683682.6268509026</v>
      </c>
      <c r="P526" s="367">
        <f t="shared" si="139"/>
        <v>1513.2185564651081</v>
      </c>
      <c r="Q526" s="367">
        <f t="shared" si="140"/>
        <v>0</v>
      </c>
      <c r="R526" s="368">
        <f t="shared" si="141"/>
        <v>1800.7300821934787</v>
      </c>
      <c r="S526" s="384">
        <f>INDEX(FX!$D$3:$O$19,MATCH(B526,FX!$B$3:$B$32,0),MATCH(D526,FX!$D$2:$O$2,0))</f>
        <v>935</v>
      </c>
      <c r="T526" s="360" t="s">
        <v>141</v>
      </c>
      <c r="U526" s="360" t="s">
        <v>32</v>
      </c>
      <c r="V526" s="360" t="s">
        <v>83</v>
      </c>
      <c r="W526" s="364" t="str">
        <f>VLOOKUP(I526,Map!$F$18:$H$51,3,0)</f>
        <v>Variable</v>
      </c>
      <c r="X526" s="370" t="s">
        <v>172</v>
      </c>
      <c r="Y526" s="364" t="str">
        <f>VLOOKUP(L526,Map!$C$18:$D$29,2,0)</f>
        <v>GLT</v>
      </c>
      <c r="Z526" s="365"/>
      <c r="AA526" s="366">
        <f t="shared" si="142"/>
        <v>0</v>
      </c>
      <c r="AB526" s="366">
        <f t="shared" si="143"/>
        <v>0</v>
      </c>
      <c r="AC526" s="367">
        <f t="shared" si="144"/>
        <v>0</v>
      </c>
      <c r="AD526" s="367">
        <f t="shared" si="145"/>
        <v>0</v>
      </c>
      <c r="AE526" s="368">
        <f t="shared" si="146"/>
        <v>0</v>
      </c>
      <c r="AF526" s="385"/>
    </row>
    <row r="527" spans="2:32" s="1" customFormat="1" ht="13" hidden="1" x14ac:dyDescent="0.3">
      <c r="B527" s="383">
        <v>2026</v>
      </c>
      <c r="C527" s="361" t="s">
        <v>395</v>
      </c>
      <c r="D527" s="361" t="s">
        <v>359</v>
      </c>
      <c r="E527" s="360" t="s">
        <v>391</v>
      </c>
      <c r="F527" s="360" t="s">
        <v>172</v>
      </c>
      <c r="G527" s="362" t="s">
        <v>449</v>
      </c>
      <c r="H527" s="363">
        <v>4014</v>
      </c>
      <c r="I527" s="360" t="s">
        <v>148</v>
      </c>
      <c r="J527" s="364" t="str">
        <f>IFERROR(VLOOKUP(I527,Map!$F$18:$G$56,2,0),"Add in Map")</f>
        <v>3P</v>
      </c>
      <c r="K527" s="364" t="str">
        <f>VLOOKUP(L527,Map!$C$18:$D$29,2,0)</f>
        <v>PNT</v>
      </c>
      <c r="L527" s="360" t="s">
        <v>46</v>
      </c>
      <c r="M527" s="365">
        <v>196551.00878537129</v>
      </c>
      <c r="N527" s="366">
        <f t="shared" si="137"/>
        <v>0</v>
      </c>
      <c r="O527" s="366">
        <f t="shared" si="138"/>
        <v>233895.70045459183</v>
      </c>
      <c r="P527" s="367">
        <f t="shared" si="139"/>
        <v>210.21498265815111</v>
      </c>
      <c r="Q527" s="367">
        <f t="shared" si="140"/>
        <v>0</v>
      </c>
      <c r="R527" s="368">
        <f t="shared" si="141"/>
        <v>250.15582936319981</v>
      </c>
      <c r="S527" s="384">
        <f>INDEX(FX!$D$3:$O$19,MATCH(B527,FX!$B$3:$B$32,0),MATCH(D527,FX!$D$2:$O$2,0))</f>
        <v>935</v>
      </c>
      <c r="T527" s="360" t="s">
        <v>141</v>
      </c>
      <c r="U527" s="360" t="s">
        <v>32</v>
      </c>
      <c r="V527" s="360" t="s">
        <v>83</v>
      </c>
      <c r="W527" s="364" t="str">
        <f>VLOOKUP(I527,Map!$F$18:$H$51,3,0)</f>
        <v>Variable</v>
      </c>
      <c r="X527" s="370" t="s">
        <v>172</v>
      </c>
      <c r="Y527" s="364" t="str">
        <f>VLOOKUP(L527,Map!$C$18:$D$29,2,0)</f>
        <v>PNT</v>
      </c>
      <c r="Z527" s="365"/>
      <c r="AA527" s="366">
        <f t="shared" si="142"/>
        <v>0</v>
      </c>
      <c r="AB527" s="366">
        <f t="shared" si="143"/>
        <v>0</v>
      </c>
      <c r="AC527" s="367">
        <f t="shared" si="144"/>
        <v>0</v>
      </c>
      <c r="AD527" s="367">
        <f t="shared" si="145"/>
        <v>0</v>
      </c>
      <c r="AE527" s="368">
        <f t="shared" si="146"/>
        <v>0</v>
      </c>
      <c r="AF527" s="385"/>
    </row>
    <row r="528" spans="2:32" s="1" customFormat="1" ht="13" hidden="1" x14ac:dyDescent="0.3">
      <c r="B528" s="383">
        <v>2026</v>
      </c>
      <c r="C528" s="361" t="s">
        <v>395</v>
      </c>
      <c r="D528" s="361" t="s">
        <v>359</v>
      </c>
      <c r="E528" s="360" t="s">
        <v>391</v>
      </c>
      <c r="F528" s="360" t="s">
        <v>172</v>
      </c>
      <c r="G528" s="362" t="s">
        <v>449</v>
      </c>
      <c r="H528" s="363">
        <v>4014</v>
      </c>
      <c r="I528" s="360" t="s">
        <v>148</v>
      </c>
      <c r="J528" s="364" t="str">
        <f>IFERROR(VLOOKUP(I528,Map!$F$18:$G$56,2,0),"Add in Map")</f>
        <v>3P</v>
      </c>
      <c r="K528" s="364" t="str">
        <f>VLOOKUP(L528,Map!$C$18:$D$29,2,0)</f>
        <v>GTT</v>
      </c>
      <c r="L528" s="360" t="s">
        <v>48</v>
      </c>
      <c r="M528" s="365">
        <v>101706.58993079298</v>
      </c>
      <c r="N528" s="366">
        <f t="shared" si="137"/>
        <v>0</v>
      </c>
      <c r="O528" s="366">
        <f t="shared" si="138"/>
        <v>121030.84201764363</v>
      </c>
      <c r="P528" s="367">
        <f t="shared" si="139"/>
        <v>108.77710153025987</v>
      </c>
      <c r="Q528" s="367">
        <f t="shared" si="140"/>
        <v>0</v>
      </c>
      <c r="R528" s="368">
        <f t="shared" si="141"/>
        <v>129.44475082100925</v>
      </c>
      <c r="S528" s="384">
        <f>INDEX(FX!$D$3:$O$19,MATCH(B528,FX!$B$3:$B$32,0),MATCH(D528,FX!$D$2:$O$2,0))</f>
        <v>935</v>
      </c>
      <c r="T528" s="360" t="s">
        <v>141</v>
      </c>
      <c r="U528" s="360" t="s">
        <v>32</v>
      </c>
      <c r="V528" s="360" t="s">
        <v>83</v>
      </c>
      <c r="W528" s="364" t="str">
        <f>VLOOKUP(I528,Map!$F$18:$H$51,3,0)</f>
        <v>Variable</v>
      </c>
      <c r="X528" s="370" t="s">
        <v>172</v>
      </c>
      <c r="Y528" s="364" t="str">
        <f>VLOOKUP(L528,Map!$C$18:$D$29,2,0)</f>
        <v>GTT</v>
      </c>
      <c r="Z528" s="365"/>
      <c r="AA528" s="366">
        <f t="shared" si="142"/>
        <v>0</v>
      </c>
      <c r="AB528" s="366">
        <f t="shared" si="143"/>
        <v>0</v>
      </c>
      <c r="AC528" s="367">
        <f t="shared" si="144"/>
        <v>0</v>
      </c>
      <c r="AD528" s="367">
        <f t="shared" si="145"/>
        <v>0</v>
      </c>
      <c r="AE528" s="368">
        <f t="shared" si="146"/>
        <v>0</v>
      </c>
      <c r="AF528" s="385"/>
    </row>
    <row r="529" spans="2:32" s="1" customFormat="1" ht="13" hidden="1" x14ac:dyDescent="0.3">
      <c r="B529" s="383">
        <v>2026</v>
      </c>
      <c r="C529" s="361" t="s">
        <v>395</v>
      </c>
      <c r="D529" s="361" t="s">
        <v>359</v>
      </c>
      <c r="E529" s="360" t="s">
        <v>391</v>
      </c>
      <c r="F529" s="360" t="s">
        <v>172</v>
      </c>
      <c r="G529" s="362" t="s">
        <v>449</v>
      </c>
      <c r="H529" s="363">
        <v>4014</v>
      </c>
      <c r="I529" s="360" t="s">
        <v>148</v>
      </c>
      <c r="J529" s="364" t="str">
        <f>IFERROR(VLOOKUP(I529,Map!$F$18:$G$56,2,0),"Add in Map")</f>
        <v>3P</v>
      </c>
      <c r="K529" s="364" t="str">
        <f>VLOOKUP(L529,Map!$C$18:$D$29,2,0)</f>
        <v>DGT</v>
      </c>
      <c r="L529" s="360" t="s">
        <v>50</v>
      </c>
      <c r="M529" s="365">
        <v>132590.72003172906</v>
      </c>
      <c r="N529" s="366">
        <f t="shared" si="137"/>
        <v>0</v>
      </c>
      <c r="O529" s="366">
        <f t="shared" si="138"/>
        <v>157782.95683775758</v>
      </c>
      <c r="P529" s="367">
        <f t="shared" si="139"/>
        <v>141.8082567184268</v>
      </c>
      <c r="Q529" s="367">
        <f t="shared" si="140"/>
        <v>0</v>
      </c>
      <c r="R529" s="368">
        <f t="shared" si="141"/>
        <v>168.75182549492789</v>
      </c>
      <c r="S529" s="384">
        <f>INDEX(FX!$D$3:$O$19,MATCH(B529,FX!$B$3:$B$32,0),MATCH(D529,FX!$D$2:$O$2,0))</f>
        <v>935</v>
      </c>
      <c r="T529" s="360" t="s">
        <v>141</v>
      </c>
      <c r="U529" s="360" t="s">
        <v>32</v>
      </c>
      <c r="V529" s="360" t="s">
        <v>83</v>
      </c>
      <c r="W529" s="364" t="str">
        <f>VLOOKUP(I529,Map!$F$18:$H$51,3,0)</f>
        <v>Variable</v>
      </c>
      <c r="X529" s="370" t="s">
        <v>172</v>
      </c>
      <c r="Y529" s="364" t="str">
        <f>VLOOKUP(L529,Map!$C$18:$D$29,2,0)</f>
        <v>DGT</v>
      </c>
      <c r="Z529" s="365"/>
      <c r="AA529" s="366">
        <f t="shared" si="142"/>
        <v>0</v>
      </c>
      <c r="AB529" s="366">
        <f t="shared" si="143"/>
        <v>0</v>
      </c>
      <c r="AC529" s="367">
        <f t="shared" si="144"/>
        <v>0</v>
      </c>
      <c r="AD529" s="367">
        <f t="shared" si="145"/>
        <v>0</v>
      </c>
      <c r="AE529" s="368">
        <f t="shared" si="146"/>
        <v>0</v>
      </c>
      <c r="AF529" s="385"/>
    </row>
    <row r="530" spans="2:32" s="1" customFormat="1" ht="13" hidden="1" x14ac:dyDescent="0.3">
      <c r="B530" s="383">
        <v>2026</v>
      </c>
      <c r="C530" s="361" t="s">
        <v>395</v>
      </c>
      <c r="D530" s="361" t="s">
        <v>359</v>
      </c>
      <c r="E530" s="360" t="s">
        <v>391</v>
      </c>
      <c r="F530" s="360" t="s">
        <v>172</v>
      </c>
      <c r="G530" s="362" t="s">
        <v>449</v>
      </c>
      <c r="H530" s="363">
        <v>4014</v>
      </c>
      <c r="I530" s="360" t="s">
        <v>148</v>
      </c>
      <c r="J530" s="364" t="str">
        <f>IFERROR(VLOOKUP(I530,Map!$F$18:$G$56,2,0),"Add in Map")</f>
        <v>3P</v>
      </c>
      <c r="K530" s="364" t="str">
        <f>VLOOKUP(L530,Map!$C$18:$D$29,2,0)</f>
        <v>DLT</v>
      </c>
      <c r="L530" s="360" t="s">
        <v>52</v>
      </c>
      <c r="M530" s="365">
        <v>0</v>
      </c>
      <c r="N530" s="366">
        <f t="shared" si="137"/>
        <v>0</v>
      </c>
      <c r="O530" s="366">
        <f t="shared" si="138"/>
        <v>0</v>
      </c>
      <c r="P530" s="367">
        <f t="shared" si="139"/>
        <v>0</v>
      </c>
      <c r="Q530" s="367">
        <f t="shared" si="140"/>
        <v>0</v>
      </c>
      <c r="R530" s="368">
        <f t="shared" si="141"/>
        <v>0</v>
      </c>
      <c r="S530" s="384">
        <f>INDEX(FX!$D$3:$O$19,MATCH(B530,FX!$B$3:$B$32,0),MATCH(D530,FX!$D$2:$O$2,0))</f>
        <v>935</v>
      </c>
      <c r="T530" s="360" t="s">
        <v>141</v>
      </c>
      <c r="U530" s="360" t="s">
        <v>32</v>
      </c>
      <c r="V530" s="360" t="s">
        <v>83</v>
      </c>
      <c r="W530" s="364" t="str">
        <f>VLOOKUP(I530,Map!$F$18:$H$51,3,0)</f>
        <v>Variable</v>
      </c>
      <c r="X530" s="370" t="s">
        <v>172</v>
      </c>
      <c r="Y530" s="364" t="str">
        <f>VLOOKUP(L530,Map!$C$18:$D$29,2,0)</f>
        <v>DLT</v>
      </c>
      <c r="Z530" s="365"/>
      <c r="AA530" s="366">
        <f t="shared" si="142"/>
        <v>0</v>
      </c>
      <c r="AB530" s="366">
        <f t="shared" si="143"/>
        <v>0</v>
      </c>
      <c r="AC530" s="367">
        <f t="shared" si="144"/>
        <v>0</v>
      </c>
      <c r="AD530" s="367">
        <f t="shared" si="145"/>
        <v>0</v>
      </c>
      <c r="AE530" s="368">
        <f t="shared" si="146"/>
        <v>0</v>
      </c>
      <c r="AF530" s="385"/>
    </row>
    <row r="531" spans="2:32" s="1" customFormat="1" ht="13" hidden="1" x14ac:dyDescent="0.3">
      <c r="B531" s="383">
        <v>2026</v>
      </c>
      <c r="C531" s="361" t="s">
        <v>395</v>
      </c>
      <c r="D531" s="361" t="s">
        <v>359</v>
      </c>
      <c r="E531" s="360" t="s">
        <v>391</v>
      </c>
      <c r="F531" s="360" t="s">
        <v>172</v>
      </c>
      <c r="G531" s="362" t="s">
        <v>449</v>
      </c>
      <c r="H531" s="363">
        <v>4014</v>
      </c>
      <c r="I531" s="360" t="s">
        <v>148</v>
      </c>
      <c r="J531" s="364" t="str">
        <f>IFERROR(VLOOKUP(I531,Map!$F$18:$G$56,2,0),"Add in Map")</f>
        <v>3P</v>
      </c>
      <c r="K531" s="364" t="str">
        <f>VLOOKUP(L531,Map!$C$18:$D$29,2,0)</f>
        <v>DMT</v>
      </c>
      <c r="L531" s="360" t="s">
        <v>54</v>
      </c>
      <c r="M531" s="365">
        <v>0</v>
      </c>
      <c r="N531" s="366">
        <f t="shared" si="137"/>
        <v>0</v>
      </c>
      <c r="O531" s="366">
        <f t="shared" si="138"/>
        <v>0</v>
      </c>
      <c r="P531" s="386">
        <f t="shared" si="139"/>
        <v>0</v>
      </c>
      <c r="Q531" s="367">
        <f t="shared" si="140"/>
        <v>0</v>
      </c>
      <c r="R531" s="368">
        <f t="shared" si="141"/>
        <v>0</v>
      </c>
      <c r="S531" s="384">
        <f>INDEX(FX!$D$3:$O$19,MATCH(B531,FX!$B$3:$B$32,0),MATCH(D531,FX!$D$2:$O$2,0))</f>
        <v>935</v>
      </c>
      <c r="T531" s="360" t="s">
        <v>141</v>
      </c>
      <c r="U531" s="360" t="s">
        <v>32</v>
      </c>
      <c r="V531" s="360" t="s">
        <v>83</v>
      </c>
      <c r="W531" s="364" t="str">
        <f>VLOOKUP(I531,Map!$F$18:$H$51,3,0)</f>
        <v>Variable</v>
      </c>
      <c r="X531" s="370" t="s">
        <v>172</v>
      </c>
      <c r="Y531" s="364" t="str">
        <f>VLOOKUP(L531,Map!$C$18:$D$29,2,0)</f>
        <v>DMT</v>
      </c>
      <c r="Z531" s="365"/>
      <c r="AA531" s="366">
        <f t="shared" si="142"/>
        <v>0</v>
      </c>
      <c r="AB531" s="366">
        <f t="shared" si="143"/>
        <v>0</v>
      </c>
      <c r="AC531" s="386">
        <f t="shared" si="144"/>
        <v>0</v>
      </c>
      <c r="AD531" s="367">
        <f t="shared" si="145"/>
        <v>0</v>
      </c>
      <c r="AE531" s="368">
        <f t="shared" si="146"/>
        <v>0</v>
      </c>
      <c r="AF531" s="385"/>
    </row>
    <row r="532" spans="2:32" s="37" customFormat="1" hidden="1" x14ac:dyDescent="0.35">
      <c r="B532" s="387">
        <v>2026</v>
      </c>
      <c r="C532" s="389" t="s">
        <v>395</v>
      </c>
      <c r="D532" s="389" t="s">
        <v>359</v>
      </c>
      <c r="E532" s="388" t="s">
        <v>391</v>
      </c>
      <c r="F532" s="388" t="s">
        <v>172</v>
      </c>
      <c r="G532" s="390" t="s">
        <v>449</v>
      </c>
      <c r="H532" s="391">
        <v>4014</v>
      </c>
      <c r="I532" s="388" t="s">
        <v>148</v>
      </c>
      <c r="J532" s="392" t="str">
        <f>IFERROR(VLOOKUP(I532,Map!$F$18:$G$56,2,0),"Add in Map")</f>
        <v>3P</v>
      </c>
      <c r="K532" s="392" t="str">
        <f>VLOOKUP(L532,Map!$C$18:$D$29,2,0)</f>
        <v>TOTAL</v>
      </c>
      <c r="L532" s="388" t="s">
        <v>56</v>
      </c>
      <c r="M532" s="393">
        <f>SUM(M521:M531)</f>
        <v>7114520.0000000009</v>
      </c>
      <c r="N532" s="393">
        <f t="shared" si="137"/>
        <v>1351758.8000000003</v>
      </c>
      <c r="O532" s="393">
        <f t="shared" si="138"/>
        <v>8466278.8000000007</v>
      </c>
      <c r="P532" s="394">
        <f t="shared" si="139"/>
        <v>7609.1122994652414</v>
      </c>
      <c r="Q532" s="394">
        <f t="shared" si="140"/>
        <v>1445.731336898396</v>
      </c>
      <c r="R532" s="395">
        <f t="shared" si="141"/>
        <v>9054.8436363636374</v>
      </c>
      <c r="S532" s="396">
        <f>INDEX(FX!$D$3:$O$19,MATCH(B532,FX!$B$3:$B$32,0),MATCH(D532,FX!$D$2:$O$2,0))</f>
        <v>935</v>
      </c>
      <c r="T532" s="388" t="s">
        <v>141</v>
      </c>
      <c r="U532" s="388" t="s">
        <v>32</v>
      </c>
      <c r="V532" s="388" t="s">
        <v>83</v>
      </c>
      <c r="W532" s="392" t="str">
        <f>VLOOKUP(I532,Map!$F$18:$H$51,3,0)</f>
        <v>Variable</v>
      </c>
      <c r="X532" s="397" t="s">
        <v>172</v>
      </c>
      <c r="Y532" s="392" t="str">
        <f>VLOOKUP(L532,Map!$C$18:$D$29,2,0)</f>
        <v>TOTAL</v>
      </c>
      <c r="Z532" s="413"/>
      <c r="AA532" s="393">
        <f t="shared" si="142"/>
        <v>0</v>
      </c>
      <c r="AB532" s="393">
        <f t="shared" si="143"/>
        <v>0</v>
      </c>
      <c r="AC532" s="394">
        <f t="shared" si="144"/>
        <v>0</v>
      </c>
      <c r="AD532" s="394">
        <f t="shared" si="145"/>
        <v>0</v>
      </c>
      <c r="AE532" s="395">
        <f t="shared" si="146"/>
        <v>0</v>
      </c>
      <c r="AF532" s="398" t="s">
        <v>392</v>
      </c>
    </row>
    <row r="533" spans="2:32" s="1" customFormat="1" ht="13" hidden="1" x14ac:dyDescent="0.3">
      <c r="B533" s="383">
        <v>2026</v>
      </c>
      <c r="C533" s="361" t="s">
        <v>396</v>
      </c>
      <c r="D533" s="361" t="s">
        <v>359</v>
      </c>
      <c r="E533" s="360" t="s">
        <v>390</v>
      </c>
      <c r="F533" s="360" t="s">
        <v>172</v>
      </c>
      <c r="G533" s="362" t="s">
        <v>449</v>
      </c>
      <c r="H533" s="363">
        <v>4015</v>
      </c>
      <c r="I533" s="360" t="s">
        <v>148</v>
      </c>
      <c r="J533" s="364" t="str">
        <f>IFERROR(VLOOKUP(I533,Map!$F$18:$G$56,2,0),"Add in Map")</f>
        <v>3P</v>
      </c>
      <c r="K533" s="364" t="str">
        <f>VLOOKUP(L533,Map!$C$18:$D$29,2,0)</f>
        <v>CNT</v>
      </c>
      <c r="L533" s="360" t="s">
        <v>31</v>
      </c>
      <c r="M533" s="365">
        <v>5503636.3555769492</v>
      </c>
      <c r="N533" s="366">
        <f t="shared" ref="N533:N544" si="147">IF(L533="TOTAL",(M533*0.19),0)</f>
        <v>0</v>
      </c>
      <c r="O533" s="366">
        <f t="shared" ref="O533:O544" si="148">M533*1.19</f>
        <v>6549327.2631365694</v>
      </c>
      <c r="P533" s="367">
        <f t="shared" ref="P533:P544" si="149">M533/S533</f>
        <v>5886.2420915261491</v>
      </c>
      <c r="Q533" s="367">
        <f t="shared" ref="Q533:Q544" si="150">IF(L533="TOTAL",(P533*0.19),0)</f>
        <v>0</v>
      </c>
      <c r="R533" s="368">
        <f t="shared" ref="R533:R544" si="151">P533*1.19</f>
        <v>7004.6280889161171</v>
      </c>
      <c r="S533" s="384">
        <f>INDEX(FX!$D$3:$O$19,MATCH(B533,FX!$B$3:$B$32,0),MATCH(D533,FX!$D$2:$O$2,0))</f>
        <v>935</v>
      </c>
      <c r="T533" s="360" t="s">
        <v>141</v>
      </c>
      <c r="U533" s="360" t="s">
        <v>32</v>
      </c>
      <c r="V533" s="360" t="s">
        <v>83</v>
      </c>
      <c r="W533" s="364" t="str">
        <f>VLOOKUP(I533,Map!$F$18:$H$51,3,0)</f>
        <v>Variable</v>
      </c>
      <c r="X533" s="370" t="s">
        <v>172</v>
      </c>
      <c r="Y533" s="364" t="str">
        <f>VLOOKUP(L533,Map!$C$18:$D$29,2,0)</f>
        <v>CNT</v>
      </c>
      <c r="Z533" s="365"/>
      <c r="AA533" s="366">
        <f t="shared" ref="AA533:AA544" si="152">IF(Y533="TOTAL",(Z533*0.19),0)</f>
        <v>0</v>
      </c>
      <c r="AB533" s="366">
        <f t="shared" ref="AB533:AB544" si="153">Z533*1.19</f>
        <v>0</v>
      </c>
      <c r="AC533" s="367">
        <f t="shared" ref="AC533:AC544" si="154">Z533/S533</f>
        <v>0</v>
      </c>
      <c r="AD533" s="367">
        <f t="shared" ref="AD533:AD544" si="155">IF(Y533="TOTAL",(AC533*0.19),0)</f>
        <v>0</v>
      </c>
      <c r="AE533" s="368">
        <f t="shared" ref="AE533:AE544" si="156">AC533*1.19</f>
        <v>0</v>
      </c>
      <c r="AF533" s="385"/>
    </row>
    <row r="534" spans="2:32" s="1" customFormat="1" ht="13" hidden="1" x14ac:dyDescent="0.3">
      <c r="B534" s="383">
        <v>2026</v>
      </c>
      <c r="C534" s="361" t="s">
        <v>396</v>
      </c>
      <c r="D534" s="361" t="s">
        <v>359</v>
      </c>
      <c r="E534" s="360" t="s">
        <v>390</v>
      </c>
      <c r="F534" s="360" t="s">
        <v>172</v>
      </c>
      <c r="G534" s="362" t="s">
        <v>449</v>
      </c>
      <c r="H534" s="363">
        <v>4015</v>
      </c>
      <c r="I534" s="360" t="s">
        <v>148</v>
      </c>
      <c r="J534" s="364" t="str">
        <f>IFERROR(VLOOKUP(I534,Map!$F$18:$G$56,2,0),"Add in Map")</f>
        <v>3P</v>
      </c>
      <c r="K534" s="364" t="str">
        <f>VLOOKUP(L534,Map!$C$18:$D$29,2,0)</f>
        <v>CVT</v>
      </c>
      <c r="L534" s="360" t="s">
        <v>36</v>
      </c>
      <c r="M534" s="365">
        <v>0</v>
      </c>
      <c r="N534" s="366">
        <f t="shared" si="147"/>
        <v>0</v>
      </c>
      <c r="O534" s="366">
        <f t="shared" si="148"/>
        <v>0</v>
      </c>
      <c r="P534" s="367">
        <f t="shared" si="149"/>
        <v>0</v>
      </c>
      <c r="Q534" s="367">
        <f t="shared" si="150"/>
        <v>0</v>
      </c>
      <c r="R534" s="368">
        <f t="shared" si="151"/>
        <v>0</v>
      </c>
      <c r="S534" s="384">
        <f>INDEX(FX!$D$3:$O$19,MATCH(B534,FX!$B$3:$B$32,0),MATCH(D534,FX!$D$2:$O$2,0))</f>
        <v>935</v>
      </c>
      <c r="T534" s="360" t="s">
        <v>141</v>
      </c>
      <c r="U534" s="360" t="s">
        <v>32</v>
      </c>
      <c r="V534" s="360" t="s">
        <v>83</v>
      </c>
      <c r="W534" s="364" t="str">
        <f>VLOOKUP(I534,Map!$F$18:$H$51,3,0)</f>
        <v>Variable</v>
      </c>
      <c r="X534" s="370" t="s">
        <v>172</v>
      </c>
      <c r="Y534" s="364" t="str">
        <f>VLOOKUP(L534,Map!$C$18:$D$29,2,0)</f>
        <v>CVT</v>
      </c>
      <c r="Z534" s="365"/>
      <c r="AA534" s="366">
        <f t="shared" si="152"/>
        <v>0</v>
      </c>
      <c r="AB534" s="366">
        <f t="shared" si="153"/>
        <v>0</v>
      </c>
      <c r="AC534" s="367">
        <f t="shared" si="154"/>
        <v>0</v>
      </c>
      <c r="AD534" s="367">
        <f t="shared" si="155"/>
        <v>0</v>
      </c>
      <c r="AE534" s="368">
        <f t="shared" si="156"/>
        <v>0</v>
      </c>
      <c r="AF534" s="385"/>
    </row>
    <row r="535" spans="2:32" s="1" customFormat="1" ht="13" hidden="1" x14ac:dyDescent="0.3">
      <c r="B535" s="383">
        <v>2026</v>
      </c>
      <c r="C535" s="361" t="s">
        <v>396</v>
      </c>
      <c r="D535" s="361" t="s">
        <v>359</v>
      </c>
      <c r="E535" s="360" t="s">
        <v>390</v>
      </c>
      <c r="F535" s="360" t="s">
        <v>172</v>
      </c>
      <c r="G535" s="362" t="s">
        <v>449</v>
      </c>
      <c r="H535" s="363">
        <v>4015</v>
      </c>
      <c r="I535" s="360" t="s">
        <v>148</v>
      </c>
      <c r="J535" s="364" t="str">
        <f>IFERROR(VLOOKUP(I535,Map!$F$18:$G$56,2,0),"Add in Map")</f>
        <v>3P</v>
      </c>
      <c r="K535" s="364" t="str">
        <f>VLOOKUP(L535,Map!$C$18:$D$29,2,0)</f>
        <v>CDT</v>
      </c>
      <c r="L535" s="360" t="s">
        <v>38</v>
      </c>
      <c r="M535" s="365">
        <v>0</v>
      </c>
      <c r="N535" s="366">
        <f t="shared" si="147"/>
        <v>0</v>
      </c>
      <c r="O535" s="366">
        <f t="shared" si="148"/>
        <v>0</v>
      </c>
      <c r="P535" s="367">
        <f t="shared" si="149"/>
        <v>0</v>
      </c>
      <c r="Q535" s="367">
        <f t="shared" si="150"/>
        <v>0</v>
      </c>
      <c r="R535" s="368">
        <f t="shared" si="151"/>
        <v>0</v>
      </c>
      <c r="S535" s="384">
        <f>INDEX(FX!$D$3:$O$19,MATCH(B535,FX!$B$3:$B$32,0),MATCH(D535,FX!$D$2:$O$2,0))</f>
        <v>935</v>
      </c>
      <c r="T535" s="360" t="s">
        <v>141</v>
      </c>
      <c r="U535" s="360" t="s">
        <v>32</v>
      </c>
      <c r="V535" s="360" t="s">
        <v>83</v>
      </c>
      <c r="W535" s="364" t="str">
        <f>VLOOKUP(I535,Map!$F$18:$H$51,3,0)</f>
        <v>Variable</v>
      </c>
      <c r="X535" s="370" t="s">
        <v>172</v>
      </c>
      <c r="Y535" s="364" t="str">
        <f>VLOOKUP(L535,Map!$C$18:$D$29,2,0)</f>
        <v>CDT</v>
      </c>
      <c r="Z535" s="365"/>
      <c r="AA535" s="366">
        <f t="shared" si="152"/>
        <v>0</v>
      </c>
      <c r="AB535" s="366">
        <f t="shared" si="153"/>
        <v>0</v>
      </c>
      <c r="AC535" s="367">
        <f t="shared" si="154"/>
        <v>0</v>
      </c>
      <c r="AD535" s="367">
        <f t="shared" si="155"/>
        <v>0</v>
      </c>
      <c r="AE535" s="368">
        <f t="shared" si="156"/>
        <v>0</v>
      </c>
      <c r="AF535" s="385"/>
    </row>
    <row r="536" spans="2:32" s="1" customFormat="1" ht="13" hidden="1" x14ac:dyDescent="0.3">
      <c r="B536" s="383">
        <v>2026</v>
      </c>
      <c r="C536" s="361" t="s">
        <v>396</v>
      </c>
      <c r="D536" s="361" t="s">
        <v>359</v>
      </c>
      <c r="E536" s="360" t="s">
        <v>390</v>
      </c>
      <c r="F536" s="360" t="s">
        <v>172</v>
      </c>
      <c r="G536" s="362" t="s">
        <v>449</v>
      </c>
      <c r="H536" s="363">
        <v>4015</v>
      </c>
      <c r="I536" s="360" t="s">
        <v>148</v>
      </c>
      <c r="J536" s="364" t="str">
        <f>IFERROR(VLOOKUP(I536,Map!$F$18:$G$56,2,0),"Add in Map")</f>
        <v>3P</v>
      </c>
      <c r="K536" s="364" t="str">
        <f>VLOOKUP(L536,Map!$C$18:$D$29,2,0)</f>
        <v>DFT</v>
      </c>
      <c r="L536" s="360" t="s">
        <v>40</v>
      </c>
      <c r="M536" s="365">
        <v>13175459.252473075</v>
      </c>
      <c r="N536" s="366">
        <f t="shared" si="147"/>
        <v>0</v>
      </c>
      <c r="O536" s="366">
        <f t="shared" si="148"/>
        <v>15678796.510442959</v>
      </c>
      <c r="P536" s="367">
        <f t="shared" si="149"/>
        <v>14091.400270024678</v>
      </c>
      <c r="Q536" s="367">
        <f t="shared" si="150"/>
        <v>0</v>
      </c>
      <c r="R536" s="368">
        <f t="shared" si="151"/>
        <v>16768.766321329367</v>
      </c>
      <c r="S536" s="384">
        <f>INDEX(FX!$D$3:$O$19,MATCH(B536,FX!$B$3:$B$32,0),MATCH(D536,FX!$D$2:$O$2,0))</f>
        <v>935</v>
      </c>
      <c r="T536" s="360" t="s">
        <v>141</v>
      </c>
      <c r="U536" s="360" t="s">
        <v>32</v>
      </c>
      <c r="V536" s="360" t="s">
        <v>83</v>
      </c>
      <c r="W536" s="364" t="str">
        <f>VLOOKUP(I536,Map!$F$18:$H$51,3,0)</f>
        <v>Variable</v>
      </c>
      <c r="X536" s="370" t="s">
        <v>172</v>
      </c>
      <c r="Y536" s="364" t="str">
        <f>VLOOKUP(L536,Map!$C$18:$D$29,2,0)</f>
        <v>DFT</v>
      </c>
      <c r="Z536" s="365"/>
      <c r="AA536" s="366">
        <f t="shared" si="152"/>
        <v>0</v>
      </c>
      <c r="AB536" s="366">
        <f t="shared" si="153"/>
        <v>0</v>
      </c>
      <c r="AC536" s="367">
        <f t="shared" si="154"/>
        <v>0</v>
      </c>
      <c r="AD536" s="367">
        <f t="shared" si="155"/>
        <v>0</v>
      </c>
      <c r="AE536" s="368">
        <f t="shared" si="156"/>
        <v>0</v>
      </c>
      <c r="AF536" s="385"/>
    </row>
    <row r="537" spans="2:32" s="1" customFormat="1" ht="13" hidden="1" x14ac:dyDescent="0.3">
      <c r="B537" s="383">
        <v>2026</v>
      </c>
      <c r="C537" s="361" t="s">
        <v>396</v>
      </c>
      <c r="D537" s="361" t="s">
        <v>359</v>
      </c>
      <c r="E537" s="360" t="s">
        <v>390</v>
      </c>
      <c r="F537" s="360" t="s">
        <v>172</v>
      </c>
      <c r="G537" s="362" t="s">
        <v>449</v>
      </c>
      <c r="H537" s="363">
        <v>4015</v>
      </c>
      <c r="I537" s="360" t="s">
        <v>148</v>
      </c>
      <c r="J537" s="364" t="str">
        <f>IFERROR(VLOOKUP(I537,Map!$F$18:$G$56,2,0),"Add in Map")</f>
        <v>3P</v>
      </c>
      <c r="K537" s="364" t="str">
        <f>VLOOKUP(L537,Map!$C$18:$D$29,2,0)</f>
        <v>DVT</v>
      </c>
      <c r="L537" s="360" t="s">
        <v>42</v>
      </c>
      <c r="M537" s="365">
        <v>0</v>
      </c>
      <c r="N537" s="366">
        <f t="shared" si="147"/>
        <v>0</v>
      </c>
      <c r="O537" s="366">
        <f t="shared" si="148"/>
        <v>0</v>
      </c>
      <c r="P537" s="367">
        <f t="shared" si="149"/>
        <v>0</v>
      </c>
      <c r="Q537" s="367">
        <f t="shared" si="150"/>
        <v>0</v>
      </c>
      <c r="R537" s="368">
        <f t="shared" si="151"/>
        <v>0</v>
      </c>
      <c r="S537" s="384">
        <f>INDEX(FX!$D$3:$O$19,MATCH(B537,FX!$B$3:$B$32,0),MATCH(D537,FX!$D$2:$O$2,0))</f>
        <v>935</v>
      </c>
      <c r="T537" s="360" t="s">
        <v>141</v>
      </c>
      <c r="U537" s="360" t="s">
        <v>32</v>
      </c>
      <c r="V537" s="360" t="s">
        <v>83</v>
      </c>
      <c r="W537" s="364" t="str">
        <f>VLOOKUP(I537,Map!$F$18:$H$51,3,0)</f>
        <v>Variable</v>
      </c>
      <c r="X537" s="370" t="s">
        <v>172</v>
      </c>
      <c r="Y537" s="364" t="str">
        <f>VLOOKUP(L537,Map!$C$18:$D$29,2,0)</f>
        <v>DVT</v>
      </c>
      <c r="Z537" s="365"/>
      <c r="AA537" s="366">
        <f t="shared" si="152"/>
        <v>0</v>
      </c>
      <c r="AB537" s="366">
        <f t="shared" si="153"/>
        <v>0</v>
      </c>
      <c r="AC537" s="367">
        <f t="shared" si="154"/>
        <v>0</v>
      </c>
      <c r="AD537" s="367">
        <f t="shared" si="155"/>
        <v>0</v>
      </c>
      <c r="AE537" s="368">
        <f t="shared" si="156"/>
        <v>0</v>
      </c>
      <c r="AF537" s="385"/>
    </row>
    <row r="538" spans="2:32" s="1" customFormat="1" ht="13" hidden="1" x14ac:dyDescent="0.3">
      <c r="B538" s="383">
        <v>2026</v>
      </c>
      <c r="C538" s="361" t="s">
        <v>396</v>
      </c>
      <c r="D538" s="361" t="s">
        <v>359</v>
      </c>
      <c r="E538" s="360" t="s">
        <v>390</v>
      </c>
      <c r="F538" s="360" t="s">
        <v>172</v>
      </c>
      <c r="G538" s="362" t="s">
        <v>449</v>
      </c>
      <c r="H538" s="363">
        <v>4015</v>
      </c>
      <c r="I538" s="360" t="s">
        <v>148</v>
      </c>
      <c r="J538" s="364" t="str">
        <f>IFERROR(VLOOKUP(I538,Map!$F$18:$G$56,2,0),"Add in Map")</f>
        <v>3P</v>
      </c>
      <c r="K538" s="364" t="str">
        <f>VLOOKUP(L538,Map!$C$18:$D$29,2,0)</f>
        <v>GLT</v>
      </c>
      <c r="L538" s="360" t="s">
        <v>44</v>
      </c>
      <c r="M538" s="365">
        <v>9319118.5125291962</v>
      </c>
      <c r="N538" s="366">
        <f t="shared" si="147"/>
        <v>0</v>
      </c>
      <c r="O538" s="366">
        <f t="shared" si="148"/>
        <v>11089751.029909743</v>
      </c>
      <c r="P538" s="367">
        <f t="shared" si="149"/>
        <v>9966.9716711542205</v>
      </c>
      <c r="Q538" s="367">
        <f t="shared" si="150"/>
        <v>0</v>
      </c>
      <c r="R538" s="368">
        <f t="shared" si="151"/>
        <v>11860.696288673522</v>
      </c>
      <c r="S538" s="384">
        <f>INDEX(FX!$D$3:$O$19,MATCH(B538,FX!$B$3:$B$32,0),MATCH(D538,FX!$D$2:$O$2,0))</f>
        <v>935</v>
      </c>
      <c r="T538" s="360" t="s">
        <v>141</v>
      </c>
      <c r="U538" s="360" t="s">
        <v>32</v>
      </c>
      <c r="V538" s="360" t="s">
        <v>83</v>
      </c>
      <c r="W538" s="364" t="str">
        <f>VLOOKUP(I538,Map!$F$18:$H$51,3,0)</f>
        <v>Variable</v>
      </c>
      <c r="X538" s="370" t="s">
        <v>172</v>
      </c>
      <c r="Y538" s="364" t="str">
        <f>VLOOKUP(L538,Map!$C$18:$D$29,2,0)</f>
        <v>GLT</v>
      </c>
      <c r="Z538" s="365"/>
      <c r="AA538" s="366">
        <f t="shared" si="152"/>
        <v>0</v>
      </c>
      <c r="AB538" s="366">
        <f t="shared" si="153"/>
        <v>0</v>
      </c>
      <c r="AC538" s="367">
        <f t="shared" si="154"/>
        <v>0</v>
      </c>
      <c r="AD538" s="367">
        <f t="shared" si="155"/>
        <v>0</v>
      </c>
      <c r="AE538" s="368">
        <f t="shared" si="156"/>
        <v>0</v>
      </c>
      <c r="AF538" s="385"/>
    </row>
    <row r="539" spans="2:32" s="1" customFormat="1" ht="13" hidden="1" x14ac:dyDescent="0.3">
      <c r="B539" s="383">
        <v>2026</v>
      </c>
      <c r="C539" s="361" t="s">
        <v>396</v>
      </c>
      <c r="D539" s="361" t="s">
        <v>359</v>
      </c>
      <c r="E539" s="360" t="s">
        <v>390</v>
      </c>
      <c r="F539" s="360" t="s">
        <v>172</v>
      </c>
      <c r="G539" s="362" t="s">
        <v>449</v>
      </c>
      <c r="H539" s="363">
        <v>4015</v>
      </c>
      <c r="I539" s="360" t="s">
        <v>148</v>
      </c>
      <c r="J539" s="364" t="str">
        <f>IFERROR(VLOOKUP(I539,Map!$F$18:$G$56,2,0),"Add in Map")</f>
        <v>3P</v>
      </c>
      <c r="K539" s="364" t="str">
        <f>VLOOKUP(L539,Map!$C$18:$D$29,2,0)</f>
        <v>PNT</v>
      </c>
      <c r="L539" s="360" t="s">
        <v>46</v>
      </c>
      <c r="M539" s="365">
        <v>494025.20578058669</v>
      </c>
      <c r="N539" s="366">
        <f t="shared" si="147"/>
        <v>0</v>
      </c>
      <c r="O539" s="366">
        <f t="shared" si="148"/>
        <v>587889.99487889814</v>
      </c>
      <c r="P539" s="367">
        <f t="shared" si="149"/>
        <v>528.36920404340822</v>
      </c>
      <c r="Q539" s="367">
        <f t="shared" si="150"/>
        <v>0</v>
      </c>
      <c r="R539" s="368">
        <f t="shared" si="151"/>
        <v>628.75935281165573</v>
      </c>
      <c r="S539" s="384">
        <f>INDEX(FX!$D$3:$O$19,MATCH(B539,FX!$B$3:$B$32,0),MATCH(D539,FX!$D$2:$O$2,0))</f>
        <v>935</v>
      </c>
      <c r="T539" s="360" t="s">
        <v>141</v>
      </c>
      <c r="U539" s="360" t="s">
        <v>32</v>
      </c>
      <c r="V539" s="360" t="s">
        <v>83</v>
      </c>
      <c r="W539" s="364" t="str">
        <f>VLOOKUP(I539,Map!$F$18:$H$51,3,0)</f>
        <v>Variable</v>
      </c>
      <c r="X539" s="370" t="s">
        <v>172</v>
      </c>
      <c r="Y539" s="364" t="str">
        <f>VLOOKUP(L539,Map!$C$18:$D$29,2,0)</f>
        <v>PNT</v>
      </c>
      <c r="Z539" s="365"/>
      <c r="AA539" s="366">
        <f t="shared" si="152"/>
        <v>0</v>
      </c>
      <c r="AB539" s="366">
        <f t="shared" si="153"/>
        <v>0</v>
      </c>
      <c r="AC539" s="367">
        <f t="shared" si="154"/>
        <v>0</v>
      </c>
      <c r="AD539" s="367">
        <f t="shared" si="155"/>
        <v>0</v>
      </c>
      <c r="AE539" s="368">
        <f t="shared" si="156"/>
        <v>0</v>
      </c>
      <c r="AF539" s="385"/>
    </row>
    <row r="540" spans="2:32" s="1" customFormat="1" ht="13" hidden="1" x14ac:dyDescent="0.3">
      <c r="B540" s="383">
        <v>2026</v>
      </c>
      <c r="C540" s="361" t="s">
        <v>396</v>
      </c>
      <c r="D540" s="361" t="s">
        <v>359</v>
      </c>
      <c r="E540" s="360" t="s">
        <v>390</v>
      </c>
      <c r="F540" s="360" t="s">
        <v>172</v>
      </c>
      <c r="G540" s="362" t="s">
        <v>449</v>
      </c>
      <c r="H540" s="363">
        <v>4015</v>
      </c>
      <c r="I540" s="360" t="s">
        <v>148</v>
      </c>
      <c r="J540" s="364" t="str">
        <f>IFERROR(VLOOKUP(I540,Map!$F$18:$G$56,2,0),"Add in Map")</f>
        <v>3P</v>
      </c>
      <c r="K540" s="364" t="str">
        <f>VLOOKUP(L540,Map!$C$18:$D$29,2,0)</f>
        <v>GTT</v>
      </c>
      <c r="L540" s="360" t="s">
        <v>48</v>
      </c>
      <c r="M540" s="365">
        <v>559469.34794188268</v>
      </c>
      <c r="N540" s="366">
        <f t="shared" si="147"/>
        <v>0</v>
      </c>
      <c r="O540" s="366">
        <f t="shared" si="148"/>
        <v>665768.52405084041</v>
      </c>
      <c r="P540" s="367">
        <f t="shared" si="149"/>
        <v>598.3629389752756</v>
      </c>
      <c r="Q540" s="367">
        <f t="shared" si="150"/>
        <v>0</v>
      </c>
      <c r="R540" s="368">
        <f t="shared" si="151"/>
        <v>712.05189738057788</v>
      </c>
      <c r="S540" s="384">
        <f>INDEX(FX!$D$3:$O$19,MATCH(B540,FX!$B$3:$B$32,0),MATCH(D540,FX!$D$2:$O$2,0))</f>
        <v>935</v>
      </c>
      <c r="T540" s="360" t="s">
        <v>141</v>
      </c>
      <c r="U540" s="360" t="s">
        <v>32</v>
      </c>
      <c r="V540" s="360" t="s">
        <v>83</v>
      </c>
      <c r="W540" s="364" t="str">
        <f>VLOOKUP(I540,Map!$F$18:$H$51,3,0)</f>
        <v>Variable</v>
      </c>
      <c r="X540" s="370" t="s">
        <v>172</v>
      </c>
      <c r="Y540" s="364" t="str">
        <f>VLOOKUP(L540,Map!$C$18:$D$29,2,0)</f>
        <v>GTT</v>
      </c>
      <c r="Z540" s="365"/>
      <c r="AA540" s="366">
        <f t="shared" si="152"/>
        <v>0</v>
      </c>
      <c r="AB540" s="366">
        <f t="shared" si="153"/>
        <v>0</v>
      </c>
      <c r="AC540" s="367">
        <f t="shared" si="154"/>
        <v>0</v>
      </c>
      <c r="AD540" s="367">
        <f t="shared" si="155"/>
        <v>0</v>
      </c>
      <c r="AE540" s="368">
        <f t="shared" si="156"/>
        <v>0</v>
      </c>
      <c r="AF540" s="385"/>
    </row>
    <row r="541" spans="2:32" s="1" customFormat="1" ht="13" hidden="1" x14ac:dyDescent="0.3">
      <c r="B541" s="383">
        <v>2026</v>
      </c>
      <c r="C541" s="361" t="s">
        <v>396</v>
      </c>
      <c r="D541" s="361" t="s">
        <v>359</v>
      </c>
      <c r="E541" s="360" t="s">
        <v>390</v>
      </c>
      <c r="F541" s="360" t="s">
        <v>172</v>
      </c>
      <c r="G541" s="362" t="s">
        <v>449</v>
      </c>
      <c r="H541" s="363">
        <v>4015</v>
      </c>
      <c r="I541" s="360" t="s">
        <v>148</v>
      </c>
      <c r="J541" s="364" t="str">
        <f>IFERROR(VLOOKUP(I541,Map!$F$18:$G$56,2,0),"Add in Map")</f>
        <v>3P</v>
      </c>
      <c r="K541" s="364" t="str">
        <f>VLOOKUP(L541,Map!$C$18:$D$29,2,0)</f>
        <v>DGT</v>
      </c>
      <c r="L541" s="360" t="s">
        <v>50</v>
      </c>
      <c r="M541" s="365">
        <v>144074.32569831164</v>
      </c>
      <c r="N541" s="366">
        <f t="shared" si="147"/>
        <v>0</v>
      </c>
      <c r="O541" s="366">
        <f t="shared" si="148"/>
        <v>171448.44758099085</v>
      </c>
      <c r="P541" s="367">
        <f t="shared" si="149"/>
        <v>154.09018791263279</v>
      </c>
      <c r="Q541" s="367">
        <f t="shared" si="150"/>
        <v>0</v>
      </c>
      <c r="R541" s="368">
        <f t="shared" si="151"/>
        <v>183.36732361603302</v>
      </c>
      <c r="S541" s="384">
        <f>INDEX(FX!$D$3:$O$19,MATCH(B541,FX!$B$3:$B$32,0),MATCH(D541,FX!$D$2:$O$2,0))</f>
        <v>935</v>
      </c>
      <c r="T541" s="360" t="s">
        <v>141</v>
      </c>
      <c r="U541" s="360" t="s">
        <v>32</v>
      </c>
      <c r="V541" s="360" t="s">
        <v>83</v>
      </c>
      <c r="W541" s="364" t="str">
        <f>VLOOKUP(I541,Map!$F$18:$H$51,3,0)</f>
        <v>Variable</v>
      </c>
      <c r="X541" s="370" t="s">
        <v>172</v>
      </c>
      <c r="Y541" s="364" t="str">
        <f>VLOOKUP(L541,Map!$C$18:$D$29,2,0)</f>
        <v>DGT</v>
      </c>
      <c r="Z541" s="365"/>
      <c r="AA541" s="366">
        <f t="shared" si="152"/>
        <v>0</v>
      </c>
      <c r="AB541" s="366">
        <f t="shared" si="153"/>
        <v>0</v>
      </c>
      <c r="AC541" s="367">
        <f t="shared" si="154"/>
        <v>0</v>
      </c>
      <c r="AD541" s="367">
        <f t="shared" si="155"/>
        <v>0</v>
      </c>
      <c r="AE541" s="368">
        <f t="shared" si="156"/>
        <v>0</v>
      </c>
      <c r="AF541" s="385"/>
    </row>
    <row r="542" spans="2:32" s="1" customFormat="1" ht="13" hidden="1" x14ac:dyDescent="0.3">
      <c r="B542" s="383">
        <v>2026</v>
      </c>
      <c r="C542" s="361" t="s">
        <v>396</v>
      </c>
      <c r="D542" s="361" t="s">
        <v>359</v>
      </c>
      <c r="E542" s="360" t="s">
        <v>390</v>
      </c>
      <c r="F542" s="360" t="s">
        <v>172</v>
      </c>
      <c r="G542" s="362" t="s">
        <v>449</v>
      </c>
      <c r="H542" s="363">
        <v>4015</v>
      </c>
      <c r="I542" s="360" t="s">
        <v>148</v>
      </c>
      <c r="J542" s="364" t="str">
        <f>IFERROR(VLOOKUP(I542,Map!$F$18:$G$56,2,0),"Add in Map")</f>
        <v>3P</v>
      </c>
      <c r="K542" s="364" t="str">
        <f>VLOOKUP(L542,Map!$C$18:$D$29,2,0)</f>
        <v>DLT</v>
      </c>
      <c r="L542" s="360" t="s">
        <v>52</v>
      </c>
      <c r="M542" s="365">
        <v>0</v>
      </c>
      <c r="N542" s="366">
        <f t="shared" si="147"/>
        <v>0</v>
      </c>
      <c r="O542" s="366">
        <f t="shared" si="148"/>
        <v>0</v>
      </c>
      <c r="P542" s="367">
        <f t="shared" si="149"/>
        <v>0</v>
      </c>
      <c r="Q542" s="367">
        <f t="shared" si="150"/>
        <v>0</v>
      </c>
      <c r="R542" s="368">
        <f t="shared" si="151"/>
        <v>0</v>
      </c>
      <c r="S542" s="384">
        <f>INDEX(FX!$D$3:$O$19,MATCH(B542,FX!$B$3:$B$32,0),MATCH(D542,FX!$D$2:$O$2,0))</f>
        <v>935</v>
      </c>
      <c r="T542" s="360" t="s">
        <v>141</v>
      </c>
      <c r="U542" s="360" t="s">
        <v>32</v>
      </c>
      <c r="V542" s="360" t="s">
        <v>83</v>
      </c>
      <c r="W542" s="364" t="str">
        <f>VLOOKUP(I542,Map!$F$18:$H$51,3,0)</f>
        <v>Variable</v>
      </c>
      <c r="X542" s="370" t="s">
        <v>172</v>
      </c>
      <c r="Y542" s="364" t="str">
        <f>VLOOKUP(L542,Map!$C$18:$D$29,2,0)</f>
        <v>DLT</v>
      </c>
      <c r="Z542" s="365"/>
      <c r="AA542" s="366">
        <f t="shared" si="152"/>
        <v>0</v>
      </c>
      <c r="AB542" s="366">
        <f t="shared" si="153"/>
        <v>0</v>
      </c>
      <c r="AC542" s="367">
        <f t="shared" si="154"/>
        <v>0</v>
      </c>
      <c r="AD542" s="367">
        <f t="shared" si="155"/>
        <v>0</v>
      </c>
      <c r="AE542" s="368">
        <f t="shared" si="156"/>
        <v>0</v>
      </c>
      <c r="AF542" s="385"/>
    </row>
    <row r="543" spans="2:32" s="1" customFormat="1" ht="13" hidden="1" x14ac:dyDescent="0.3">
      <c r="B543" s="383">
        <v>2026</v>
      </c>
      <c r="C543" s="361" t="s">
        <v>396</v>
      </c>
      <c r="D543" s="361" t="s">
        <v>359</v>
      </c>
      <c r="E543" s="360" t="s">
        <v>390</v>
      </c>
      <c r="F543" s="360" t="s">
        <v>172</v>
      </c>
      <c r="G543" s="362" t="s">
        <v>449</v>
      </c>
      <c r="H543" s="363">
        <v>4015</v>
      </c>
      <c r="I543" s="360" t="s">
        <v>148</v>
      </c>
      <c r="J543" s="364" t="str">
        <f>IFERROR(VLOOKUP(I543,Map!$F$18:$G$56,2,0),"Add in Map")</f>
        <v>3P</v>
      </c>
      <c r="K543" s="364" t="str">
        <f>VLOOKUP(L543,Map!$C$18:$D$29,2,0)</f>
        <v>DMT</v>
      </c>
      <c r="L543" s="360" t="s">
        <v>54</v>
      </c>
      <c r="M543" s="365">
        <v>0</v>
      </c>
      <c r="N543" s="366">
        <f t="shared" si="147"/>
        <v>0</v>
      </c>
      <c r="O543" s="366">
        <f t="shared" si="148"/>
        <v>0</v>
      </c>
      <c r="P543" s="386">
        <f t="shared" si="149"/>
        <v>0</v>
      </c>
      <c r="Q543" s="367">
        <f t="shared" si="150"/>
        <v>0</v>
      </c>
      <c r="R543" s="368">
        <f t="shared" si="151"/>
        <v>0</v>
      </c>
      <c r="S543" s="384">
        <f>INDEX(FX!$D$3:$O$19,MATCH(B543,FX!$B$3:$B$32,0),MATCH(D543,FX!$D$2:$O$2,0))</f>
        <v>935</v>
      </c>
      <c r="T543" s="360" t="s">
        <v>141</v>
      </c>
      <c r="U543" s="360" t="s">
        <v>32</v>
      </c>
      <c r="V543" s="360" t="s">
        <v>83</v>
      </c>
      <c r="W543" s="364" t="str">
        <f>VLOOKUP(I543,Map!$F$18:$H$51,3,0)</f>
        <v>Variable</v>
      </c>
      <c r="X543" s="370" t="s">
        <v>172</v>
      </c>
      <c r="Y543" s="364" t="str">
        <f>VLOOKUP(L543,Map!$C$18:$D$29,2,0)</f>
        <v>DMT</v>
      </c>
      <c r="Z543" s="365"/>
      <c r="AA543" s="366">
        <f t="shared" si="152"/>
        <v>0</v>
      </c>
      <c r="AB543" s="366">
        <f t="shared" si="153"/>
        <v>0</v>
      </c>
      <c r="AC543" s="386">
        <f t="shared" si="154"/>
        <v>0</v>
      </c>
      <c r="AD543" s="367">
        <f t="shared" si="155"/>
        <v>0</v>
      </c>
      <c r="AE543" s="368">
        <f t="shared" si="156"/>
        <v>0</v>
      </c>
      <c r="AF543" s="385"/>
    </row>
    <row r="544" spans="2:32" s="37" customFormat="1" hidden="1" x14ac:dyDescent="0.35">
      <c r="B544" s="387">
        <v>2026</v>
      </c>
      <c r="C544" s="389" t="s">
        <v>396</v>
      </c>
      <c r="D544" s="389" t="s">
        <v>359</v>
      </c>
      <c r="E544" s="388" t="s">
        <v>390</v>
      </c>
      <c r="F544" s="388" t="s">
        <v>172</v>
      </c>
      <c r="G544" s="390" t="s">
        <v>449</v>
      </c>
      <c r="H544" s="391">
        <v>4015</v>
      </c>
      <c r="I544" s="388" t="s">
        <v>148</v>
      </c>
      <c r="J544" s="392" t="str">
        <f>IFERROR(VLOOKUP(I544,Map!$F$18:$G$56,2,0),"Add in Map")</f>
        <v>3P</v>
      </c>
      <c r="K544" s="392" t="str">
        <f>VLOOKUP(L544,Map!$C$18:$D$29,2,0)</f>
        <v>TOTAL</v>
      </c>
      <c r="L544" s="388" t="s">
        <v>56</v>
      </c>
      <c r="M544" s="393">
        <f>SUM(M533:M543)</f>
        <v>29195783.000000004</v>
      </c>
      <c r="N544" s="393">
        <f t="shared" si="147"/>
        <v>5547198.7700000005</v>
      </c>
      <c r="O544" s="393">
        <f t="shared" si="148"/>
        <v>34742981.770000003</v>
      </c>
      <c r="P544" s="394">
        <f t="shared" si="149"/>
        <v>31225.436363636367</v>
      </c>
      <c r="Q544" s="394">
        <f t="shared" si="150"/>
        <v>5932.8329090909101</v>
      </c>
      <c r="R544" s="395">
        <f t="shared" si="151"/>
        <v>37158.269272727273</v>
      </c>
      <c r="S544" s="396">
        <f>INDEX(FX!$D$3:$O$19,MATCH(B544,FX!$B$3:$B$32,0),MATCH(D544,FX!$D$2:$O$2,0))</f>
        <v>935</v>
      </c>
      <c r="T544" s="388" t="s">
        <v>141</v>
      </c>
      <c r="U544" s="388" t="s">
        <v>32</v>
      </c>
      <c r="V544" s="388" t="s">
        <v>83</v>
      </c>
      <c r="W544" s="392" t="str">
        <f>VLOOKUP(I544,Map!$F$18:$H$51,3,0)</f>
        <v>Variable</v>
      </c>
      <c r="X544" s="397" t="s">
        <v>172</v>
      </c>
      <c r="Y544" s="392" t="str">
        <f>VLOOKUP(L544,Map!$C$18:$D$29,2,0)</f>
        <v>TOTAL</v>
      </c>
      <c r="Z544" s="413"/>
      <c r="AA544" s="393">
        <f t="shared" si="152"/>
        <v>0</v>
      </c>
      <c r="AB544" s="393">
        <f t="shared" si="153"/>
        <v>0</v>
      </c>
      <c r="AC544" s="394">
        <f t="shared" si="154"/>
        <v>0</v>
      </c>
      <c r="AD544" s="394">
        <f t="shared" si="155"/>
        <v>0</v>
      </c>
      <c r="AE544" s="395">
        <f t="shared" si="156"/>
        <v>0</v>
      </c>
      <c r="AF544" s="398"/>
    </row>
    <row r="545" spans="2:32" s="1" customFormat="1" ht="13" hidden="1" x14ac:dyDescent="0.3">
      <c r="B545" s="383">
        <v>2026</v>
      </c>
      <c r="C545" s="361" t="s">
        <v>398</v>
      </c>
      <c r="D545" s="361" t="s">
        <v>359</v>
      </c>
      <c r="E545" s="360" t="s">
        <v>393</v>
      </c>
      <c r="F545" s="360" t="s">
        <v>172</v>
      </c>
      <c r="G545" s="362"/>
      <c r="H545" s="363"/>
      <c r="I545" s="360" t="s">
        <v>147</v>
      </c>
      <c r="J545" s="364" t="str">
        <f>IFERROR(VLOOKUP(I545,Map!$F$18:$G$56,2,0),"Add in Map")</f>
        <v>3P</v>
      </c>
      <c r="K545" s="364" t="str">
        <f>VLOOKUP(L545,Map!$C$18:$D$29,2,0)</f>
        <v>CNT</v>
      </c>
      <c r="L545" s="360" t="s">
        <v>31</v>
      </c>
      <c r="M545" s="365"/>
      <c r="N545" s="366">
        <f t="shared" ref="N545:N556" si="157">IF(L545="TOTAL",(M545*0.19),0)</f>
        <v>0</v>
      </c>
      <c r="O545" s="366">
        <f t="shared" ref="O545:O556" si="158">M545*1.19</f>
        <v>0</v>
      </c>
      <c r="P545" s="367">
        <f t="shared" ref="P545:P556" si="159">M545/S545</f>
        <v>0</v>
      </c>
      <c r="Q545" s="367">
        <f t="shared" ref="Q545:Q556" si="160">IF(L545="TOTAL",(P545*0.19),0)</f>
        <v>0</v>
      </c>
      <c r="R545" s="368">
        <f t="shared" ref="R545:R556" si="161">P545*1.19</f>
        <v>0</v>
      </c>
      <c r="S545" s="384">
        <f>INDEX(FX!$D$3:$O$19,MATCH(B545,FX!$B$3:$B$32,0),MATCH(D545,FX!$D$2:$O$2,0))</f>
        <v>935</v>
      </c>
      <c r="T545" s="360" t="s">
        <v>141</v>
      </c>
      <c r="U545" s="360" t="s">
        <v>32</v>
      </c>
      <c r="V545" s="360" t="s">
        <v>83</v>
      </c>
      <c r="W545" s="364" t="str">
        <f>VLOOKUP(I545,Map!$F$18:$H$51,3,0)</f>
        <v>Variable</v>
      </c>
      <c r="X545" s="370" t="s">
        <v>172</v>
      </c>
      <c r="Y545" s="364" t="str">
        <f>VLOOKUP(L545,Map!$C$18:$D$29,2,0)</f>
        <v>CNT</v>
      </c>
      <c r="Z545" s="365"/>
      <c r="AA545" s="366">
        <f t="shared" ref="AA545:AA556" si="162">IF(Y545="TOTAL",(Z545*0.19),0)</f>
        <v>0</v>
      </c>
      <c r="AB545" s="366">
        <f t="shared" ref="AB545:AB556" si="163">Z545*1.19</f>
        <v>0</v>
      </c>
      <c r="AC545" s="367">
        <f t="shared" ref="AC545:AC556" si="164">Z545/S545</f>
        <v>0</v>
      </c>
      <c r="AD545" s="367">
        <f t="shared" ref="AD545:AD556" si="165">IF(Y545="TOTAL",(AC545*0.19),0)</f>
        <v>0</v>
      </c>
      <c r="AE545" s="368">
        <f t="shared" ref="AE545:AE556" si="166">AC545*1.19</f>
        <v>0</v>
      </c>
      <c r="AF545" s="385"/>
    </row>
    <row r="546" spans="2:32" s="1" customFormat="1" ht="13" hidden="1" x14ac:dyDescent="0.3">
      <c r="B546" s="383">
        <v>2026</v>
      </c>
      <c r="C546" s="361" t="s">
        <v>398</v>
      </c>
      <c r="D546" s="361" t="s">
        <v>359</v>
      </c>
      <c r="E546" s="360" t="s">
        <v>393</v>
      </c>
      <c r="F546" s="360" t="s">
        <v>172</v>
      </c>
      <c r="G546" s="362"/>
      <c r="H546" s="363"/>
      <c r="I546" s="360" t="s">
        <v>147</v>
      </c>
      <c r="J546" s="364" t="str">
        <f>IFERROR(VLOOKUP(I546,Map!$F$18:$G$56,2,0),"Add in Map")</f>
        <v>3P</v>
      </c>
      <c r="K546" s="364" t="str">
        <f>VLOOKUP(L546,Map!$C$18:$D$29,2,0)</f>
        <v>CVT</v>
      </c>
      <c r="L546" s="360" t="s">
        <v>36</v>
      </c>
      <c r="M546" s="365"/>
      <c r="N546" s="366">
        <f t="shared" si="157"/>
        <v>0</v>
      </c>
      <c r="O546" s="366">
        <f t="shared" si="158"/>
        <v>0</v>
      </c>
      <c r="P546" s="367">
        <f t="shared" si="159"/>
        <v>0</v>
      </c>
      <c r="Q546" s="367">
        <f t="shared" si="160"/>
        <v>0</v>
      </c>
      <c r="R546" s="368">
        <f t="shared" si="161"/>
        <v>0</v>
      </c>
      <c r="S546" s="384">
        <f>INDEX(FX!$D$3:$O$19,MATCH(B546,FX!$B$3:$B$32,0),MATCH(D546,FX!$D$2:$O$2,0))</f>
        <v>935</v>
      </c>
      <c r="T546" s="360" t="s">
        <v>141</v>
      </c>
      <c r="U546" s="360" t="s">
        <v>32</v>
      </c>
      <c r="V546" s="360" t="s">
        <v>83</v>
      </c>
      <c r="W546" s="364" t="str">
        <f>VLOOKUP(I546,Map!$F$18:$H$51,3,0)</f>
        <v>Variable</v>
      </c>
      <c r="X546" s="370" t="s">
        <v>172</v>
      </c>
      <c r="Y546" s="364" t="str">
        <f>VLOOKUP(L546,Map!$C$18:$D$29,2,0)</f>
        <v>CVT</v>
      </c>
      <c r="Z546" s="365"/>
      <c r="AA546" s="366">
        <f t="shared" si="162"/>
        <v>0</v>
      </c>
      <c r="AB546" s="366">
        <f t="shared" si="163"/>
        <v>0</v>
      </c>
      <c r="AC546" s="367">
        <f t="shared" si="164"/>
        <v>0</v>
      </c>
      <c r="AD546" s="367">
        <f t="shared" si="165"/>
        <v>0</v>
      </c>
      <c r="AE546" s="368">
        <f t="shared" si="166"/>
        <v>0</v>
      </c>
      <c r="AF546" s="385"/>
    </row>
    <row r="547" spans="2:32" s="1" customFormat="1" ht="13" hidden="1" x14ac:dyDescent="0.3">
      <c r="B547" s="383">
        <v>2026</v>
      </c>
      <c r="C547" s="361" t="s">
        <v>398</v>
      </c>
      <c r="D547" s="361" t="s">
        <v>359</v>
      </c>
      <c r="E547" s="360" t="s">
        <v>393</v>
      </c>
      <c r="F547" s="360" t="s">
        <v>172</v>
      </c>
      <c r="G547" s="362"/>
      <c r="H547" s="363"/>
      <c r="I547" s="360" t="s">
        <v>147</v>
      </c>
      <c r="J547" s="364" t="str">
        <f>IFERROR(VLOOKUP(I547,Map!$F$18:$G$56,2,0),"Add in Map")</f>
        <v>3P</v>
      </c>
      <c r="K547" s="364" t="str">
        <f>VLOOKUP(L547,Map!$C$18:$D$29,2,0)</f>
        <v>CDT</v>
      </c>
      <c r="L547" s="360" t="s">
        <v>38</v>
      </c>
      <c r="M547" s="365"/>
      <c r="N547" s="366">
        <f t="shared" si="157"/>
        <v>0</v>
      </c>
      <c r="O547" s="366">
        <f t="shared" si="158"/>
        <v>0</v>
      </c>
      <c r="P547" s="367">
        <f t="shared" si="159"/>
        <v>0</v>
      </c>
      <c r="Q547" s="367">
        <f t="shared" si="160"/>
        <v>0</v>
      </c>
      <c r="R547" s="368">
        <f t="shared" si="161"/>
        <v>0</v>
      </c>
      <c r="S547" s="384">
        <f>INDEX(FX!$D$3:$O$19,MATCH(B547,FX!$B$3:$B$32,0),MATCH(D547,FX!$D$2:$O$2,0))</f>
        <v>935</v>
      </c>
      <c r="T547" s="360" t="s">
        <v>141</v>
      </c>
      <c r="U547" s="360" t="s">
        <v>32</v>
      </c>
      <c r="V547" s="360" t="s">
        <v>83</v>
      </c>
      <c r="W547" s="364" t="str">
        <f>VLOOKUP(I547,Map!$F$18:$H$51,3,0)</f>
        <v>Variable</v>
      </c>
      <c r="X547" s="370" t="s">
        <v>172</v>
      </c>
      <c r="Y547" s="364" t="str">
        <f>VLOOKUP(L547,Map!$C$18:$D$29,2,0)</f>
        <v>CDT</v>
      </c>
      <c r="Z547" s="365"/>
      <c r="AA547" s="366">
        <f t="shared" si="162"/>
        <v>0</v>
      </c>
      <c r="AB547" s="366">
        <f t="shared" si="163"/>
        <v>0</v>
      </c>
      <c r="AC547" s="367">
        <f t="shared" si="164"/>
        <v>0</v>
      </c>
      <c r="AD547" s="367">
        <f t="shared" si="165"/>
        <v>0</v>
      </c>
      <c r="AE547" s="368">
        <f t="shared" si="166"/>
        <v>0</v>
      </c>
      <c r="AF547" s="385"/>
    </row>
    <row r="548" spans="2:32" s="1" customFormat="1" ht="13" hidden="1" x14ac:dyDescent="0.3">
      <c r="B548" s="383">
        <v>2026</v>
      </c>
      <c r="C548" s="361" t="s">
        <v>398</v>
      </c>
      <c r="D548" s="361" t="s">
        <v>359</v>
      </c>
      <c r="E548" s="360" t="s">
        <v>393</v>
      </c>
      <c r="F548" s="360" t="s">
        <v>172</v>
      </c>
      <c r="G548" s="362"/>
      <c r="H548" s="363"/>
      <c r="I548" s="360" t="s">
        <v>147</v>
      </c>
      <c r="J548" s="364" t="str">
        <f>IFERROR(VLOOKUP(I548,Map!$F$18:$G$56,2,0),"Add in Map")</f>
        <v>3P</v>
      </c>
      <c r="K548" s="364" t="str">
        <f>VLOOKUP(L548,Map!$C$18:$D$29,2,0)</f>
        <v>DFT</v>
      </c>
      <c r="L548" s="360" t="s">
        <v>40</v>
      </c>
      <c r="M548" s="365"/>
      <c r="N548" s="366">
        <f t="shared" si="157"/>
        <v>0</v>
      </c>
      <c r="O548" s="366">
        <f t="shared" si="158"/>
        <v>0</v>
      </c>
      <c r="P548" s="367">
        <f t="shared" si="159"/>
        <v>0</v>
      </c>
      <c r="Q548" s="367">
        <f t="shared" si="160"/>
        <v>0</v>
      </c>
      <c r="R548" s="368">
        <f t="shared" si="161"/>
        <v>0</v>
      </c>
      <c r="S548" s="384">
        <f>INDEX(FX!$D$3:$O$19,MATCH(B548,FX!$B$3:$B$32,0),MATCH(D548,FX!$D$2:$O$2,0))</f>
        <v>935</v>
      </c>
      <c r="T548" s="360" t="s">
        <v>141</v>
      </c>
      <c r="U548" s="360" t="s">
        <v>32</v>
      </c>
      <c r="V548" s="360" t="s">
        <v>83</v>
      </c>
      <c r="W548" s="364" t="str">
        <f>VLOOKUP(I548,Map!$F$18:$H$51,3,0)</f>
        <v>Variable</v>
      </c>
      <c r="X548" s="370" t="s">
        <v>172</v>
      </c>
      <c r="Y548" s="364" t="str">
        <f>VLOOKUP(L548,Map!$C$18:$D$29,2,0)</f>
        <v>DFT</v>
      </c>
      <c r="Z548" s="365"/>
      <c r="AA548" s="366">
        <f t="shared" si="162"/>
        <v>0</v>
      </c>
      <c r="AB548" s="366">
        <f t="shared" si="163"/>
        <v>0</v>
      </c>
      <c r="AC548" s="367">
        <f t="shared" si="164"/>
        <v>0</v>
      </c>
      <c r="AD548" s="367">
        <f t="shared" si="165"/>
        <v>0</v>
      </c>
      <c r="AE548" s="368">
        <f t="shared" si="166"/>
        <v>0</v>
      </c>
      <c r="AF548" s="385"/>
    </row>
    <row r="549" spans="2:32" s="1" customFormat="1" ht="13" hidden="1" x14ac:dyDescent="0.3">
      <c r="B549" s="383">
        <v>2026</v>
      </c>
      <c r="C549" s="361" t="s">
        <v>398</v>
      </c>
      <c r="D549" s="361" t="s">
        <v>359</v>
      </c>
      <c r="E549" s="360" t="s">
        <v>393</v>
      </c>
      <c r="F549" s="360" t="s">
        <v>172</v>
      </c>
      <c r="G549" s="362"/>
      <c r="H549" s="363"/>
      <c r="I549" s="360" t="s">
        <v>147</v>
      </c>
      <c r="J549" s="364" t="str">
        <f>IFERROR(VLOOKUP(I549,Map!$F$18:$G$56,2,0),"Add in Map")</f>
        <v>3P</v>
      </c>
      <c r="K549" s="364" t="str">
        <f>VLOOKUP(L549,Map!$C$18:$D$29,2,0)</f>
        <v>DVT</v>
      </c>
      <c r="L549" s="360" t="s">
        <v>42</v>
      </c>
      <c r="M549" s="365"/>
      <c r="N549" s="366">
        <f t="shared" si="157"/>
        <v>0</v>
      </c>
      <c r="O549" s="366">
        <f t="shared" si="158"/>
        <v>0</v>
      </c>
      <c r="P549" s="367">
        <f t="shared" si="159"/>
        <v>0</v>
      </c>
      <c r="Q549" s="367">
        <f t="shared" si="160"/>
        <v>0</v>
      </c>
      <c r="R549" s="368">
        <f t="shared" si="161"/>
        <v>0</v>
      </c>
      <c r="S549" s="384">
        <f>INDEX(FX!$D$3:$O$19,MATCH(B549,FX!$B$3:$B$32,0),MATCH(D549,FX!$D$2:$O$2,0))</f>
        <v>935</v>
      </c>
      <c r="T549" s="360" t="s">
        <v>141</v>
      </c>
      <c r="U549" s="360" t="s">
        <v>32</v>
      </c>
      <c r="V549" s="360" t="s">
        <v>83</v>
      </c>
      <c r="W549" s="364" t="str">
        <f>VLOOKUP(I549,Map!$F$18:$H$51,3,0)</f>
        <v>Variable</v>
      </c>
      <c r="X549" s="370" t="s">
        <v>172</v>
      </c>
      <c r="Y549" s="364" t="str">
        <f>VLOOKUP(L549,Map!$C$18:$D$29,2,0)</f>
        <v>DVT</v>
      </c>
      <c r="Z549" s="365"/>
      <c r="AA549" s="366">
        <f t="shared" si="162"/>
        <v>0</v>
      </c>
      <c r="AB549" s="366">
        <f t="shared" si="163"/>
        <v>0</v>
      </c>
      <c r="AC549" s="367">
        <f t="shared" si="164"/>
        <v>0</v>
      </c>
      <c r="AD549" s="367">
        <f t="shared" si="165"/>
        <v>0</v>
      </c>
      <c r="AE549" s="368">
        <f t="shared" si="166"/>
        <v>0</v>
      </c>
      <c r="AF549" s="385"/>
    </row>
    <row r="550" spans="2:32" s="1" customFormat="1" ht="13" hidden="1" x14ac:dyDescent="0.3">
      <c r="B550" s="383">
        <v>2026</v>
      </c>
      <c r="C550" s="361" t="s">
        <v>398</v>
      </c>
      <c r="D550" s="361" t="s">
        <v>359</v>
      </c>
      <c r="E550" s="360" t="s">
        <v>393</v>
      </c>
      <c r="F550" s="360" t="s">
        <v>172</v>
      </c>
      <c r="G550" s="362"/>
      <c r="H550" s="363"/>
      <c r="I550" s="360" t="s">
        <v>147</v>
      </c>
      <c r="J550" s="364" t="str">
        <f>IFERROR(VLOOKUP(I550,Map!$F$18:$G$56,2,0),"Add in Map")</f>
        <v>3P</v>
      </c>
      <c r="K550" s="364" t="str">
        <f>VLOOKUP(L550,Map!$C$18:$D$29,2,0)</f>
        <v>GLT</v>
      </c>
      <c r="L550" s="360" t="s">
        <v>44</v>
      </c>
      <c r="M550" s="365"/>
      <c r="N550" s="366">
        <f t="shared" si="157"/>
        <v>0</v>
      </c>
      <c r="O550" s="366">
        <f t="shared" si="158"/>
        <v>0</v>
      </c>
      <c r="P550" s="367">
        <f t="shared" si="159"/>
        <v>0</v>
      </c>
      <c r="Q550" s="367">
        <f t="shared" si="160"/>
        <v>0</v>
      </c>
      <c r="R550" s="368">
        <f t="shared" si="161"/>
        <v>0</v>
      </c>
      <c r="S550" s="384">
        <f>INDEX(FX!$D$3:$O$19,MATCH(B550,FX!$B$3:$B$32,0),MATCH(D550,FX!$D$2:$O$2,0))</f>
        <v>935</v>
      </c>
      <c r="T550" s="360" t="s">
        <v>141</v>
      </c>
      <c r="U550" s="360" t="s">
        <v>32</v>
      </c>
      <c r="V550" s="360" t="s">
        <v>83</v>
      </c>
      <c r="W550" s="364" t="str">
        <f>VLOOKUP(I550,Map!$F$18:$H$51,3,0)</f>
        <v>Variable</v>
      </c>
      <c r="X550" s="370" t="s">
        <v>172</v>
      </c>
      <c r="Y550" s="364" t="str">
        <f>VLOOKUP(L550,Map!$C$18:$D$29,2,0)</f>
        <v>GLT</v>
      </c>
      <c r="Z550" s="365"/>
      <c r="AA550" s="366">
        <f t="shared" si="162"/>
        <v>0</v>
      </c>
      <c r="AB550" s="366">
        <f t="shared" si="163"/>
        <v>0</v>
      </c>
      <c r="AC550" s="367">
        <f t="shared" si="164"/>
        <v>0</v>
      </c>
      <c r="AD550" s="367">
        <f t="shared" si="165"/>
        <v>0</v>
      </c>
      <c r="AE550" s="368">
        <f t="shared" si="166"/>
        <v>0</v>
      </c>
      <c r="AF550" s="385"/>
    </row>
    <row r="551" spans="2:32" s="1" customFormat="1" ht="13" hidden="1" x14ac:dyDescent="0.3">
      <c r="B551" s="383">
        <v>2026</v>
      </c>
      <c r="C551" s="361" t="s">
        <v>398</v>
      </c>
      <c r="D551" s="361" t="s">
        <v>359</v>
      </c>
      <c r="E551" s="360" t="s">
        <v>393</v>
      </c>
      <c r="F551" s="360" t="s">
        <v>172</v>
      </c>
      <c r="G551" s="362"/>
      <c r="H551" s="363"/>
      <c r="I551" s="360" t="s">
        <v>147</v>
      </c>
      <c r="J551" s="364" t="str">
        <f>IFERROR(VLOOKUP(I551,Map!$F$18:$G$56,2,0),"Add in Map")</f>
        <v>3P</v>
      </c>
      <c r="K551" s="364" t="str">
        <f>VLOOKUP(L551,Map!$C$18:$D$29,2,0)</f>
        <v>PNT</v>
      </c>
      <c r="L551" s="360" t="s">
        <v>46</v>
      </c>
      <c r="M551" s="365"/>
      <c r="N551" s="366">
        <f t="shared" si="157"/>
        <v>0</v>
      </c>
      <c r="O551" s="366">
        <f t="shared" si="158"/>
        <v>0</v>
      </c>
      <c r="P551" s="367">
        <f t="shared" si="159"/>
        <v>0</v>
      </c>
      <c r="Q551" s="367">
        <f t="shared" si="160"/>
        <v>0</v>
      </c>
      <c r="R551" s="368">
        <f t="shared" si="161"/>
        <v>0</v>
      </c>
      <c r="S551" s="384">
        <f>INDEX(FX!$D$3:$O$19,MATCH(B551,FX!$B$3:$B$32,0),MATCH(D551,FX!$D$2:$O$2,0))</f>
        <v>935</v>
      </c>
      <c r="T551" s="360" t="s">
        <v>141</v>
      </c>
      <c r="U551" s="360" t="s">
        <v>32</v>
      </c>
      <c r="V551" s="360" t="s">
        <v>83</v>
      </c>
      <c r="W551" s="364" t="str">
        <f>VLOOKUP(I551,Map!$F$18:$H$51,3,0)</f>
        <v>Variable</v>
      </c>
      <c r="X551" s="370" t="s">
        <v>172</v>
      </c>
      <c r="Y551" s="364" t="str">
        <f>VLOOKUP(L551,Map!$C$18:$D$29,2,0)</f>
        <v>PNT</v>
      </c>
      <c r="Z551" s="365"/>
      <c r="AA551" s="366">
        <f t="shared" si="162"/>
        <v>0</v>
      </c>
      <c r="AB551" s="366">
        <f t="shared" si="163"/>
        <v>0</v>
      </c>
      <c r="AC551" s="367">
        <f t="shared" si="164"/>
        <v>0</v>
      </c>
      <c r="AD551" s="367">
        <f t="shared" si="165"/>
        <v>0</v>
      </c>
      <c r="AE551" s="368">
        <f t="shared" si="166"/>
        <v>0</v>
      </c>
      <c r="AF551" s="385"/>
    </row>
    <row r="552" spans="2:32" s="1" customFormat="1" ht="13" hidden="1" x14ac:dyDescent="0.3">
      <c r="B552" s="383">
        <v>2026</v>
      </c>
      <c r="C552" s="361" t="s">
        <v>398</v>
      </c>
      <c r="D552" s="361" t="s">
        <v>359</v>
      </c>
      <c r="E552" s="360" t="s">
        <v>393</v>
      </c>
      <c r="F552" s="360" t="s">
        <v>172</v>
      </c>
      <c r="G552" s="362"/>
      <c r="H552" s="363"/>
      <c r="I552" s="360" t="s">
        <v>147</v>
      </c>
      <c r="J552" s="364" t="str">
        <f>IFERROR(VLOOKUP(I552,Map!$F$18:$G$56,2,0),"Add in Map")</f>
        <v>3P</v>
      </c>
      <c r="K552" s="364" t="str">
        <f>VLOOKUP(L552,Map!$C$18:$D$29,2,0)</f>
        <v>GTT</v>
      </c>
      <c r="L552" s="360" t="s">
        <v>48</v>
      </c>
      <c r="M552" s="365"/>
      <c r="N552" s="366">
        <f t="shared" si="157"/>
        <v>0</v>
      </c>
      <c r="O552" s="366">
        <f t="shared" si="158"/>
        <v>0</v>
      </c>
      <c r="P552" s="367">
        <f t="shared" si="159"/>
        <v>0</v>
      </c>
      <c r="Q552" s="367">
        <f t="shared" si="160"/>
        <v>0</v>
      </c>
      <c r="R552" s="368">
        <f t="shared" si="161"/>
        <v>0</v>
      </c>
      <c r="S552" s="384">
        <f>INDEX(FX!$D$3:$O$19,MATCH(B552,FX!$B$3:$B$32,0),MATCH(D552,FX!$D$2:$O$2,0))</f>
        <v>935</v>
      </c>
      <c r="T552" s="360" t="s">
        <v>141</v>
      </c>
      <c r="U552" s="360" t="s">
        <v>32</v>
      </c>
      <c r="V552" s="360" t="s">
        <v>83</v>
      </c>
      <c r="W552" s="364" t="str">
        <f>VLOOKUP(I552,Map!$F$18:$H$51,3,0)</f>
        <v>Variable</v>
      </c>
      <c r="X552" s="370" t="s">
        <v>172</v>
      </c>
      <c r="Y552" s="364" t="str">
        <f>VLOOKUP(L552,Map!$C$18:$D$29,2,0)</f>
        <v>GTT</v>
      </c>
      <c r="Z552" s="365"/>
      <c r="AA552" s="366">
        <f t="shared" si="162"/>
        <v>0</v>
      </c>
      <c r="AB552" s="366">
        <f t="shared" si="163"/>
        <v>0</v>
      </c>
      <c r="AC552" s="367">
        <f t="shared" si="164"/>
        <v>0</v>
      </c>
      <c r="AD552" s="367">
        <f t="shared" si="165"/>
        <v>0</v>
      </c>
      <c r="AE552" s="368">
        <f t="shared" si="166"/>
        <v>0</v>
      </c>
      <c r="AF552" s="385"/>
    </row>
    <row r="553" spans="2:32" s="1" customFormat="1" ht="13" hidden="1" x14ac:dyDescent="0.3">
      <c r="B553" s="383">
        <v>2026</v>
      </c>
      <c r="C553" s="361" t="s">
        <v>398</v>
      </c>
      <c r="D553" s="361" t="s">
        <v>359</v>
      </c>
      <c r="E553" s="360" t="s">
        <v>393</v>
      </c>
      <c r="F553" s="360" t="s">
        <v>172</v>
      </c>
      <c r="G553" s="362"/>
      <c r="H553" s="363"/>
      <c r="I553" s="360" t="s">
        <v>147</v>
      </c>
      <c r="J553" s="364" t="str">
        <f>IFERROR(VLOOKUP(I553,Map!$F$18:$G$56,2,0),"Add in Map")</f>
        <v>3P</v>
      </c>
      <c r="K553" s="364" t="str">
        <f>VLOOKUP(L553,Map!$C$18:$D$29,2,0)</f>
        <v>DGT</v>
      </c>
      <c r="L553" s="360" t="s">
        <v>50</v>
      </c>
      <c r="M553" s="365"/>
      <c r="N553" s="366">
        <f t="shared" si="157"/>
        <v>0</v>
      </c>
      <c r="O553" s="366">
        <f t="shared" si="158"/>
        <v>0</v>
      </c>
      <c r="P553" s="367">
        <f t="shared" si="159"/>
        <v>0</v>
      </c>
      <c r="Q553" s="367">
        <f t="shared" si="160"/>
        <v>0</v>
      </c>
      <c r="R553" s="368">
        <f t="shared" si="161"/>
        <v>0</v>
      </c>
      <c r="S553" s="384">
        <f>INDEX(FX!$D$3:$O$19,MATCH(B553,FX!$B$3:$B$32,0),MATCH(D553,FX!$D$2:$O$2,0))</f>
        <v>935</v>
      </c>
      <c r="T553" s="360" t="s">
        <v>141</v>
      </c>
      <c r="U553" s="360" t="s">
        <v>32</v>
      </c>
      <c r="V553" s="360" t="s">
        <v>83</v>
      </c>
      <c r="W553" s="364" t="str">
        <f>VLOOKUP(I553,Map!$F$18:$H$51,3,0)</f>
        <v>Variable</v>
      </c>
      <c r="X553" s="370" t="s">
        <v>172</v>
      </c>
      <c r="Y553" s="364" t="str">
        <f>VLOOKUP(L553,Map!$C$18:$D$29,2,0)</f>
        <v>DGT</v>
      </c>
      <c r="Z553" s="365"/>
      <c r="AA553" s="366">
        <f t="shared" si="162"/>
        <v>0</v>
      </c>
      <c r="AB553" s="366">
        <f t="shared" si="163"/>
        <v>0</v>
      </c>
      <c r="AC553" s="367">
        <f t="shared" si="164"/>
        <v>0</v>
      </c>
      <c r="AD553" s="367">
        <f t="shared" si="165"/>
        <v>0</v>
      </c>
      <c r="AE553" s="368">
        <f t="shared" si="166"/>
        <v>0</v>
      </c>
      <c r="AF553" s="385"/>
    </row>
    <row r="554" spans="2:32" s="1" customFormat="1" ht="13" hidden="1" x14ac:dyDescent="0.3">
      <c r="B554" s="383">
        <v>2026</v>
      </c>
      <c r="C554" s="361" t="s">
        <v>398</v>
      </c>
      <c r="D554" s="361" t="s">
        <v>359</v>
      </c>
      <c r="E554" s="360" t="s">
        <v>393</v>
      </c>
      <c r="F554" s="360" t="s">
        <v>172</v>
      </c>
      <c r="G554" s="362"/>
      <c r="H554" s="363"/>
      <c r="I554" s="360" t="s">
        <v>147</v>
      </c>
      <c r="J554" s="364" t="str">
        <f>IFERROR(VLOOKUP(I554,Map!$F$18:$G$56,2,0),"Add in Map")</f>
        <v>3P</v>
      </c>
      <c r="K554" s="364" t="str">
        <f>VLOOKUP(L554,Map!$C$18:$D$29,2,0)</f>
        <v>DLT</v>
      </c>
      <c r="L554" s="360" t="s">
        <v>52</v>
      </c>
      <c r="M554" s="365"/>
      <c r="N554" s="366">
        <f t="shared" si="157"/>
        <v>0</v>
      </c>
      <c r="O554" s="366">
        <f t="shared" si="158"/>
        <v>0</v>
      </c>
      <c r="P554" s="367">
        <f t="shared" si="159"/>
        <v>0</v>
      </c>
      <c r="Q554" s="367">
        <f t="shared" si="160"/>
        <v>0</v>
      </c>
      <c r="R554" s="368">
        <f t="shared" si="161"/>
        <v>0</v>
      </c>
      <c r="S554" s="384">
        <f>INDEX(FX!$D$3:$O$19,MATCH(B554,FX!$B$3:$B$32,0),MATCH(D554,FX!$D$2:$O$2,0))</f>
        <v>935</v>
      </c>
      <c r="T554" s="360" t="s">
        <v>141</v>
      </c>
      <c r="U554" s="360" t="s">
        <v>32</v>
      </c>
      <c r="V554" s="360" t="s">
        <v>83</v>
      </c>
      <c r="W554" s="364" t="str">
        <f>VLOOKUP(I554,Map!$F$18:$H$51,3,0)</f>
        <v>Variable</v>
      </c>
      <c r="X554" s="370" t="s">
        <v>172</v>
      </c>
      <c r="Y554" s="364" t="str">
        <f>VLOOKUP(L554,Map!$C$18:$D$29,2,0)</f>
        <v>DLT</v>
      </c>
      <c r="Z554" s="365"/>
      <c r="AA554" s="366">
        <f t="shared" si="162"/>
        <v>0</v>
      </c>
      <c r="AB554" s="366">
        <f t="shared" si="163"/>
        <v>0</v>
      </c>
      <c r="AC554" s="367">
        <f t="shared" si="164"/>
        <v>0</v>
      </c>
      <c r="AD554" s="367">
        <f t="shared" si="165"/>
        <v>0</v>
      </c>
      <c r="AE554" s="368">
        <f t="shared" si="166"/>
        <v>0</v>
      </c>
      <c r="AF554" s="385"/>
    </row>
    <row r="555" spans="2:32" s="1" customFormat="1" ht="13" hidden="1" x14ac:dyDescent="0.3">
      <c r="B555" s="383">
        <v>2026</v>
      </c>
      <c r="C555" s="361" t="s">
        <v>398</v>
      </c>
      <c r="D555" s="361" t="s">
        <v>359</v>
      </c>
      <c r="E555" s="360" t="s">
        <v>393</v>
      </c>
      <c r="F555" s="360" t="s">
        <v>172</v>
      </c>
      <c r="G555" s="362"/>
      <c r="H555" s="363"/>
      <c r="I555" s="360" t="s">
        <v>147</v>
      </c>
      <c r="J555" s="364" t="str">
        <f>IFERROR(VLOOKUP(I555,Map!$F$18:$G$56,2,0),"Add in Map")</f>
        <v>3P</v>
      </c>
      <c r="K555" s="364" t="str">
        <f>VLOOKUP(L555,Map!$C$18:$D$29,2,0)</f>
        <v>DMT</v>
      </c>
      <c r="L555" s="360" t="s">
        <v>54</v>
      </c>
      <c r="M555" s="365"/>
      <c r="N555" s="366">
        <f t="shared" si="157"/>
        <v>0</v>
      </c>
      <c r="O555" s="366">
        <f t="shared" si="158"/>
        <v>0</v>
      </c>
      <c r="P555" s="386">
        <f t="shared" si="159"/>
        <v>0</v>
      </c>
      <c r="Q555" s="367">
        <f t="shared" si="160"/>
        <v>0</v>
      </c>
      <c r="R555" s="368">
        <f t="shared" si="161"/>
        <v>0</v>
      </c>
      <c r="S555" s="384">
        <f>INDEX(FX!$D$3:$O$19,MATCH(B555,FX!$B$3:$B$32,0),MATCH(D555,FX!$D$2:$O$2,0))</f>
        <v>935</v>
      </c>
      <c r="T555" s="360" t="s">
        <v>141</v>
      </c>
      <c r="U555" s="360" t="s">
        <v>32</v>
      </c>
      <c r="V555" s="360" t="s">
        <v>83</v>
      </c>
      <c r="W555" s="364" t="str">
        <f>VLOOKUP(I555,Map!$F$18:$H$51,3,0)</f>
        <v>Variable</v>
      </c>
      <c r="X555" s="370" t="s">
        <v>172</v>
      </c>
      <c r="Y555" s="364" t="str">
        <f>VLOOKUP(L555,Map!$C$18:$D$29,2,0)</f>
        <v>DMT</v>
      </c>
      <c r="Z555" s="365"/>
      <c r="AA555" s="366">
        <f t="shared" si="162"/>
        <v>0</v>
      </c>
      <c r="AB555" s="366">
        <f t="shared" si="163"/>
        <v>0</v>
      </c>
      <c r="AC555" s="386">
        <f t="shared" si="164"/>
        <v>0</v>
      </c>
      <c r="AD555" s="367">
        <f t="shared" si="165"/>
        <v>0</v>
      </c>
      <c r="AE555" s="368">
        <f t="shared" si="166"/>
        <v>0</v>
      </c>
      <c r="AF555" s="385"/>
    </row>
    <row r="556" spans="2:32" s="37" customFormat="1" hidden="1" x14ac:dyDescent="0.35">
      <c r="B556" s="387">
        <v>2026</v>
      </c>
      <c r="C556" s="389" t="s">
        <v>398</v>
      </c>
      <c r="D556" s="389" t="s">
        <v>359</v>
      </c>
      <c r="E556" s="388" t="s">
        <v>393</v>
      </c>
      <c r="F556" s="388" t="s">
        <v>172</v>
      </c>
      <c r="G556" s="390"/>
      <c r="H556" s="391"/>
      <c r="I556" s="388" t="s">
        <v>147</v>
      </c>
      <c r="J556" s="392" t="str">
        <f>IFERROR(VLOOKUP(I556,Map!$F$18:$G$56,2,0),"Add in Map")</f>
        <v>3P</v>
      </c>
      <c r="K556" s="392" t="str">
        <f>VLOOKUP(L556,Map!$C$18:$D$29,2,0)</f>
        <v>TOTAL</v>
      </c>
      <c r="L556" s="388" t="s">
        <v>56</v>
      </c>
      <c r="M556" s="393">
        <f>SUM(M545:M555)</f>
        <v>0</v>
      </c>
      <c r="N556" s="393">
        <f t="shared" si="157"/>
        <v>0</v>
      </c>
      <c r="O556" s="393">
        <f t="shared" si="158"/>
        <v>0</v>
      </c>
      <c r="P556" s="394">
        <f t="shared" si="159"/>
        <v>0</v>
      </c>
      <c r="Q556" s="394">
        <f t="shared" si="160"/>
        <v>0</v>
      </c>
      <c r="R556" s="395">
        <f t="shared" si="161"/>
        <v>0</v>
      </c>
      <c r="S556" s="396">
        <f>INDEX(FX!$D$3:$O$19,MATCH(B556,FX!$B$3:$B$32,0),MATCH(D556,FX!$D$2:$O$2,0))</f>
        <v>935</v>
      </c>
      <c r="T556" s="388" t="s">
        <v>141</v>
      </c>
      <c r="U556" s="388" t="s">
        <v>32</v>
      </c>
      <c r="V556" s="388" t="s">
        <v>83</v>
      </c>
      <c r="W556" s="392" t="str">
        <f>VLOOKUP(I556,Map!$F$18:$H$51,3,0)</f>
        <v>Variable</v>
      </c>
      <c r="X556" s="397" t="s">
        <v>172</v>
      </c>
      <c r="Y556" s="392" t="str">
        <f>VLOOKUP(L556,Map!$C$18:$D$29,2,0)</f>
        <v>TOTAL</v>
      </c>
      <c r="Z556" s="413"/>
      <c r="AA556" s="393">
        <f t="shared" si="162"/>
        <v>0</v>
      </c>
      <c r="AB556" s="393">
        <f t="shared" si="163"/>
        <v>0</v>
      </c>
      <c r="AC556" s="394">
        <f t="shared" si="164"/>
        <v>0</v>
      </c>
      <c r="AD556" s="394">
        <f t="shared" si="165"/>
        <v>0</v>
      </c>
      <c r="AE556" s="395">
        <f t="shared" si="166"/>
        <v>0</v>
      </c>
      <c r="AF556" s="398"/>
    </row>
    <row r="557" spans="2:32" s="1" customFormat="1" ht="13" hidden="1" x14ac:dyDescent="0.3">
      <c r="B557" s="383">
        <v>2026</v>
      </c>
      <c r="C557" s="361" t="s">
        <v>394</v>
      </c>
      <c r="D557" s="361" t="s">
        <v>359</v>
      </c>
      <c r="E557" s="360" t="s">
        <v>393</v>
      </c>
      <c r="F557" s="360" t="s">
        <v>172</v>
      </c>
      <c r="G557" s="362"/>
      <c r="H557" s="363"/>
      <c r="I557" s="360" t="s">
        <v>147</v>
      </c>
      <c r="J557" s="364" t="str">
        <f>IFERROR(VLOOKUP(I557,Map!$F$18:$G$56,2,0),"Add in Map")</f>
        <v>3P</v>
      </c>
      <c r="K557" s="364" t="str">
        <f>VLOOKUP(L557,Map!$C$18:$D$29,2,0)</f>
        <v>CNT</v>
      </c>
      <c r="L557" s="360" t="s">
        <v>31</v>
      </c>
      <c r="M557" s="365"/>
      <c r="N557" s="366">
        <f t="shared" ref="N557:N568" si="167">IF(L557="TOTAL",(M557*0.19),0)</f>
        <v>0</v>
      </c>
      <c r="O557" s="366">
        <f t="shared" ref="O557:O568" si="168">M557*1.19</f>
        <v>0</v>
      </c>
      <c r="P557" s="367">
        <f t="shared" ref="P557:P568" si="169">M557/S557</f>
        <v>0</v>
      </c>
      <c r="Q557" s="367">
        <f t="shared" ref="Q557:Q568" si="170">IF(L557="TOTAL",(P557*0.19),0)</f>
        <v>0</v>
      </c>
      <c r="R557" s="368">
        <f t="shared" ref="R557:R568" si="171">P557*1.19</f>
        <v>0</v>
      </c>
      <c r="S557" s="384">
        <f>INDEX(FX!$D$3:$O$19,MATCH(B557,FX!$B$3:$B$32,0),MATCH(D557,FX!$D$2:$O$2,0))</f>
        <v>935</v>
      </c>
      <c r="T557" s="360" t="s">
        <v>141</v>
      </c>
      <c r="U557" s="360" t="s">
        <v>32</v>
      </c>
      <c r="V557" s="360" t="s">
        <v>83</v>
      </c>
      <c r="W557" s="364" t="str">
        <f>VLOOKUP(I557,Map!$F$18:$H$51,3,0)</f>
        <v>Variable</v>
      </c>
      <c r="X557" s="370" t="s">
        <v>172</v>
      </c>
      <c r="Y557" s="364" t="str">
        <f>VLOOKUP(L557,Map!$C$18:$D$29,2,0)</f>
        <v>CNT</v>
      </c>
      <c r="Z557" s="365"/>
      <c r="AA557" s="366">
        <f t="shared" ref="AA557:AA568" si="172">IF(Y557="TOTAL",(Z557*0.19),0)</f>
        <v>0</v>
      </c>
      <c r="AB557" s="366">
        <f t="shared" ref="AB557:AB568" si="173">Z557*1.19</f>
        <v>0</v>
      </c>
      <c r="AC557" s="367">
        <f t="shared" ref="AC557:AC568" si="174">Z557/S557</f>
        <v>0</v>
      </c>
      <c r="AD557" s="367">
        <f t="shared" ref="AD557:AD568" si="175">IF(Y557="TOTAL",(AC557*0.19),0)</f>
        <v>0</v>
      </c>
      <c r="AE557" s="368">
        <f t="shared" ref="AE557:AE568" si="176">AC557*1.19</f>
        <v>0</v>
      </c>
      <c r="AF557" s="385"/>
    </row>
    <row r="558" spans="2:32" s="1" customFormat="1" ht="13" hidden="1" x14ac:dyDescent="0.3">
      <c r="B558" s="383">
        <v>2026</v>
      </c>
      <c r="C558" s="361" t="s">
        <v>394</v>
      </c>
      <c r="D558" s="361" t="s">
        <v>359</v>
      </c>
      <c r="E558" s="360" t="s">
        <v>393</v>
      </c>
      <c r="F558" s="360" t="s">
        <v>172</v>
      </c>
      <c r="G558" s="362"/>
      <c r="H558" s="363"/>
      <c r="I558" s="360" t="s">
        <v>147</v>
      </c>
      <c r="J558" s="364" t="str">
        <f>IFERROR(VLOOKUP(I558,Map!$F$18:$G$56,2,0),"Add in Map")</f>
        <v>3P</v>
      </c>
      <c r="K558" s="364" t="str">
        <f>VLOOKUP(L558,Map!$C$18:$D$29,2,0)</f>
        <v>CVT</v>
      </c>
      <c r="L558" s="360" t="s">
        <v>36</v>
      </c>
      <c r="M558" s="365"/>
      <c r="N558" s="366">
        <f t="shared" si="167"/>
        <v>0</v>
      </c>
      <c r="O558" s="366">
        <f t="shared" si="168"/>
        <v>0</v>
      </c>
      <c r="P558" s="367">
        <f t="shared" si="169"/>
        <v>0</v>
      </c>
      <c r="Q558" s="367">
        <f t="shared" si="170"/>
        <v>0</v>
      </c>
      <c r="R558" s="368">
        <f t="shared" si="171"/>
        <v>0</v>
      </c>
      <c r="S558" s="384">
        <f>INDEX(FX!$D$3:$O$19,MATCH(B558,FX!$B$3:$B$32,0),MATCH(D558,FX!$D$2:$O$2,0))</f>
        <v>935</v>
      </c>
      <c r="T558" s="360" t="s">
        <v>141</v>
      </c>
      <c r="U558" s="360" t="s">
        <v>32</v>
      </c>
      <c r="V558" s="360" t="s">
        <v>83</v>
      </c>
      <c r="W558" s="364" t="str">
        <f>VLOOKUP(I558,Map!$F$18:$H$51,3,0)</f>
        <v>Variable</v>
      </c>
      <c r="X558" s="370" t="s">
        <v>172</v>
      </c>
      <c r="Y558" s="364" t="str">
        <f>VLOOKUP(L558,Map!$C$18:$D$29,2,0)</f>
        <v>CVT</v>
      </c>
      <c r="Z558" s="365"/>
      <c r="AA558" s="366">
        <f t="shared" si="172"/>
        <v>0</v>
      </c>
      <c r="AB558" s="366">
        <f t="shared" si="173"/>
        <v>0</v>
      </c>
      <c r="AC558" s="367">
        <f t="shared" si="174"/>
        <v>0</v>
      </c>
      <c r="AD558" s="367">
        <f t="shared" si="175"/>
        <v>0</v>
      </c>
      <c r="AE558" s="368">
        <f t="shared" si="176"/>
        <v>0</v>
      </c>
      <c r="AF558" s="385"/>
    </row>
    <row r="559" spans="2:32" s="1" customFormat="1" ht="13" hidden="1" x14ac:dyDescent="0.3">
      <c r="B559" s="383">
        <v>2026</v>
      </c>
      <c r="C559" s="361" t="s">
        <v>394</v>
      </c>
      <c r="D559" s="361" t="s">
        <v>359</v>
      </c>
      <c r="E559" s="360" t="s">
        <v>393</v>
      </c>
      <c r="F559" s="360" t="s">
        <v>172</v>
      </c>
      <c r="G559" s="362"/>
      <c r="H559" s="363"/>
      <c r="I559" s="360" t="s">
        <v>147</v>
      </c>
      <c r="J559" s="364" t="str">
        <f>IFERROR(VLOOKUP(I559,Map!$F$18:$G$56,2,0),"Add in Map")</f>
        <v>3P</v>
      </c>
      <c r="K559" s="364" t="str">
        <f>VLOOKUP(L559,Map!$C$18:$D$29,2,0)</f>
        <v>CDT</v>
      </c>
      <c r="L559" s="360" t="s">
        <v>38</v>
      </c>
      <c r="M559" s="365"/>
      <c r="N559" s="366">
        <f t="shared" si="167"/>
        <v>0</v>
      </c>
      <c r="O559" s="366">
        <f t="shared" si="168"/>
        <v>0</v>
      </c>
      <c r="P559" s="367">
        <f t="shared" si="169"/>
        <v>0</v>
      </c>
      <c r="Q559" s="367">
        <f t="shared" si="170"/>
        <v>0</v>
      </c>
      <c r="R559" s="368">
        <f t="shared" si="171"/>
        <v>0</v>
      </c>
      <c r="S559" s="384">
        <f>INDEX(FX!$D$3:$O$19,MATCH(B559,FX!$B$3:$B$32,0),MATCH(D559,FX!$D$2:$O$2,0))</f>
        <v>935</v>
      </c>
      <c r="T559" s="360" t="s">
        <v>141</v>
      </c>
      <c r="U559" s="360" t="s">
        <v>32</v>
      </c>
      <c r="V559" s="360" t="s">
        <v>83</v>
      </c>
      <c r="W559" s="364" t="str">
        <f>VLOOKUP(I559,Map!$F$18:$H$51,3,0)</f>
        <v>Variable</v>
      </c>
      <c r="X559" s="370" t="s">
        <v>172</v>
      </c>
      <c r="Y559" s="364" t="str">
        <f>VLOOKUP(L559,Map!$C$18:$D$29,2,0)</f>
        <v>CDT</v>
      </c>
      <c r="Z559" s="365"/>
      <c r="AA559" s="366">
        <f t="shared" si="172"/>
        <v>0</v>
      </c>
      <c r="AB559" s="366">
        <f t="shared" si="173"/>
        <v>0</v>
      </c>
      <c r="AC559" s="367">
        <f t="shared" si="174"/>
        <v>0</v>
      </c>
      <c r="AD559" s="367">
        <f t="shared" si="175"/>
        <v>0</v>
      </c>
      <c r="AE559" s="368">
        <f t="shared" si="176"/>
        <v>0</v>
      </c>
      <c r="AF559" s="385"/>
    </row>
    <row r="560" spans="2:32" s="1" customFormat="1" ht="13" hidden="1" x14ac:dyDescent="0.3">
      <c r="B560" s="383">
        <v>2026</v>
      </c>
      <c r="C560" s="361" t="s">
        <v>394</v>
      </c>
      <c r="D560" s="361" t="s">
        <v>359</v>
      </c>
      <c r="E560" s="360" t="s">
        <v>393</v>
      </c>
      <c r="F560" s="360" t="s">
        <v>172</v>
      </c>
      <c r="G560" s="362"/>
      <c r="H560" s="363"/>
      <c r="I560" s="360" t="s">
        <v>147</v>
      </c>
      <c r="J560" s="364" t="str">
        <f>IFERROR(VLOOKUP(I560,Map!$F$18:$G$56,2,0),"Add in Map")</f>
        <v>3P</v>
      </c>
      <c r="K560" s="364" t="str">
        <f>VLOOKUP(L560,Map!$C$18:$D$29,2,0)</f>
        <v>DFT</v>
      </c>
      <c r="L560" s="360" t="s">
        <v>40</v>
      </c>
      <c r="M560" s="365"/>
      <c r="N560" s="366">
        <f t="shared" si="167"/>
        <v>0</v>
      </c>
      <c r="O560" s="366">
        <f t="shared" si="168"/>
        <v>0</v>
      </c>
      <c r="P560" s="367">
        <f t="shared" si="169"/>
        <v>0</v>
      </c>
      <c r="Q560" s="367">
        <f t="shared" si="170"/>
        <v>0</v>
      </c>
      <c r="R560" s="368">
        <f t="shared" si="171"/>
        <v>0</v>
      </c>
      <c r="S560" s="384">
        <f>INDEX(FX!$D$3:$O$19,MATCH(B560,FX!$B$3:$B$32,0),MATCH(D560,FX!$D$2:$O$2,0))</f>
        <v>935</v>
      </c>
      <c r="T560" s="360" t="s">
        <v>141</v>
      </c>
      <c r="U560" s="360" t="s">
        <v>32</v>
      </c>
      <c r="V560" s="360" t="s">
        <v>83</v>
      </c>
      <c r="W560" s="364" t="str">
        <f>VLOOKUP(I560,Map!$F$18:$H$51,3,0)</f>
        <v>Variable</v>
      </c>
      <c r="X560" s="370" t="s">
        <v>172</v>
      </c>
      <c r="Y560" s="364" t="str">
        <f>VLOOKUP(L560,Map!$C$18:$D$29,2,0)</f>
        <v>DFT</v>
      </c>
      <c r="Z560" s="365"/>
      <c r="AA560" s="366">
        <f t="shared" si="172"/>
        <v>0</v>
      </c>
      <c r="AB560" s="366">
        <f t="shared" si="173"/>
        <v>0</v>
      </c>
      <c r="AC560" s="367">
        <f t="shared" si="174"/>
        <v>0</v>
      </c>
      <c r="AD560" s="367">
        <f t="shared" si="175"/>
        <v>0</v>
      </c>
      <c r="AE560" s="368">
        <f t="shared" si="176"/>
        <v>0</v>
      </c>
      <c r="AF560" s="385"/>
    </row>
    <row r="561" spans="2:32" s="1" customFormat="1" ht="13" hidden="1" x14ac:dyDescent="0.3">
      <c r="B561" s="383">
        <v>2026</v>
      </c>
      <c r="C561" s="361" t="s">
        <v>394</v>
      </c>
      <c r="D561" s="361" t="s">
        <v>359</v>
      </c>
      <c r="E561" s="360" t="s">
        <v>393</v>
      </c>
      <c r="F561" s="360" t="s">
        <v>172</v>
      </c>
      <c r="G561" s="362"/>
      <c r="H561" s="363"/>
      <c r="I561" s="360" t="s">
        <v>147</v>
      </c>
      <c r="J561" s="364" t="str">
        <f>IFERROR(VLOOKUP(I561,Map!$F$18:$G$56,2,0),"Add in Map")</f>
        <v>3P</v>
      </c>
      <c r="K561" s="364" t="str">
        <f>VLOOKUP(L561,Map!$C$18:$D$29,2,0)</f>
        <v>DVT</v>
      </c>
      <c r="L561" s="360" t="s">
        <v>42</v>
      </c>
      <c r="M561" s="365"/>
      <c r="N561" s="366">
        <f t="shared" si="167"/>
        <v>0</v>
      </c>
      <c r="O561" s="366">
        <f t="shared" si="168"/>
        <v>0</v>
      </c>
      <c r="P561" s="367">
        <f t="shared" si="169"/>
        <v>0</v>
      </c>
      <c r="Q561" s="367">
        <f t="shared" si="170"/>
        <v>0</v>
      </c>
      <c r="R561" s="368">
        <f t="shared" si="171"/>
        <v>0</v>
      </c>
      <c r="S561" s="384">
        <f>INDEX(FX!$D$3:$O$19,MATCH(B561,FX!$B$3:$B$32,0),MATCH(D561,FX!$D$2:$O$2,0))</f>
        <v>935</v>
      </c>
      <c r="T561" s="360" t="s">
        <v>141</v>
      </c>
      <c r="U561" s="360" t="s">
        <v>32</v>
      </c>
      <c r="V561" s="360" t="s">
        <v>83</v>
      </c>
      <c r="W561" s="364" t="str">
        <f>VLOOKUP(I561,Map!$F$18:$H$51,3,0)</f>
        <v>Variable</v>
      </c>
      <c r="X561" s="370" t="s">
        <v>172</v>
      </c>
      <c r="Y561" s="364" t="str">
        <f>VLOOKUP(L561,Map!$C$18:$D$29,2,0)</f>
        <v>DVT</v>
      </c>
      <c r="Z561" s="365"/>
      <c r="AA561" s="366">
        <f t="shared" si="172"/>
        <v>0</v>
      </c>
      <c r="AB561" s="366">
        <f t="shared" si="173"/>
        <v>0</v>
      </c>
      <c r="AC561" s="367">
        <f t="shared" si="174"/>
        <v>0</v>
      </c>
      <c r="AD561" s="367">
        <f t="shared" si="175"/>
        <v>0</v>
      </c>
      <c r="AE561" s="368">
        <f t="shared" si="176"/>
        <v>0</v>
      </c>
      <c r="AF561" s="385"/>
    </row>
    <row r="562" spans="2:32" s="1" customFormat="1" ht="13" hidden="1" x14ac:dyDescent="0.3">
      <c r="B562" s="383">
        <v>2026</v>
      </c>
      <c r="C562" s="361" t="s">
        <v>394</v>
      </c>
      <c r="D562" s="361" t="s">
        <v>359</v>
      </c>
      <c r="E562" s="360" t="s">
        <v>393</v>
      </c>
      <c r="F562" s="360" t="s">
        <v>172</v>
      </c>
      <c r="G562" s="362"/>
      <c r="H562" s="363"/>
      <c r="I562" s="360" t="s">
        <v>147</v>
      </c>
      <c r="J562" s="364" t="str">
        <f>IFERROR(VLOOKUP(I562,Map!$F$18:$G$56,2,0),"Add in Map")</f>
        <v>3P</v>
      </c>
      <c r="K562" s="364" t="str">
        <f>VLOOKUP(L562,Map!$C$18:$D$29,2,0)</f>
        <v>GLT</v>
      </c>
      <c r="L562" s="360" t="s">
        <v>44</v>
      </c>
      <c r="M562" s="365"/>
      <c r="N562" s="366">
        <f t="shared" si="167"/>
        <v>0</v>
      </c>
      <c r="O562" s="366">
        <f t="shared" si="168"/>
        <v>0</v>
      </c>
      <c r="P562" s="367">
        <f t="shared" si="169"/>
        <v>0</v>
      </c>
      <c r="Q562" s="367">
        <f t="shared" si="170"/>
        <v>0</v>
      </c>
      <c r="R562" s="368">
        <f t="shared" si="171"/>
        <v>0</v>
      </c>
      <c r="S562" s="384">
        <f>INDEX(FX!$D$3:$O$19,MATCH(B562,FX!$B$3:$B$32,0),MATCH(D562,FX!$D$2:$O$2,0))</f>
        <v>935</v>
      </c>
      <c r="T562" s="360" t="s">
        <v>141</v>
      </c>
      <c r="U562" s="360" t="s">
        <v>32</v>
      </c>
      <c r="V562" s="360" t="s">
        <v>83</v>
      </c>
      <c r="W562" s="364" t="str">
        <f>VLOOKUP(I562,Map!$F$18:$H$51,3,0)</f>
        <v>Variable</v>
      </c>
      <c r="X562" s="370" t="s">
        <v>172</v>
      </c>
      <c r="Y562" s="364" t="str">
        <f>VLOOKUP(L562,Map!$C$18:$D$29,2,0)</f>
        <v>GLT</v>
      </c>
      <c r="Z562" s="365"/>
      <c r="AA562" s="366">
        <f t="shared" si="172"/>
        <v>0</v>
      </c>
      <c r="AB562" s="366">
        <f t="shared" si="173"/>
        <v>0</v>
      </c>
      <c r="AC562" s="367">
        <f t="shared" si="174"/>
        <v>0</v>
      </c>
      <c r="AD562" s="367">
        <f t="shared" si="175"/>
        <v>0</v>
      </c>
      <c r="AE562" s="368">
        <f t="shared" si="176"/>
        <v>0</v>
      </c>
      <c r="AF562" s="385"/>
    </row>
    <row r="563" spans="2:32" s="1" customFormat="1" ht="13" hidden="1" x14ac:dyDescent="0.3">
      <c r="B563" s="383">
        <v>2026</v>
      </c>
      <c r="C563" s="361" t="s">
        <v>394</v>
      </c>
      <c r="D563" s="361" t="s">
        <v>359</v>
      </c>
      <c r="E563" s="360" t="s">
        <v>393</v>
      </c>
      <c r="F563" s="360" t="s">
        <v>172</v>
      </c>
      <c r="G563" s="362"/>
      <c r="H563" s="363"/>
      <c r="I563" s="360" t="s">
        <v>147</v>
      </c>
      <c r="J563" s="364" t="str">
        <f>IFERROR(VLOOKUP(I563,Map!$F$18:$G$56,2,0),"Add in Map")</f>
        <v>3P</v>
      </c>
      <c r="K563" s="364" t="str">
        <f>VLOOKUP(L563,Map!$C$18:$D$29,2,0)</f>
        <v>PNT</v>
      </c>
      <c r="L563" s="360" t="s">
        <v>46</v>
      </c>
      <c r="M563" s="365"/>
      <c r="N563" s="366">
        <f t="shared" si="167"/>
        <v>0</v>
      </c>
      <c r="O563" s="366">
        <f t="shared" si="168"/>
        <v>0</v>
      </c>
      <c r="P563" s="367">
        <f t="shared" si="169"/>
        <v>0</v>
      </c>
      <c r="Q563" s="367">
        <f t="shared" si="170"/>
        <v>0</v>
      </c>
      <c r="R563" s="368">
        <f t="shared" si="171"/>
        <v>0</v>
      </c>
      <c r="S563" s="384">
        <f>INDEX(FX!$D$3:$O$19,MATCH(B563,FX!$B$3:$B$32,0),MATCH(D563,FX!$D$2:$O$2,0))</f>
        <v>935</v>
      </c>
      <c r="T563" s="360" t="s">
        <v>141</v>
      </c>
      <c r="U563" s="360" t="s">
        <v>32</v>
      </c>
      <c r="V563" s="360" t="s">
        <v>83</v>
      </c>
      <c r="W563" s="364" t="str">
        <f>VLOOKUP(I563,Map!$F$18:$H$51,3,0)</f>
        <v>Variable</v>
      </c>
      <c r="X563" s="370" t="s">
        <v>172</v>
      </c>
      <c r="Y563" s="364" t="str">
        <f>VLOOKUP(L563,Map!$C$18:$D$29,2,0)</f>
        <v>PNT</v>
      </c>
      <c r="Z563" s="365"/>
      <c r="AA563" s="366">
        <f t="shared" si="172"/>
        <v>0</v>
      </c>
      <c r="AB563" s="366">
        <f t="shared" si="173"/>
        <v>0</v>
      </c>
      <c r="AC563" s="367">
        <f t="shared" si="174"/>
        <v>0</v>
      </c>
      <c r="AD563" s="367">
        <f t="shared" si="175"/>
        <v>0</v>
      </c>
      <c r="AE563" s="368">
        <f t="shared" si="176"/>
        <v>0</v>
      </c>
      <c r="AF563" s="385"/>
    </row>
    <row r="564" spans="2:32" s="1" customFormat="1" ht="13" hidden="1" x14ac:dyDescent="0.3">
      <c r="B564" s="383">
        <v>2026</v>
      </c>
      <c r="C564" s="361" t="s">
        <v>394</v>
      </c>
      <c r="D564" s="361" t="s">
        <v>359</v>
      </c>
      <c r="E564" s="360" t="s">
        <v>393</v>
      </c>
      <c r="F564" s="360" t="s">
        <v>172</v>
      </c>
      <c r="G564" s="362"/>
      <c r="H564" s="363"/>
      <c r="I564" s="360" t="s">
        <v>147</v>
      </c>
      <c r="J564" s="364" t="str">
        <f>IFERROR(VLOOKUP(I564,Map!$F$18:$G$56,2,0),"Add in Map")</f>
        <v>3P</v>
      </c>
      <c r="K564" s="364" t="str">
        <f>VLOOKUP(L564,Map!$C$18:$D$29,2,0)</f>
        <v>GTT</v>
      </c>
      <c r="L564" s="360" t="s">
        <v>48</v>
      </c>
      <c r="M564" s="365"/>
      <c r="N564" s="366">
        <f t="shared" si="167"/>
        <v>0</v>
      </c>
      <c r="O564" s="366">
        <f t="shared" si="168"/>
        <v>0</v>
      </c>
      <c r="P564" s="367">
        <f t="shared" si="169"/>
        <v>0</v>
      </c>
      <c r="Q564" s="367">
        <f t="shared" si="170"/>
        <v>0</v>
      </c>
      <c r="R564" s="368">
        <f t="shared" si="171"/>
        <v>0</v>
      </c>
      <c r="S564" s="384">
        <f>INDEX(FX!$D$3:$O$19,MATCH(B564,FX!$B$3:$B$32,0),MATCH(D564,FX!$D$2:$O$2,0))</f>
        <v>935</v>
      </c>
      <c r="T564" s="360" t="s">
        <v>141</v>
      </c>
      <c r="U564" s="360" t="s">
        <v>32</v>
      </c>
      <c r="V564" s="360" t="s">
        <v>83</v>
      </c>
      <c r="W564" s="364" t="str">
        <f>VLOOKUP(I564,Map!$F$18:$H$51,3,0)</f>
        <v>Variable</v>
      </c>
      <c r="X564" s="370" t="s">
        <v>172</v>
      </c>
      <c r="Y564" s="364" t="str">
        <f>VLOOKUP(L564,Map!$C$18:$D$29,2,0)</f>
        <v>GTT</v>
      </c>
      <c r="Z564" s="365"/>
      <c r="AA564" s="366">
        <f t="shared" si="172"/>
        <v>0</v>
      </c>
      <c r="AB564" s="366">
        <f t="shared" si="173"/>
        <v>0</v>
      </c>
      <c r="AC564" s="367">
        <f t="shared" si="174"/>
        <v>0</v>
      </c>
      <c r="AD564" s="367">
        <f t="shared" si="175"/>
        <v>0</v>
      </c>
      <c r="AE564" s="368">
        <f t="shared" si="176"/>
        <v>0</v>
      </c>
      <c r="AF564" s="385"/>
    </row>
    <row r="565" spans="2:32" s="1" customFormat="1" ht="13" hidden="1" x14ac:dyDescent="0.3">
      <c r="B565" s="383">
        <v>2026</v>
      </c>
      <c r="C565" s="361" t="s">
        <v>394</v>
      </c>
      <c r="D565" s="361" t="s">
        <v>359</v>
      </c>
      <c r="E565" s="360" t="s">
        <v>393</v>
      </c>
      <c r="F565" s="360" t="s">
        <v>172</v>
      </c>
      <c r="G565" s="362"/>
      <c r="H565" s="363"/>
      <c r="I565" s="360" t="s">
        <v>147</v>
      </c>
      <c r="J565" s="364" t="str">
        <f>IFERROR(VLOOKUP(I565,Map!$F$18:$G$56,2,0),"Add in Map")</f>
        <v>3P</v>
      </c>
      <c r="K565" s="364" t="str">
        <f>VLOOKUP(L565,Map!$C$18:$D$29,2,0)</f>
        <v>DGT</v>
      </c>
      <c r="L565" s="360" t="s">
        <v>50</v>
      </c>
      <c r="M565" s="365"/>
      <c r="N565" s="366">
        <f t="shared" si="167"/>
        <v>0</v>
      </c>
      <c r="O565" s="366">
        <f t="shared" si="168"/>
        <v>0</v>
      </c>
      <c r="P565" s="367">
        <f t="shared" si="169"/>
        <v>0</v>
      </c>
      <c r="Q565" s="367">
        <f t="shared" si="170"/>
        <v>0</v>
      </c>
      <c r="R565" s="368">
        <f t="shared" si="171"/>
        <v>0</v>
      </c>
      <c r="S565" s="384">
        <f>INDEX(FX!$D$3:$O$19,MATCH(B565,FX!$B$3:$B$32,0),MATCH(D565,FX!$D$2:$O$2,0))</f>
        <v>935</v>
      </c>
      <c r="T565" s="360" t="s">
        <v>141</v>
      </c>
      <c r="U565" s="360" t="s">
        <v>32</v>
      </c>
      <c r="V565" s="360" t="s">
        <v>83</v>
      </c>
      <c r="W565" s="364" t="str">
        <f>VLOOKUP(I565,Map!$F$18:$H$51,3,0)</f>
        <v>Variable</v>
      </c>
      <c r="X565" s="370" t="s">
        <v>172</v>
      </c>
      <c r="Y565" s="364" t="str">
        <f>VLOOKUP(L565,Map!$C$18:$D$29,2,0)</f>
        <v>DGT</v>
      </c>
      <c r="Z565" s="365"/>
      <c r="AA565" s="366">
        <f t="shared" si="172"/>
        <v>0</v>
      </c>
      <c r="AB565" s="366">
        <f t="shared" si="173"/>
        <v>0</v>
      </c>
      <c r="AC565" s="367">
        <f t="shared" si="174"/>
        <v>0</v>
      </c>
      <c r="AD565" s="367">
        <f t="shared" si="175"/>
        <v>0</v>
      </c>
      <c r="AE565" s="368">
        <f t="shared" si="176"/>
        <v>0</v>
      </c>
      <c r="AF565" s="385"/>
    </row>
    <row r="566" spans="2:32" s="1" customFormat="1" ht="13" hidden="1" x14ac:dyDescent="0.3">
      <c r="B566" s="383">
        <v>2026</v>
      </c>
      <c r="C566" s="361" t="s">
        <v>394</v>
      </c>
      <c r="D566" s="361" t="s">
        <v>359</v>
      </c>
      <c r="E566" s="360" t="s">
        <v>393</v>
      </c>
      <c r="F566" s="360" t="s">
        <v>172</v>
      </c>
      <c r="G566" s="362"/>
      <c r="H566" s="363"/>
      <c r="I566" s="360" t="s">
        <v>147</v>
      </c>
      <c r="J566" s="364" t="str">
        <f>IFERROR(VLOOKUP(I566,Map!$F$18:$G$56,2,0),"Add in Map")</f>
        <v>3P</v>
      </c>
      <c r="K566" s="364" t="str">
        <f>VLOOKUP(L566,Map!$C$18:$D$29,2,0)</f>
        <v>DLT</v>
      </c>
      <c r="L566" s="360" t="s">
        <v>52</v>
      </c>
      <c r="M566" s="365"/>
      <c r="N566" s="366">
        <f t="shared" si="167"/>
        <v>0</v>
      </c>
      <c r="O566" s="366">
        <f t="shared" si="168"/>
        <v>0</v>
      </c>
      <c r="P566" s="367">
        <f t="shared" si="169"/>
        <v>0</v>
      </c>
      <c r="Q566" s="367">
        <f t="shared" si="170"/>
        <v>0</v>
      </c>
      <c r="R566" s="368">
        <f t="shared" si="171"/>
        <v>0</v>
      </c>
      <c r="S566" s="384">
        <f>INDEX(FX!$D$3:$O$19,MATCH(B566,FX!$B$3:$B$32,0),MATCH(D566,FX!$D$2:$O$2,0))</f>
        <v>935</v>
      </c>
      <c r="T566" s="360" t="s">
        <v>141</v>
      </c>
      <c r="U566" s="360" t="s">
        <v>32</v>
      </c>
      <c r="V566" s="360" t="s">
        <v>83</v>
      </c>
      <c r="W566" s="364" t="str">
        <f>VLOOKUP(I566,Map!$F$18:$H$51,3,0)</f>
        <v>Variable</v>
      </c>
      <c r="X566" s="370" t="s">
        <v>172</v>
      </c>
      <c r="Y566" s="364" t="str">
        <f>VLOOKUP(L566,Map!$C$18:$D$29,2,0)</f>
        <v>DLT</v>
      </c>
      <c r="Z566" s="365"/>
      <c r="AA566" s="366">
        <f t="shared" si="172"/>
        <v>0</v>
      </c>
      <c r="AB566" s="366">
        <f t="shared" si="173"/>
        <v>0</v>
      </c>
      <c r="AC566" s="367">
        <f t="shared" si="174"/>
        <v>0</v>
      </c>
      <c r="AD566" s="367">
        <f t="shared" si="175"/>
        <v>0</v>
      </c>
      <c r="AE566" s="368">
        <f t="shared" si="176"/>
        <v>0</v>
      </c>
      <c r="AF566" s="385"/>
    </row>
    <row r="567" spans="2:32" s="1" customFormat="1" ht="13" hidden="1" x14ac:dyDescent="0.3">
      <c r="B567" s="383">
        <v>2026</v>
      </c>
      <c r="C567" s="361" t="s">
        <v>394</v>
      </c>
      <c r="D567" s="361" t="s">
        <v>359</v>
      </c>
      <c r="E567" s="360" t="s">
        <v>393</v>
      </c>
      <c r="F567" s="360" t="s">
        <v>172</v>
      </c>
      <c r="G567" s="362"/>
      <c r="H567" s="363"/>
      <c r="I567" s="360" t="s">
        <v>147</v>
      </c>
      <c r="J567" s="364" t="str">
        <f>IFERROR(VLOOKUP(I567,Map!$F$18:$G$56,2,0),"Add in Map")</f>
        <v>3P</v>
      </c>
      <c r="K567" s="364" t="str">
        <f>VLOOKUP(L567,Map!$C$18:$D$29,2,0)</f>
        <v>DMT</v>
      </c>
      <c r="L567" s="360" t="s">
        <v>54</v>
      </c>
      <c r="M567" s="365"/>
      <c r="N567" s="366">
        <f t="shared" si="167"/>
        <v>0</v>
      </c>
      <c r="O567" s="366">
        <f t="shared" si="168"/>
        <v>0</v>
      </c>
      <c r="P567" s="386">
        <f t="shared" si="169"/>
        <v>0</v>
      </c>
      <c r="Q567" s="367">
        <f t="shared" si="170"/>
        <v>0</v>
      </c>
      <c r="R567" s="368">
        <f t="shared" si="171"/>
        <v>0</v>
      </c>
      <c r="S567" s="384">
        <f>INDEX(FX!$D$3:$O$19,MATCH(B567,FX!$B$3:$B$32,0),MATCH(D567,FX!$D$2:$O$2,0))</f>
        <v>935</v>
      </c>
      <c r="T567" s="360" t="s">
        <v>141</v>
      </c>
      <c r="U567" s="360" t="s">
        <v>32</v>
      </c>
      <c r="V567" s="360" t="s">
        <v>83</v>
      </c>
      <c r="W567" s="364" t="str">
        <f>VLOOKUP(I567,Map!$F$18:$H$51,3,0)</f>
        <v>Variable</v>
      </c>
      <c r="X567" s="370" t="s">
        <v>172</v>
      </c>
      <c r="Y567" s="364" t="str">
        <f>VLOOKUP(L567,Map!$C$18:$D$29,2,0)</f>
        <v>DMT</v>
      </c>
      <c r="Z567" s="365"/>
      <c r="AA567" s="366">
        <f t="shared" si="172"/>
        <v>0</v>
      </c>
      <c r="AB567" s="366">
        <f t="shared" si="173"/>
        <v>0</v>
      </c>
      <c r="AC567" s="386">
        <f t="shared" si="174"/>
        <v>0</v>
      </c>
      <c r="AD567" s="367">
        <f t="shared" si="175"/>
        <v>0</v>
      </c>
      <c r="AE567" s="368">
        <f t="shared" si="176"/>
        <v>0</v>
      </c>
      <c r="AF567" s="385"/>
    </row>
    <row r="568" spans="2:32" s="37" customFormat="1" hidden="1" x14ac:dyDescent="0.35">
      <c r="B568" s="387">
        <v>2026</v>
      </c>
      <c r="C568" s="389" t="s">
        <v>394</v>
      </c>
      <c r="D568" s="389" t="s">
        <v>359</v>
      </c>
      <c r="E568" s="388" t="s">
        <v>393</v>
      </c>
      <c r="F568" s="388" t="s">
        <v>172</v>
      </c>
      <c r="G568" s="390"/>
      <c r="H568" s="391"/>
      <c r="I568" s="388" t="s">
        <v>147</v>
      </c>
      <c r="J568" s="392" t="str">
        <f>IFERROR(VLOOKUP(I568,Map!$F$18:$G$56,2,0),"Add in Map")</f>
        <v>3P</v>
      </c>
      <c r="K568" s="392" t="str">
        <f>VLOOKUP(L568,Map!$C$18:$D$29,2,0)</f>
        <v>TOTAL</v>
      </c>
      <c r="L568" s="388" t="s">
        <v>56</v>
      </c>
      <c r="M568" s="393">
        <f>SUM(M557:M567)</f>
        <v>0</v>
      </c>
      <c r="N568" s="393">
        <f t="shared" si="167"/>
        <v>0</v>
      </c>
      <c r="O568" s="393">
        <f t="shared" si="168"/>
        <v>0</v>
      </c>
      <c r="P568" s="394">
        <f t="shared" si="169"/>
        <v>0</v>
      </c>
      <c r="Q568" s="394">
        <f t="shared" si="170"/>
        <v>0</v>
      </c>
      <c r="R568" s="395">
        <f t="shared" si="171"/>
        <v>0</v>
      </c>
      <c r="S568" s="396">
        <f>INDEX(FX!$D$3:$O$19,MATCH(B568,FX!$B$3:$B$32,0),MATCH(D568,FX!$D$2:$O$2,0))</f>
        <v>935</v>
      </c>
      <c r="T568" s="388" t="s">
        <v>141</v>
      </c>
      <c r="U568" s="388" t="s">
        <v>32</v>
      </c>
      <c r="V568" s="388" t="s">
        <v>83</v>
      </c>
      <c r="W568" s="392" t="str">
        <f>VLOOKUP(I568,Map!$F$18:$H$51,3,0)</f>
        <v>Variable</v>
      </c>
      <c r="X568" s="397" t="s">
        <v>172</v>
      </c>
      <c r="Y568" s="392" t="str">
        <f>VLOOKUP(L568,Map!$C$18:$D$29,2,0)</f>
        <v>TOTAL</v>
      </c>
      <c r="Z568" s="413"/>
      <c r="AA568" s="393">
        <f t="shared" si="172"/>
        <v>0</v>
      </c>
      <c r="AB568" s="393">
        <f t="shared" si="173"/>
        <v>0</v>
      </c>
      <c r="AC568" s="394">
        <f t="shared" si="174"/>
        <v>0</v>
      </c>
      <c r="AD568" s="394">
        <f t="shared" si="175"/>
        <v>0</v>
      </c>
      <c r="AE568" s="395">
        <f t="shared" si="176"/>
        <v>0</v>
      </c>
      <c r="AF568" s="398"/>
    </row>
    <row r="569" spans="2:32" s="1" customFormat="1" ht="13" hidden="1" x14ac:dyDescent="0.3">
      <c r="B569" s="383">
        <v>2026</v>
      </c>
      <c r="C569" s="361" t="s">
        <v>395</v>
      </c>
      <c r="D569" s="361" t="s">
        <v>359</v>
      </c>
      <c r="E569" s="360" t="s">
        <v>393</v>
      </c>
      <c r="F569" s="360" t="s">
        <v>172</v>
      </c>
      <c r="G569" s="362"/>
      <c r="H569" s="363"/>
      <c r="I569" s="360" t="s">
        <v>147</v>
      </c>
      <c r="J569" s="364" t="str">
        <f>IFERROR(VLOOKUP(I569,Map!$F$18:$G$56,2,0),"Add in Map")</f>
        <v>3P</v>
      </c>
      <c r="K569" s="364" t="str">
        <f>VLOOKUP(L569,Map!$C$18:$D$29,2,0)</f>
        <v>CNT</v>
      </c>
      <c r="L569" s="360" t="s">
        <v>31</v>
      </c>
      <c r="M569" s="365"/>
      <c r="N569" s="366">
        <f t="shared" ref="N569:N580" si="177">IF(L569="TOTAL",(M569*0.19),0)</f>
        <v>0</v>
      </c>
      <c r="O569" s="366">
        <f t="shared" ref="O569:O580" si="178">M569*1.19</f>
        <v>0</v>
      </c>
      <c r="P569" s="367">
        <f t="shared" ref="P569:P580" si="179">M569/S569</f>
        <v>0</v>
      </c>
      <c r="Q569" s="367">
        <f t="shared" ref="Q569:Q580" si="180">IF(L569="TOTAL",(P569*0.19),0)</f>
        <v>0</v>
      </c>
      <c r="R569" s="368">
        <f t="shared" ref="R569:R580" si="181">P569*1.19</f>
        <v>0</v>
      </c>
      <c r="S569" s="384">
        <f>INDEX(FX!$D$3:$O$19,MATCH(B569,FX!$B$3:$B$32,0),MATCH(D569,FX!$D$2:$O$2,0))</f>
        <v>935</v>
      </c>
      <c r="T569" s="360" t="s">
        <v>141</v>
      </c>
      <c r="U569" s="360" t="s">
        <v>32</v>
      </c>
      <c r="V569" s="360" t="s">
        <v>83</v>
      </c>
      <c r="W569" s="364" t="str">
        <f>VLOOKUP(I569,Map!$F$18:$H$51,3,0)</f>
        <v>Variable</v>
      </c>
      <c r="X569" s="370" t="s">
        <v>172</v>
      </c>
      <c r="Y569" s="364" t="str">
        <f>VLOOKUP(L569,Map!$C$18:$D$29,2,0)</f>
        <v>CNT</v>
      </c>
      <c r="Z569" s="365"/>
      <c r="AA569" s="366">
        <f t="shared" ref="AA569:AA580" si="182">IF(Y569="TOTAL",(Z569*0.19),0)</f>
        <v>0</v>
      </c>
      <c r="AB569" s="366">
        <f t="shared" ref="AB569:AB580" si="183">Z569*1.19</f>
        <v>0</v>
      </c>
      <c r="AC569" s="367">
        <f t="shared" ref="AC569:AC580" si="184">Z569/S569</f>
        <v>0</v>
      </c>
      <c r="AD569" s="367">
        <f t="shared" ref="AD569:AD580" si="185">IF(Y569="TOTAL",(AC569*0.19),0)</f>
        <v>0</v>
      </c>
      <c r="AE569" s="368">
        <f t="shared" ref="AE569:AE580" si="186">AC569*1.19</f>
        <v>0</v>
      </c>
      <c r="AF569" s="385"/>
    </row>
    <row r="570" spans="2:32" s="1" customFormat="1" ht="13" hidden="1" x14ac:dyDescent="0.3">
      <c r="B570" s="383">
        <v>2026</v>
      </c>
      <c r="C570" s="361" t="s">
        <v>395</v>
      </c>
      <c r="D570" s="361" t="s">
        <v>359</v>
      </c>
      <c r="E570" s="360" t="s">
        <v>393</v>
      </c>
      <c r="F570" s="360" t="s">
        <v>172</v>
      </c>
      <c r="G570" s="362"/>
      <c r="H570" s="363"/>
      <c r="I570" s="360" t="s">
        <v>147</v>
      </c>
      <c r="J570" s="364" t="str">
        <f>IFERROR(VLOOKUP(I570,Map!$F$18:$G$56,2,0),"Add in Map")</f>
        <v>3P</v>
      </c>
      <c r="K570" s="364" t="str">
        <f>VLOOKUP(L570,Map!$C$18:$D$29,2,0)</f>
        <v>CVT</v>
      </c>
      <c r="L570" s="360" t="s">
        <v>36</v>
      </c>
      <c r="M570" s="365"/>
      <c r="N570" s="366">
        <f t="shared" si="177"/>
        <v>0</v>
      </c>
      <c r="O570" s="366">
        <f t="shared" si="178"/>
        <v>0</v>
      </c>
      <c r="P570" s="367">
        <f t="shared" si="179"/>
        <v>0</v>
      </c>
      <c r="Q570" s="367">
        <f t="shared" si="180"/>
        <v>0</v>
      </c>
      <c r="R570" s="368">
        <f t="shared" si="181"/>
        <v>0</v>
      </c>
      <c r="S570" s="384">
        <f>INDEX(FX!$D$3:$O$19,MATCH(B570,FX!$B$3:$B$32,0),MATCH(D570,FX!$D$2:$O$2,0))</f>
        <v>935</v>
      </c>
      <c r="T570" s="360" t="s">
        <v>141</v>
      </c>
      <c r="U570" s="360" t="s">
        <v>32</v>
      </c>
      <c r="V570" s="360" t="s">
        <v>83</v>
      </c>
      <c r="W570" s="364" t="str">
        <f>VLOOKUP(I570,Map!$F$18:$H$51,3,0)</f>
        <v>Variable</v>
      </c>
      <c r="X570" s="370" t="s">
        <v>172</v>
      </c>
      <c r="Y570" s="364" t="str">
        <f>VLOOKUP(L570,Map!$C$18:$D$29,2,0)</f>
        <v>CVT</v>
      </c>
      <c r="Z570" s="365"/>
      <c r="AA570" s="366">
        <f t="shared" si="182"/>
        <v>0</v>
      </c>
      <c r="AB570" s="366">
        <f t="shared" si="183"/>
        <v>0</v>
      </c>
      <c r="AC570" s="367">
        <f t="shared" si="184"/>
        <v>0</v>
      </c>
      <c r="AD570" s="367">
        <f t="shared" si="185"/>
        <v>0</v>
      </c>
      <c r="AE570" s="368">
        <f t="shared" si="186"/>
        <v>0</v>
      </c>
      <c r="AF570" s="385"/>
    </row>
    <row r="571" spans="2:32" s="1" customFormat="1" ht="13" hidden="1" x14ac:dyDescent="0.3">
      <c r="B571" s="383">
        <v>2026</v>
      </c>
      <c r="C571" s="361" t="s">
        <v>395</v>
      </c>
      <c r="D571" s="361" t="s">
        <v>359</v>
      </c>
      <c r="E571" s="360" t="s">
        <v>393</v>
      </c>
      <c r="F571" s="360" t="s">
        <v>172</v>
      </c>
      <c r="G571" s="362"/>
      <c r="H571" s="363"/>
      <c r="I571" s="360" t="s">
        <v>147</v>
      </c>
      <c r="J571" s="364" t="str">
        <f>IFERROR(VLOOKUP(I571,Map!$F$18:$G$56,2,0),"Add in Map")</f>
        <v>3P</v>
      </c>
      <c r="K571" s="364" t="str">
        <f>VLOOKUP(L571,Map!$C$18:$D$29,2,0)</f>
        <v>CDT</v>
      </c>
      <c r="L571" s="360" t="s">
        <v>38</v>
      </c>
      <c r="M571" s="365"/>
      <c r="N571" s="366">
        <f t="shared" si="177"/>
        <v>0</v>
      </c>
      <c r="O571" s="366">
        <f t="shared" si="178"/>
        <v>0</v>
      </c>
      <c r="P571" s="367">
        <f t="shared" si="179"/>
        <v>0</v>
      </c>
      <c r="Q571" s="367">
        <f t="shared" si="180"/>
        <v>0</v>
      </c>
      <c r="R571" s="368">
        <f t="shared" si="181"/>
        <v>0</v>
      </c>
      <c r="S571" s="384">
        <f>INDEX(FX!$D$3:$O$19,MATCH(B571,FX!$B$3:$B$32,0),MATCH(D571,FX!$D$2:$O$2,0))</f>
        <v>935</v>
      </c>
      <c r="T571" s="360" t="s">
        <v>141</v>
      </c>
      <c r="U571" s="360" t="s">
        <v>32</v>
      </c>
      <c r="V571" s="360" t="s">
        <v>83</v>
      </c>
      <c r="W571" s="364" t="str">
        <f>VLOOKUP(I571,Map!$F$18:$H$51,3,0)</f>
        <v>Variable</v>
      </c>
      <c r="X571" s="370" t="s">
        <v>172</v>
      </c>
      <c r="Y571" s="364" t="str">
        <f>VLOOKUP(L571,Map!$C$18:$D$29,2,0)</f>
        <v>CDT</v>
      </c>
      <c r="Z571" s="365"/>
      <c r="AA571" s="366">
        <f t="shared" si="182"/>
        <v>0</v>
      </c>
      <c r="AB571" s="366">
        <f t="shared" si="183"/>
        <v>0</v>
      </c>
      <c r="AC571" s="367">
        <f t="shared" si="184"/>
        <v>0</v>
      </c>
      <c r="AD571" s="367">
        <f t="shared" si="185"/>
        <v>0</v>
      </c>
      <c r="AE571" s="368">
        <f t="shared" si="186"/>
        <v>0</v>
      </c>
      <c r="AF571" s="385"/>
    </row>
    <row r="572" spans="2:32" s="1" customFormat="1" ht="13" hidden="1" x14ac:dyDescent="0.3">
      <c r="B572" s="383">
        <v>2026</v>
      </c>
      <c r="C572" s="361" t="s">
        <v>395</v>
      </c>
      <c r="D572" s="361" t="s">
        <v>359</v>
      </c>
      <c r="E572" s="360" t="s">
        <v>393</v>
      </c>
      <c r="F572" s="360" t="s">
        <v>172</v>
      </c>
      <c r="G572" s="362"/>
      <c r="H572" s="363"/>
      <c r="I572" s="360" t="s">
        <v>147</v>
      </c>
      <c r="J572" s="364" t="str">
        <f>IFERROR(VLOOKUP(I572,Map!$F$18:$G$56,2,0),"Add in Map")</f>
        <v>3P</v>
      </c>
      <c r="K572" s="364" t="str">
        <f>VLOOKUP(L572,Map!$C$18:$D$29,2,0)</f>
        <v>DFT</v>
      </c>
      <c r="L572" s="360" t="s">
        <v>40</v>
      </c>
      <c r="M572" s="365"/>
      <c r="N572" s="366">
        <f t="shared" si="177"/>
        <v>0</v>
      </c>
      <c r="O572" s="366">
        <f t="shared" si="178"/>
        <v>0</v>
      </c>
      <c r="P572" s="367">
        <f t="shared" si="179"/>
        <v>0</v>
      </c>
      <c r="Q572" s="367">
        <f t="shared" si="180"/>
        <v>0</v>
      </c>
      <c r="R572" s="368">
        <f t="shared" si="181"/>
        <v>0</v>
      </c>
      <c r="S572" s="384">
        <f>INDEX(FX!$D$3:$O$19,MATCH(B572,FX!$B$3:$B$32,0),MATCH(D572,FX!$D$2:$O$2,0))</f>
        <v>935</v>
      </c>
      <c r="T572" s="360" t="s">
        <v>141</v>
      </c>
      <c r="U572" s="360" t="s">
        <v>32</v>
      </c>
      <c r="V572" s="360" t="s">
        <v>83</v>
      </c>
      <c r="W572" s="364" t="str">
        <f>VLOOKUP(I572,Map!$F$18:$H$51,3,0)</f>
        <v>Variable</v>
      </c>
      <c r="X572" s="370" t="s">
        <v>172</v>
      </c>
      <c r="Y572" s="364" t="str">
        <f>VLOOKUP(L572,Map!$C$18:$D$29,2,0)</f>
        <v>DFT</v>
      </c>
      <c r="Z572" s="365"/>
      <c r="AA572" s="366">
        <f t="shared" si="182"/>
        <v>0</v>
      </c>
      <c r="AB572" s="366">
        <f t="shared" si="183"/>
        <v>0</v>
      </c>
      <c r="AC572" s="367">
        <f t="shared" si="184"/>
        <v>0</v>
      </c>
      <c r="AD572" s="367">
        <f t="shared" si="185"/>
        <v>0</v>
      </c>
      <c r="AE572" s="368">
        <f t="shared" si="186"/>
        <v>0</v>
      </c>
      <c r="AF572" s="385"/>
    </row>
    <row r="573" spans="2:32" s="1" customFormat="1" ht="13" hidden="1" x14ac:dyDescent="0.3">
      <c r="B573" s="383">
        <v>2026</v>
      </c>
      <c r="C573" s="361" t="s">
        <v>395</v>
      </c>
      <c r="D573" s="361" t="s">
        <v>359</v>
      </c>
      <c r="E573" s="360" t="s">
        <v>393</v>
      </c>
      <c r="F573" s="360" t="s">
        <v>172</v>
      </c>
      <c r="G573" s="362"/>
      <c r="H573" s="363"/>
      <c r="I573" s="360" t="s">
        <v>147</v>
      </c>
      <c r="J573" s="364" t="str">
        <f>IFERROR(VLOOKUP(I573,Map!$F$18:$G$56,2,0),"Add in Map")</f>
        <v>3P</v>
      </c>
      <c r="K573" s="364" t="str">
        <f>VLOOKUP(L573,Map!$C$18:$D$29,2,0)</f>
        <v>DVT</v>
      </c>
      <c r="L573" s="360" t="s">
        <v>42</v>
      </c>
      <c r="M573" s="365"/>
      <c r="N573" s="366">
        <f t="shared" si="177"/>
        <v>0</v>
      </c>
      <c r="O573" s="366">
        <f t="shared" si="178"/>
        <v>0</v>
      </c>
      <c r="P573" s="367">
        <f t="shared" si="179"/>
        <v>0</v>
      </c>
      <c r="Q573" s="367">
        <f t="shared" si="180"/>
        <v>0</v>
      </c>
      <c r="R573" s="368">
        <f t="shared" si="181"/>
        <v>0</v>
      </c>
      <c r="S573" s="384">
        <f>INDEX(FX!$D$3:$O$19,MATCH(B573,FX!$B$3:$B$32,0),MATCH(D573,FX!$D$2:$O$2,0))</f>
        <v>935</v>
      </c>
      <c r="T573" s="360" t="s">
        <v>141</v>
      </c>
      <c r="U573" s="360" t="s">
        <v>32</v>
      </c>
      <c r="V573" s="360" t="s">
        <v>83</v>
      </c>
      <c r="W573" s="364" t="str">
        <f>VLOOKUP(I573,Map!$F$18:$H$51,3,0)</f>
        <v>Variable</v>
      </c>
      <c r="X573" s="370" t="s">
        <v>172</v>
      </c>
      <c r="Y573" s="364" t="str">
        <f>VLOOKUP(L573,Map!$C$18:$D$29,2,0)</f>
        <v>DVT</v>
      </c>
      <c r="Z573" s="365"/>
      <c r="AA573" s="366">
        <f t="shared" si="182"/>
        <v>0</v>
      </c>
      <c r="AB573" s="366">
        <f t="shared" si="183"/>
        <v>0</v>
      </c>
      <c r="AC573" s="367">
        <f t="shared" si="184"/>
        <v>0</v>
      </c>
      <c r="AD573" s="367">
        <f t="shared" si="185"/>
        <v>0</v>
      </c>
      <c r="AE573" s="368">
        <f t="shared" si="186"/>
        <v>0</v>
      </c>
      <c r="AF573" s="385"/>
    </row>
    <row r="574" spans="2:32" s="1" customFormat="1" ht="13" hidden="1" x14ac:dyDescent="0.3">
      <c r="B574" s="383">
        <v>2026</v>
      </c>
      <c r="C574" s="361" t="s">
        <v>395</v>
      </c>
      <c r="D574" s="361" t="s">
        <v>359</v>
      </c>
      <c r="E574" s="360" t="s">
        <v>393</v>
      </c>
      <c r="F574" s="360" t="s">
        <v>172</v>
      </c>
      <c r="G574" s="362"/>
      <c r="H574" s="363"/>
      <c r="I574" s="360" t="s">
        <v>147</v>
      </c>
      <c r="J574" s="364" t="str">
        <f>IFERROR(VLOOKUP(I574,Map!$F$18:$G$56,2,0),"Add in Map")</f>
        <v>3P</v>
      </c>
      <c r="K574" s="364" t="str">
        <f>VLOOKUP(L574,Map!$C$18:$D$29,2,0)</f>
        <v>GLT</v>
      </c>
      <c r="L574" s="360" t="s">
        <v>44</v>
      </c>
      <c r="M574" s="365"/>
      <c r="N574" s="366">
        <f t="shared" si="177"/>
        <v>0</v>
      </c>
      <c r="O574" s="366">
        <f t="shared" si="178"/>
        <v>0</v>
      </c>
      <c r="P574" s="367">
        <f t="shared" si="179"/>
        <v>0</v>
      </c>
      <c r="Q574" s="367">
        <f t="shared" si="180"/>
        <v>0</v>
      </c>
      <c r="R574" s="368">
        <f t="shared" si="181"/>
        <v>0</v>
      </c>
      <c r="S574" s="384">
        <f>INDEX(FX!$D$3:$O$19,MATCH(B574,FX!$B$3:$B$32,0),MATCH(D574,FX!$D$2:$O$2,0))</f>
        <v>935</v>
      </c>
      <c r="T574" s="360" t="s">
        <v>141</v>
      </c>
      <c r="U574" s="360" t="s">
        <v>32</v>
      </c>
      <c r="V574" s="360" t="s">
        <v>83</v>
      </c>
      <c r="W574" s="364" t="str">
        <f>VLOOKUP(I574,Map!$F$18:$H$51,3,0)</f>
        <v>Variable</v>
      </c>
      <c r="X574" s="370" t="s">
        <v>172</v>
      </c>
      <c r="Y574" s="364" t="str">
        <f>VLOOKUP(L574,Map!$C$18:$D$29,2,0)</f>
        <v>GLT</v>
      </c>
      <c r="Z574" s="365"/>
      <c r="AA574" s="366">
        <f t="shared" si="182"/>
        <v>0</v>
      </c>
      <c r="AB574" s="366">
        <f t="shared" si="183"/>
        <v>0</v>
      </c>
      <c r="AC574" s="367">
        <f t="shared" si="184"/>
        <v>0</v>
      </c>
      <c r="AD574" s="367">
        <f t="shared" si="185"/>
        <v>0</v>
      </c>
      <c r="AE574" s="368">
        <f t="shared" si="186"/>
        <v>0</v>
      </c>
      <c r="AF574" s="385"/>
    </row>
    <row r="575" spans="2:32" s="1" customFormat="1" ht="13" hidden="1" x14ac:dyDescent="0.3">
      <c r="B575" s="383">
        <v>2026</v>
      </c>
      <c r="C575" s="361" t="s">
        <v>395</v>
      </c>
      <c r="D575" s="361" t="s">
        <v>359</v>
      </c>
      <c r="E575" s="360" t="s">
        <v>393</v>
      </c>
      <c r="F575" s="360" t="s">
        <v>172</v>
      </c>
      <c r="G575" s="362"/>
      <c r="H575" s="363"/>
      <c r="I575" s="360" t="s">
        <v>147</v>
      </c>
      <c r="J575" s="364" t="str">
        <f>IFERROR(VLOOKUP(I575,Map!$F$18:$G$56,2,0),"Add in Map")</f>
        <v>3P</v>
      </c>
      <c r="K575" s="364" t="str">
        <f>VLOOKUP(L575,Map!$C$18:$D$29,2,0)</f>
        <v>PNT</v>
      </c>
      <c r="L575" s="360" t="s">
        <v>46</v>
      </c>
      <c r="M575" s="365"/>
      <c r="N575" s="366">
        <f t="shared" si="177"/>
        <v>0</v>
      </c>
      <c r="O575" s="366">
        <f t="shared" si="178"/>
        <v>0</v>
      </c>
      <c r="P575" s="367">
        <f t="shared" si="179"/>
        <v>0</v>
      </c>
      <c r="Q575" s="367">
        <f t="shared" si="180"/>
        <v>0</v>
      </c>
      <c r="R575" s="368">
        <f t="shared" si="181"/>
        <v>0</v>
      </c>
      <c r="S575" s="384">
        <f>INDEX(FX!$D$3:$O$19,MATCH(B575,FX!$B$3:$B$32,0),MATCH(D575,FX!$D$2:$O$2,0))</f>
        <v>935</v>
      </c>
      <c r="T575" s="360" t="s">
        <v>141</v>
      </c>
      <c r="U575" s="360" t="s">
        <v>32</v>
      </c>
      <c r="V575" s="360" t="s">
        <v>83</v>
      </c>
      <c r="W575" s="364" t="str">
        <f>VLOOKUP(I575,Map!$F$18:$H$51,3,0)</f>
        <v>Variable</v>
      </c>
      <c r="X575" s="370" t="s">
        <v>172</v>
      </c>
      <c r="Y575" s="364" t="str">
        <f>VLOOKUP(L575,Map!$C$18:$D$29,2,0)</f>
        <v>PNT</v>
      </c>
      <c r="Z575" s="365"/>
      <c r="AA575" s="366">
        <f t="shared" si="182"/>
        <v>0</v>
      </c>
      <c r="AB575" s="366">
        <f t="shared" si="183"/>
        <v>0</v>
      </c>
      <c r="AC575" s="367">
        <f t="shared" si="184"/>
        <v>0</v>
      </c>
      <c r="AD575" s="367">
        <f t="shared" si="185"/>
        <v>0</v>
      </c>
      <c r="AE575" s="368">
        <f t="shared" si="186"/>
        <v>0</v>
      </c>
      <c r="AF575" s="385"/>
    </row>
    <row r="576" spans="2:32" s="1" customFormat="1" ht="13" hidden="1" x14ac:dyDescent="0.3">
      <c r="B576" s="383">
        <v>2026</v>
      </c>
      <c r="C576" s="361" t="s">
        <v>395</v>
      </c>
      <c r="D576" s="361" t="s">
        <v>359</v>
      </c>
      <c r="E576" s="360" t="s">
        <v>393</v>
      </c>
      <c r="F576" s="360" t="s">
        <v>172</v>
      </c>
      <c r="G576" s="362"/>
      <c r="H576" s="363"/>
      <c r="I576" s="360" t="s">
        <v>147</v>
      </c>
      <c r="J576" s="364" t="str">
        <f>IFERROR(VLOOKUP(I576,Map!$F$18:$G$56,2,0),"Add in Map")</f>
        <v>3P</v>
      </c>
      <c r="K576" s="364" t="str">
        <f>VLOOKUP(L576,Map!$C$18:$D$29,2,0)</f>
        <v>GTT</v>
      </c>
      <c r="L576" s="360" t="s">
        <v>48</v>
      </c>
      <c r="M576" s="365"/>
      <c r="N576" s="366">
        <f t="shared" si="177"/>
        <v>0</v>
      </c>
      <c r="O576" s="366">
        <f t="shared" si="178"/>
        <v>0</v>
      </c>
      <c r="P576" s="367">
        <f t="shared" si="179"/>
        <v>0</v>
      </c>
      <c r="Q576" s="367">
        <f t="shared" si="180"/>
        <v>0</v>
      </c>
      <c r="R576" s="368">
        <f t="shared" si="181"/>
        <v>0</v>
      </c>
      <c r="S576" s="384">
        <f>INDEX(FX!$D$3:$O$19,MATCH(B576,FX!$B$3:$B$32,0),MATCH(D576,FX!$D$2:$O$2,0))</f>
        <v>935</v>
      </c>
      <c r="T576" s="360" t="s">
        <v>141</v>
      </c>
      <c r="U576" s="360" t="s">
        <v>32</v>
      </c>
      <c r="V576" s="360" t="s">
        <v>83</v>
      </c>
      <c r="W576" s="364" t="str">
        <f>VLOOKUP(I576,Map!$F$18:$H$51,3,0)</f>
        <v>Variable</v>
      </c>
      <c r="X576" s="370" t="s">
        <v>172</v>
      </c>
      <c r="Y576" s="364" t="str">
        <f>VLOOKUP(L576,Map!$C$18:$D$29,2,0)</f>
        <v>GTT</v>
      </c>
      <c r="Z576" s="365"/>
      <c r="AA576" s="366">
        <f t="shared" si="182"/>
        <v>0</v>
      </c>
      <c r="AB576" s="366">
        <f t="shared" si="183"/>
        <v>0</v>
      </c>
      <c r="AC576" s="367">
        <f t="shared" si="184"/>
        <v>0</v>
      </c>
      <c r="AD576" s="367">
        <f t="shared" si="185"/>
        <v>0</v>
      </c>
      <c r="AE576" s="368">
        <f t="shared" si="186"/>
        <v>0</v>
      </c>
      <c r="AF576" s="385"/>
    </row>
    <row r="577" spans="2:32" s="1" customFormat="1" ht="13" hidden="1" x14ac:dyDescent="0.3">
      <c r="B577" s="383">
        <v>2026</v>
      </c>
      <c r="C577" s="361" t="s">
        <v>395</v>
      </c>
      <c r="D577" s="361" t="s">
        <v>359</v>
      </c>
      <c r="E577" s="360" t="s">
        <v>393</v>
      </c>
      <c r="F577" s="360" t="s">
        <v>172</v>
      </c>
      <c r="G577" s="362"/>
      <c r="H577" s="363"/>
      <c r="I577" s="360" t="s">
        <v>147</v>
      </c>
      <c r="J577" s="364" t="str">
        <f>IFERROR(VLOOKUP(I577,Map!$F$18:$G$56,2,0),"Add in Map")</f>
        <v>3P</v>
      </c>
      <c r="K577" s="364" t="str">
        <f>VLOOKUP(L577,Map!$C$18:$D$29,2,0)</f>
        <v>DGT</v>
      </c>
      <c r="L577" s="360" t="s">
        <v>50</v>
      </c>
      <c r="M577" s="365"/>
      <c r="N577" s="366">
        <f t="shared" si="177"/>
        <v>0</v>
      </c>
      <c r="O577" s="366">
        <f t="shared" si="178"/>
        <v>0</v>
      </c>
      <c r="P577" s="367">
        <f t="shared" si="179"/>
        <v>0</v>
      </c>
      <c r="Q577" s="367">
        <f t="shared" si="180"/>
        <v>0</v>
      </c>
      <c r="R577" s="368">
        <f t="shared" si="181"/>
        <v>0</v>
      </c>
      <c r="S577" s="384">
        <f>INDEX(FX!$D$3:$O$19,MATCH(B577,FX!$B$3:$B$32,0),MATCH(D577,FX!$D$2:$O$2,0))</f>
        <v>935</v>
      </c>
      <c r="T577" s="360" t="s">
        <v>141</v>
      </c>
      <c r="U577" s="360" t="s">
        <v>32</v>
      </c>
      <c r="V577" s="360" t="s">
        <v>83</v>
      </c>
      <c r="W577" s="364" t="str">
        <f>VLOOKUP(I577,Map!$F$18:$H$51,3,0)</f>
        <v>Variable</v>
      </c>
      <c r="X577" s="370" t="s">
        <v>172</v>
      </c>
      <c r="Y577" s="364" t="str">
        <f>VLOOKUP(L577,Map!$C$18:$D$29,2,0)</f>
        <v>DGT</v>
      </c>
      <c r="Z577" s="365"/>
      <c r="AA577" s="366">
        <f t="shared" si="182"/>
        <v>0</v>
      </c>
      <c r="AB577" s="366">
        <f t="shared" si="183"/>
        <v>0</v>
      </c>
      <c r="AC577" s="367">
        <f t="shared" si="184"/>
        <v>0</v>
      </c>
      <c r="AD577" s="367">
        <f t="shared" si="185"/>
        <v>0</v>
      </c>
      <c r="AE577" s="368">
        <f t="shared" si="186"/>
        <v>0</v>
      </c>
      <c r="AF577" s="385"/>
    </row>
    <row r="578" spans="2:32" s="1" customFormat="1" ht="13" hidden="1" x14ac:dyDescent="0.3">
      <c r="B578" s="383">
        <v>2026</v>
      </c>
      <c r="C578" s="361" t="s">
        <v>395</v>
      </c>
      <c r="D578" s="361" t="s">
        <v>359</v>
      </c>
      <c r="E578" s="360" t="s">
        <v>393</v>
      </c>
      <c r="F578" s="360" t="s">
        <v>172</v>
      </c>
      <c r="G578" s="362"/>
      <c r="H578" s="363"/>
      <c r="I578" s="360" t="s">
        <v>147</v>
      </c>
      <c r="J578" s="364" t="str">
        <f>IFERROR(VLOOKUP(I578,Map!$F$18:$G$56,2,0),"Add in Map")</f>
        <v>3P</v>
      </c>
      <c r="K578" s="364" t="str">
        <f>VLOOKUP(L578,Map!$C$18:$D$29,2,0)</f>
        <v>DLT</v>
      </c>
      <c r="L578" s="360" t="s">
        <v>52</v>
      </c>
      <c r="M578" s="365"/>
      <c r="N578" s="366">
        <f t="shared" si="177"/>
        <v>0</v>
      </c>
      <c r="O578" s="366">
        <f t="shared" si="178"/>
        <v>0</v>
      </c>
      <c r="P578" s="367">
        <f t="shared" si="179"/>
        <v>0</v>
      </c>
      <c r="Q578" s="367">
        <f t="shared" si="180"/>
        <v>0</v>
      </c>
      <c r="R578" s="368">
        <f t="shared" si="181"/>
        <v>0</v>
      </c>
      <c r="S578" s="384">
        <f>INDEX(FX!$D$3:$O$19,MATCH(B578,FX!$B$3:$B$32,0),MATCH(D578,FX!$D$2:$O$2,0))</f>
        <v>935</v>
      </c>
      <c r="T578" s="360" t="s">
        <v>141</v>
      </c>
      <c r="U578" s="360" t="s">
        <v>32</v>
      </c>
      <c r="V578" s="360" t="s">
        <v>83</v>
      </c>
      <c r="W578" s="364" t="str">
        <f>VLOOKUP(I578,Map!$F$18:$H$51,3,0)</f>
        <v>Variable</v>
      </c>
      <c r="X578" s="370" t="s">
        <v>172</v>
      </c>
      <c r="Y578" s="364" t="str">
        <f>VLOOKUP(L578,Map!$C$18:$D$29,2,0)</f>
        <v>DLT</v>
      </c>
      <c r="Z578" s="365"/>
      <c r="AA578" s="366">
        <f t="shared" si="182"/>
        <v>0</v>
      </c>
      <c r="AB578" s="366">
        <f t="shared" si="183"/>
        <v>0</v>
      </c>
      <c r="AC578" s="367">
        <f t="shared" si="184"/>
        <v>0</v>
      </c>
      <c r="AD578" s="367">
        <f t="shared" si="185"/>
        <v>0</v>
      </c>
      <c r="AE578" s="368">
        <f t="shared" si="186"/>
        <v>0</v>
      </c>
      <c r="AF578" s="385"/>
    </row>
    <row r="579" spans="2:32" s="1" customFormat="1" ht="13" hidden="1" x14ac:dyDescent="0.3">
      <c r="B579" s="383">
        <v>2026</v>
      </c>
      <c r="C579" s="361" t="s">
        <v>395</v>
      </c>
      <c r="D579" s="361" t="s">
        <v>359</v>
      </c>
      <c r="E579" s="360" t="s">
        <v>393</v>
      </c>
      <c r="F579" s="360" t="s">
        <v>172</v>
      </c>
      <c r="G579" s="362"/>
      <c r="H579" s="363"/>
      <c r="I579" s="360" t="s">
        <v>147</v>
      </c>
      <c r="J579" s="364" t="str">
        <f>IFERROR(VLOOKUP(I579,Map!$F$18:$G$56,2,0),"Add in Map")</f>
        <v>3P</v>
      </c>
      <c r="K579" s="364" t="str">
        <f>VLOOKUP(L579,Map!$C$18:$D$29,2,0)</f>
        <v>DMT</v>
      </c>
      <c r="L579" s="360" t="s">
        <v>54</v>
      </c>
      <c r="M579" s="365"/>
      <c r="N579" s="366">
        <f t="shared" si="177"/>
        <v>0</v>
      </c>
      <c r="O579" s="366">
        <f t="shared" si="178"/>
        <v>0</v>
      </c>
      <c r="P579" s="386">
        <f t="shared" si="179"/>
        <v>0</v>
      </c>
      <c r="Q579" s="367">
        <f t="shared" si="180"/>
        <v>0</v>
      </c>
      <c r="R579" s="368">
        <f t="shared" si="181"/>
        <v>0</v>
      </c>
      <c r="S579" s="384">
        <f>INDEX(FX!$D$3:$O$19,MATCH(B579,FX!$B$3:$B$32,0),MATCH(D579,FX!$D$2:$O$2,0))</f>
        <v>935</v>
      </c>
      <c r="T579" s="360" t="s">
        <v>141</v>
      </c>
      <c r="U579" s="360" t="s">
        <v>32</v>
      </c>
      <c r="V579" s="360" t="s">
        <v>83</v>
      </c>
      <c r="W579" s="364" t="str">
        <f>VLOOKUP(I579,Map!$F$18:$H$51,3,0)</f>
        <v>Variable</v>
      </c>
      <c r="X579" s="370" t="s">
        <v>172</v>
      </c>
      <c r="Y579" s="364" t="str">
        <f>VLOOKUP(L579,Map!$C$18:$D$29,2,0)</f>
        <v>DMT</v>
      </c>
      <c r="Z579" s="365"/>
      <c r="AA579" s="366">
        <f t="shared" si="182"/>
        <v>0</v>
      </c>
      <c r="AB579" s="366">
        <f t="shared" si="183"/>
        <v>0</v>
      </c>
      <c r="AC579" s="386">
        <f t="shared" si="184"/>
        <v>0</v>
      </c>
      <c r="AD579" s="367">
        <f t="shared" si="185"/>
        <v>0</v>
      </c>
      <c r="AE579" s="368">
        <f t="shared" si="186"/>
        <v>0</v>
      </c>
      <c r="AF579" s="385"/>
    </row>
    <row r="580" spans="2:32" s="37" customFormat="1" hidden="1" x14ac:dyDescent="0.35">
      <c r="B580" s="387">
        <v>2026</v>
      </c>
      <c r="C580" s="389" t="s">
        <v>395</v>
      </c>
      <c r="D580" s="389" t="s">
        <v>359</v>
      </c>
      <c r="E580" s="388" t="s">
        <v>393</v>
      </c>
      <c r="F580" s="388" t="s">
        <v>172</v>
      </c>
      <c r="G580" s="390"/>
      <c r="H580" s="391"/>
      <c r="I580" s="388" t="s">
        <v>147</v>
      </c>
      <c r="J580" s="392" t="str">
        <f>IFERROR(VLOOKUP(I580,Map!$F$18:$G$56,2,0),"Add in Map")</f>
        <v>3P</v>
      </c>
      <c r="K580" s="392" t="str">
        <f>VLOOKUP(L580,Map!$C$18:$D$29,2,0)</f>
        <v>TOTAL</v>
      </c>
      <c r="L580" s="388" t="s">
        <v>56</v>
      </c>
      <c r="M580" s="393">
        <f>SUM(M569:M579)</f>
        <v>0</v>
      </c>
      <c r="N580" s="393">
        <f t="shared" si="177"/>
        <v>0</v>
      </c>
      <c r="O580" s="393">
        <f t="shared" si="178"/>
        <v>0</v>
      </c>
      <c r="P580" s="394">
        <f t="shared" si="179"/>
        <v>0</v>
      </c>
      <c r="Q580" s="394">
        <f t="shared" si="180"/>
        <v>0</v>
      </c>
      <c r="R580" s="395">
        <f t="shared" si="181"/>
        <v>0</v>
      </c>
      <c r="S580" s="396">
        <f>INDEX(FX!$D$3:$O$19,MATCH(B580,FX!$B$3:$B$32,0),MATCH(D580,FX!$D$2:$O$2,0))</f>
        <v>935</v>
      </c>
      <c r="T580" s="388" t="s">
        <v>141</v>
      </c>
      <c r="U580" s="388" t="s">
        <v>32</v>
      </c>
      <c r="V580" s="388" t="s">
        <v>83</v>
      </c>
      <c r="W580" s="392" t="str">
        <f>VLOOKUP(I580,Map!$F$18:$H$51,3,0)</f>
        <v>Variable</v>
      </c>
      <c r="X580" s="397" t="s">
        <v>172</v>
      </c>
      <c r="Y580" s="392" t="str">
        <f>VLOOKUP(L580,Map!$C$18:$D$29,2,0)</f>
        <v>TOTAL</v>
      </c>
      <c r="Z580" s="413"/>
      <c r="AA580" s="393">
        <f t="shared" si="182"/>
        <v>0</v>
      </c>
      <c r="AB580" s="393">
        <f t="shared" si="183"/>
        <v>0</v>
      </c>
      <c r="AC580" s="394">
        <f t="shared" si="184"/>
        <v>0</v>
      </c>
      <c r="AD580" s="394">
        <f t="shared" si="185"/>
        <v>0</v>
      </c>
      <c r="AE580" s="395">
        <f t="shared" si="186"/>
        <v>0</v>
      </c>
      <c r="AF580" s="398"/>
    </row>
    <row r="581" spans="2:32" s="1" customFormat="1" ht="13" hidden="1" x14ac:dyDescent="0.3">
      <c r="B581" s="383">
        <v>2026</v>
      </c>
      <c r="C581" s="361" t="s">
        <v>396</v>
      </c>
      <c r="D581" s="361" t="s">
        <v>359</v>
      </c>
      <c r="E581" s="360" t="s">
        <v>393</v>
      </c>
      <c r="F581" s="360" t="s">
        <v>172</v>
      </c>
      <c r="G581" s="362"/>
      <c r="H581" s="363"/>
      <c r="I581" s="360" t="s">
        <v>147</v>
      </c>
      <c r="J581" s="364" t="str">
        <f>IFERROR(VLOOKUP(I581,Map!$F$18:$G$56,2,0),"Add in Map")</f>
        <v>3P</v>
      </c>
      <c r="K581" s="364" t="str">
        <f>VLOOKUP(L581,Map!$C$18:$D$29,2,0)</f>
        <v>CNT</v>
      </c>
      <c r="L581" s="360" t="s">
        <v>31</v>
      </c>
      <c r="M581" s="365"/>
      <c r="N581" s="366">
        <f t="shared" ref="N581:N616" si="187">IF(L581="TOTAL",(M581*0.19),0)</f>
        <v>0</v>
      </c>
      <c r="O581" s="366">
        <f t="shared" ref="O581:O616" si="188">M581*1.19</f>
        <v>0</v>
      </c>
      <c r="P581" s="367">
        <f t="shared" ref="P581:P616" si="189">M581/S581</f>
        <v>0</v>
      </c>
      <c r="Q581" s="367">
        <f t="shared" ref="Q581:Q616" si="190">IF(L581="TOTAL",(P581*0.19),0)</f>
        <v>0</v>
      </c>
      <c r="R581" s="368">
        <f t="shared" ref="R581:R616" si="191">P581*1.19</f>
        <v>0</v>
      </c>
      <c r="S581" s="384">
        <f>INDEX(FX!$D$3:$O$19,MATCH(B581,FX!$B$3:$B$32,0),MATCH(D581,FX!$D$2:$O$2,0))</f>
        <v>935</v>
      </c>
      <c r="T581" s="360" t="s">
        <v>141</v>
      </c>
      <c r="U581" s="360" t="s">
        <v>32</v>
      </c>
      <c r="V581" s="360" t="s">
        <v>83</v>
      </c>
      <c r="W581" s="364" t="str">
        <f>VLOOKUP(I581,Map!$F$18:$H$51,3,0)</f>
        <v>Variable</v>
      </c>
      <c r="X581" s="370" t="s">
        <v>172</v>
      </c>
      <c r="Y581" s="364" t="str">
        <f>VLOOKUP(L581,Map!$C$18:$D$29,2,0)</f>
        <v>CNT</v>
      </c>
      <c r="Z581" s="365"/>
      <c r="AA581" s="366">
        <f t="shared" ref="AA581:AA616" si="192">IF(Y581="TOTAL",(Z581*0.19),0)</f>
        <v>0</v>
      </c>
      <c r="AB581" s="366">
        <f t="shared" ref="AB581:AB616" si="193">Z581*1.19</f>
        <v>0</v>
      </c>
      <c r="AC581" s="367">
        <f t="shared" ref="AC581:AC616" si="194">Z581/S581</f>
        <v>0</v>
      </c>
      <c r="AD581" s="367">
        <f t="shared" ref="AD581:AD616" si="195">IF(Y581="TOTAL",(AC581*0.19),0)</f>
        <v>0</v>
      </c>
      <c r="AE581" s="368">
        <f t="shared" ref="AE581:AE616" si="196">AC581*1.19</f>
        <v>0</v>
      </c>
      <c r="AF581" s="385"/>
    </row>
    <row r="582" spans="2:32" s="1" customFormat="1" ht="13" hidden="1" x14ac:dyDescent="0.3">
      <c r="B582" s="383">
        <v>2026</v>
      </c>
      <c r="C582" s="361" t="s">
        <v>396</v>
      </c>
      <c r="D582" s="361" t="s">
        <v>359</v>
      </c>
      <c r="E582" s="360" t="s">
        <v>393</v>
      </c>
      <c r="F582" s="360" t="s">
        <v>172</v>
      </c>
      <c r="G582" s="362"/>
      <c r="H582" s="363"/>
      <c r="I582" s="360" t="s">
        <v>147</v>
      </c>
      <c r="J582" s="364" t="str">
        <f>IFERROR(VLOOKUP(I582,Map!$F$18:$G$56,2,0),"Add in Map")</f>
        <v>3P</v>
      </c>
      <c r="K582" s="364" t="str">
        <f>VLOOKUP(L582,Map!$C$18:$D$29,2,0)</f>
        <v>CVT</v>
      </c>
      <c r="L582" s="360" t="s">
        <v>36</v>
      </c>
      <c r="M582" s="365"/>
      <c r="N582" s="366">
        <f t="shared" si="187"/>
        <v>0</v>
      </c>
      <c r="O582" s="366">
        <f t="shared" si="188"/>
        <v>0</v>
      </c>
      <c r="P582" s="367">
        <f t="shared" si="189"/>
        <v>0</v>
      </c>
      <c r="Q582" s="367">
        <f t="shared" si="190"/>
        <v>0</v>
      </c>
      <c r="R582" s="368">
        <f t="shared" si="191"/>
        <v>0</v>
      </c>
      <c r="S582" s="384">
        <f>INDEX(FX!$D$3:$O$19,MATCH(B582,FX!$B$3:$B$32,0),MATCH(D582,FX!$D$2:$O$2,0))</f>
        <v>935</v>
      </c>
      <c r="T582" s="360" t="s">
        <v>141</v>
      </c>
      <c r="U582" s="360" t="s">
        <v>32</v>
      </c>
      <c r="V582" s="360" t="s">
        <v>83</v>
      </c>
      <c r="W582" s="364" t="str">
        <f>VLOOKUP(I582,Map!$F$18:$H$51,3,0)</f>
        <v>Variable</v>
      </c>
      <c r="X582" s="370" t="s">
        <v>172</v>
      </c>
      <c r="Y582" s="364" t="str">
        <f>VLOOKUP(L582,Map!$C$18:$D$29,2,0)</f>
        <v>CVT</v>
      </c>
      <c r="Z582" s="365"/>
      <c r="AA582" s="366">
        <f t="shared" si="192"/>
        <v>0</v>
      </c>
      <c r="AB582" s="366">
        <f t="shared" si="193"/>
        <v>0</v>
      </c>
      <c r="AC582" s="367">
        <f t="shared" si="194"/>
        <v>0</v>
      </c>
      <c r="AD582" s="367">
        <f t="shared" si="195"/>
        <v>0</v>
      </c>
      <c r="AE582" s="368">
        <f t="shared" si="196"/>
        <v>0</v>
      </c>
      <c r="AF582" s="385"/>
    </row>
    <row r="583" spans="2:32" s="1" customFormat="1" ht="13" hidden="1" x14ac:dyDescent="0.3">
      <c r="B583" s="383">
        <v>2026</v>
      </c>
      <c r="C583" s="361" t="s">
        <v>396</v>
      </c>
      <c r="D583" s="361" t="s">
        <v>359</v>
      </c>
      <c r="E583" s="360" t="s">
        <v>393</v>
      </c>
      <c r="F583" s="360" t="s">
        <v>172</v>
      </c>
      <c r="G583" s="362"/>
      <c r="H583" s="363"/>
      <c r="I583" s="360" t="s">
        <v>147</v>
      </c>
      <c r="J583" s="364" t="str">
        <f>IFERROR(VLOOKUP(I583,Map!$F$18:$G$56,2,0),"Add in Map")</f>
        <v>3P</v>
      </c>
      <c r="K583" s="364" t="str">
        <f>VLOOKUP(L583,Map!$C$18:$D$29,2,0)</f>
        <v>CDT</v>
      </c>
      <c r="L583" s="360" t="s">
        <v>38</v>
      </c>
      <c r="M583" s="365"/>
      <c r="N583" s="366">
        <f t="shared" si="187"/>
        <v>0</v>
      </c>
      <c r="O583" s="366">
        <f t="shared" si="188"/>
        <v>0</v>
      </c>
      <c r="P583" s="367">
        <f t="shared" si="189"/>
        <v>0</v>
      </c>
      <c r="Q583" s="367">
        <f t="shared" si="190"/>
        <v>0</v>
      </c>
      <c r="R583" s="368">
        <f t="shared" si="191"/>
        <v>0</v>
      </c>
      <c r="S583" s="384">
        <f>INDEX(FX!$D$3:$O$19,MATCH(B583,FX!$B$3:$B$32,0),MATCH(D583,FX!$D$2:$O$2,0))</f>
        <v>935</v>
      </c>
      <c r="T583" s="360" t="s">
        <v>141</v>
      </c>
      <c r="U583" s="360" t="s">
        <v>32</v>
      </c>
      <c r="V583" s="360" t="s">
        <v>83</v>
      </c>
      <c r="W583" s="364" t="str">
        <f>VLOOKUP(I583,Map!$F$18:$H$51,3,0)</f>
        <v>Variable</v>
      </c>
      <c r="X583" s="370" t="s">
        <v>172</v>
      </c>
      <c r="Y583" s="364" t="str">
        <f>VLOOKUP(L583,Map!$C$18:$D$29,2,0)</f>
        <v>CDT</v>
      </c>
      <c r="Z583" s="365"/>
      <c r="AA583" s="366">
        <f t="shared" si="192"/>
        <v>0</v>
      </c>
      <c r="AB583" s="366">
        <f t="shared" si="193"/>
        <v>0</v>
      </c>
      <c r="AC583" s="367">
        <f t="shared" si="194"/>
        <v>0</v>
      </c>
      <c r="AD583" s="367">
        <f t="shared" si="195"/>
        <v>0</v>
      </c>
      <c r="AE583" s="368">
        <f t="shared" si="196"/>
        <v>0</v>
      </c>
      <c r="AF583" s="385"/>
    </row>
    <row r="584" spans="2:32" s="1" customFormat="1" ht="13" hidden="1" x14ac:dyDescent="0.3">
      <c r="B584" s="383">
        <v>2026</v>
      </c>
      <c r="C584" s="361" t="s">
        <v>396</v>
      </c>
      <c r="D584" s="361" t="s">
        <v>359</v>
      </c>
      <c r="E584" s="360" t="s">
        <v>393</v>
      </c>
      <c r="F584" s="360" t="s">
        <v>172</v>
      </c>
      <c r="G584" s="362"/>
      <c r="H584" s="363"/>
      <c r="I584" s="360" t="s">
        <v>147</v>
      </c>
      <c r="J584" s="364" t="str">
        <f>IFERROR(VLOOKUP(I584,Map!$F$18:$G$56,2,0),"Add in Map")</f>
        <v>3P</v>
      </c>
      <c r="K584" s="364" t="str">
        <f>VLOOKUP(L584,Map!$C$18:$D$29,2,0)</f>
        <v>DFT</v>
      </c>
      <c r="L584" s="360" t="s">
        <v>40</v>
      </c>
      <c r="M584" s="365"/>
      <c r="N584" s="366">
        <f t="shared" si="187"/>
        <v>0</v>
      </c>
      <c r="O584" s="366">
        <f t="shared" si="188"/>
        <v>0</v>
      </c>
      <c r="P584" s="367">
        <f t="shared" si="189"/>
        <v>0</v>
      </c>
      <c r="Q584" s="367">
        <f t="shared" si="190"/>
        <v>0</v>
      </c>
      <c r="R584" s="368">
        <f t="shared" si="191"/>
        <v>0</v>
      </c>
      <c r="S584" s="384">
        <f>INDEX(FX!$D$3:$O$19,MATCH(B584,FX!$B$3:$B$32,0),MATCH(D584,FX!$D$2:$O$2,0))</f>
        <v>935</v>
      </c>
      <c r="T584" s="360" t="s">
        <v>141</v>
      </c>
      <c r="U584" s="360" t="s">
        <v>32</v>
      </c>
      <c r="V584" s="360" t="s">
        <v>83</v>
      </c>
      <c r="W584" s="364" t="str">
        <f>VLOOKUP(I584,Map!$F$18:$H$51,3,0)</f>
        <v>Variable</v>
      </c>
      <c r="X584" s="370" t="s">
        <v>172</v>
      </c>
      <c r="Y584" s="364" t="str">
        <f>VLOOKUP(L584,Map!$C$18:$D$29,2,0)</f>
        <v>DFT</v>
      </c>
      <c r="Z584" s="365"/>
      <c r="AA584" s="366">
        <f t="shared" si="192"/>
        <v>0</v>
      </c>
      <c r="AB584" s="366">
        <f t="shared" si="193"/>
        <v>0</v>
      </c>
      <c r="AC584" s="367">
        <f t="shared" si="194"/>
        <v>0</v>
      </c>
      <c r="AD584" s="367">
        <f t="shared" si="195"/>
        <v>0</v>
      </c>
      <c r="AE584" s="368">
        <f t="shared" si="196"/>
        <v>0</v>
      </c>
      <c r="AF584" s="385"/>
    </row>
    <row r="585" spans="2:32" s="1" customFormat="1" ht="13" hidden="1" x14ac:dyDescent="0.3">
      <c r="B585" s="383">
        <v>2026</v>
      </c>
      <c r="C585" s="361" t="s">
        <v>396</v>
      </c>
      <c r="D585" s="361" t="s">
        <v>359</v>
      </c>
      <c r="E585" s="360" t="s">
        <v>393</v>
      </c>
      <c r="F585" s="360" t="s">
        <v>172</v>
      </c>
      <c r="G585" s="362"/>
      <c r="H585" s="363"/>
      <c r="I585" s="360" t="s">
        <v>147</v>
      </c>
      <c r="J585" s="364" t="str">
        <f>IFERROR(VLOOKUP(I585,Map!$F$18:$G$56,2,0),"Add in Map")</f>
        <v>3P</v>
      </c>
      <c r="K585" s="364" t="str">
        <f>VLOOKUP(L585,Map!$C$18:$D$29,2,0)</f>
        <v>DVT</v>
      </c>
      <c r="L585" s="360" t="s">
        <v>42</v>
      </c>
      <c r="M585" s="365"/>
      <c r="N585" s="366">
        <f t="shared" si="187"/>
        <v>0</v>
      </c>
      <c r="O585" s="366">
        <f t="shared" si="188"/>
        <v>0</v>
      </c>
      <c r="P585" s="367">
        <f t="shared" si="189"/>
        <v>0</v>
      </c>
      <c r="Q585" s="367">
        <f t="shared" si="190"/>
        <v>0</v>
      </c>
      <c r="R585" s="368">
        <f t="shared" si="191"/>
        <v>0</v>
      </c>
      <c r="S585" s="384">
        <f>INDEX(FX!$D$3:$O$19,MATCH(B585,FX!$B$3:$B$32,0),MATCH(D585,FX!$D$2:$O$2,0))</f>
        <v>935</v>
      </c>
      <c r="T585" s="360" t="s">
        <v>141</v>
      </c>
      <c r="U585" s="360" t="s">
        <v>32</v>
      </c>
      <c r="V585" s="360" t="s">
        <v>83</v>
      </c>
      <c r="W585" s="364" t="str">
        <f>VLOOKUP(I585,Map!$F$18:$H$51,3,0)</f>
        <v>Variable</v>
      </c>
      <c r="X585" s="370" t="s">
        <v>172</v>
      </c>
      <c r="Y585" s="364" t="str">
        <f>VLOOKUP(L585,Map!$C$18:$D$29,2,0)</f>
        <v>DVT</v>
      </c>
      <c r="Z585" s="365"/>
      <c r="AA585" s="366">
        <f t="shared" si="192"/>
        <v>0</v>
      </c>
      <c r="AB585" s="366">
        <f t="shared" si="193"/>
        <v>0</v>
      </c>
      <c r="AC585" s="367">
        <f t="shared" si="194"/>
        <v>0</v>
      </c>
      <c r="AD585" s="367">
        <f t="shared" si="195"/>
        <v>0</v>
      </c>
      <c r="AE585" s="368">
        <f t="shared" si="196"/>
        <v>0</v>
      </c>
      <c r="AF585" s="385"/>
    </row>
    <row r="586" spans="2:32" s="1" customFormat="1" ht="13" hidden="1" x14ac:dyDescent="0.3">
      <c r="B586" s="383">
        <v>2026</v>
      </c>
      <c r="C586" s="361" t="s">
        <v>396</v>
      </c>
      <c r="D586" s="361" t="s">
        <v>359</v>
      </c>
      <c r="E586" s="360" t="s">
        <v>393</v>
      </c>
      <c r="F586" s="360" t="s">
        <v>172</v>
      </c>
      <c r="G586" s="362"/>
      <c r="H586" s="363"/>
      <c r="I586" s="360" t="s">
        <v>147</v>
      </c>
      <c r="J586" s="364" t="str">
        <f>IFERROR(VLOOKUP(I586,Map!$F$18:$G$56,2,0),"Add in Map")</f>
        <v>3P</v>
      </c>
      <c r="K586" s="364" t="str">
        <f>VLOOKUP(L586,Map!$C$18:$D$29,2,0)</f>
        <v>GLT</v>
      </c>
      <c r="L586" s="360" t="s">
        <v>44</v>
      </c>
      <c r="M586" s="365"/>
      <c r="N586" s="366">
        <f t="shared" si="187"/>
        <v>0</v>
      </c>
      <c r="O586" s="366">
        <f t="shared" si="188"/>
        <v>0</v>
      </c>
      <c r="P586" s="367">
        <f t="shared" si="189"/>
        <v>0</v>
      </c>
      <c r="Q586" s="367">
        <f t="shared" si="190"/>
        <v>0</v>
      </c>
      <c r="R586" s="368">
        <f t="shared" si="191"/>
        <v>0</v>
      </c>
      <c r="S586" s="384">
        <f>INDEX(FX!$D$3:$O$19,MATCH(B586,FX!$B$3:$B$32,0),MATCH(D586,FX!$D$2:$O$2,0))</f>
        <v>935</v>
      </c>
      <c r="T586" s="360" t="s">
        <v>141</v>
      </c>
      <c r="U586" s="360" t="s">
        <v>32</v>
      </c>
      <c r="V586" s="360" t="s">
        <v>83</v>
      </c>
      <c r="W586" s="364" t="str">
        <f>VLOOKUP(I586,Map!$F$18:$H$51,3,0)</f>
        <v>Variable</v>
      </c>
      <c r="X586" s="370" t="s">
        <v>172</v>
      </c>
      <c r="Y586" s="364" t="str">
        <f>VLOOKUP(L586,Map!$C$18:$D$29,2,0)</f>
        <v>GLT</v>
      </c>
      <c r="Z586" s="365"/>
      <c r="AA586" s="366">
        <f t="shared" si="192"/>
        <v>0</v>
      </c>
      <c r="AB586" s="366">
        <f t="shared" si="193"/>
        <v>0</v>
      </c>
      <c r="AC586" s="367">
        <f t="shared" si="194"/>
        <v>0</v>
      </c>
      <c r="AD586" s="367">
        <f t="shared" si="195"/>
        <v>0</v>
      </c>
      <c r="AE586" s="368">
        <f t="shared" si="196"/>
        <v>0</v>
      </c>
      <c r="AF586" s="385"/>
    </row>
    <row r="587" spans="2:32" s="1" customFormat="1" ht="13" hidden="1" x14ac:dyDescent="0.3">
      <c r="B587" s="383">
        <v>2026</v>
      </c>
      <c r="C587" s="361" t="s">
        <v>396</v>
      </c>
      <c r="D587" s="361" t="s">
        <v>359</v>
      </c>
      <c r="E587" s="360" t="s">
        <v>393</v>
      </c>
      <c r="F587" s="360" t="s">
        <v>172</v>
      </c>
      <c r="G587" s="362"/>
      <c r="H587" s="363"/>
      <c r="I587" s="360" t="s">
        <v>147</v>
      </c>
      <c r="J587" s="364" t="str">
        <f>IFERROR(VLOOKUP(I587,Map!$F$18:$G$56,2,0),"Add in Map")</f>
        <v>3P</v>
      </c>
      <c r="K587" s="364" t="str">
        <f>VLOOKUP(L587,Map!$C$18:$D$29,2,0)</f>
        <v>PNT</v>
      </c>
      <c r="L587" s="360" t="s">
        <v>46</v>
      </c>
      <c r="M587" s="365"/>
      <c r="N587" s="366">
        <f t="shared" si="187"/>
        <v>0</v>
      </c>
      <c r="O587" s="366">
        <f t="shared" si="188"/>
        <v>0</v>
      </c>
      <c r="P587" s="367">
        <f t="shared" si="189"/>
        <v>0</v>
      </c>
      <c r="Q587" s="367">
        <f t="shared" si="190"/>
        <v>0</v>
      </c>
      <c r="R587" s="368">
        <f t="shared" si="191"/>
        <v>0</v>
      </c>
      <c r="S587" s="384">
        <f>INDEX(FX!$D$3:$O$19,MATCH(B587,FX!$B$3:$B$32,0),MATCH(D587,FX!$D$2:$O$2,0))</f>
        <v>935</v>
      </c>
      <c r="T587" s="360" t="s">
        <v>141</v>
      </c>
      <c r="U587" s="360" t="s">
        <v>32</v>
      </c>
      <c r="V587" s="360" t="s">
        <v>83</v>
      </c>
      <c r="W587" s="364" t="str">
        <f>VLOOKUP(I587,Map!$F$18:$H$51,3,0)</f>
        <v>Variable</v>
      </c>
      <c r="X587" s="370" t="s">
        <v>172</v>
      </c>
      <c r="Y587" s="364" t="str">
        <f>VLOOKUP(L587,Map!$C$18:$D$29,2,0)</f>
        <v>PNT</v>
      </c>
      <c r="Z587" s="365"/>
      <c r="AA587" s="366">
        <f t="shared" si="192"/>
        <v>0</v>
      </c>
      <c r="AB587" s="366">
        <f t="shared" si="193"/>
        <v>0</v>
      </c>
      <c r="AC587" s="367">
        <f t="shared" si="194"/>
        <v>0</v>
      </c>
      <c r="AD587" s="367">
        <f t="shared" si="195"/>
        <v>0</v>
      </c>
      <c r="AE587" s="368">
        <f t="shared" si="196"/>
        <v>0</v>
      </c>
      <c r="AF587" s="385"/>
    </row>
    <row r="588" spans="2:32" s="1" customFormat="1" ht="13" hidden="1" x14ac:dyDescent="0.3">
      <c r="B588" s="383">
        <v>2026</v>
      </c>
      <c r="C588" s="361" t="s">
        <v>396</v>
      </c>
      <c r="D588" s="361" t="s">
        <v>359</v>
      </c>
      <c r="E588" s="360" t="s">
        <v>393</v>
      </c>
      <c r="F588" s="360" t="s">
        <v>172</v>
      </c>
      <c r="G588" s="362"/>
      <c r="H588" s="363"/>
      <c r="I588" s="360" t="s">
        <v>147</v>
      </c>
      <c r="J588" s="364" t="str">
        <f>IFERROR(VLOOKUP(I588,Map!$F$18:$G$56,2,0),"Add in Map")</f>
        <v>3P</v>
      </c>
      <c r="K588" s="364" t="str">
        <f>VLOOKUP(L588,Map!$C$18:$D$29,2,0)</f>
        <v>GTT</v>
      </c>
      <c r="L588" s="360" t="s">
        <v>48</v>
      </c>
      <c r="M588" s="365"/>
      <c r="N588" s="366">
        <f t="shared" si="187"/>
        <v>0</v>
      </c>
      <c r="O588" s="366">
        <f t="shared" si="188"/>
        <v>0</v>
      </c>
      <c r="P588" s="367">
        <f t="shared" si="189"/>
        <v>0</v>
      </c>
      <c r="Q588" s="367">
        <f t="shared" si="190"/>
        <v>0</v>
      </c>
      <c r="R588" s="368">
        <f t="shared" si="191"/>
        <v>0</v>
      </c>
      <c r="S588" s="384">
        <f>INDEX(FX!$D$3:$O$19,MATCH(B588,FX!$B$3:$B$32,0),MATCH(D588,FX!$D$2:$O$2,0))</f>
        <v>935</v>
      </c>
      <c r="T588" s="360" t="s">
        <v>141</v>
      </c>
      <c r="U588" s="360" t="s">
        <v>32</v>
      </c>
      <c r="V588" s="360" t="s">
        <v>83</v>
      </c>
      <c r="W588" s="364" t="str">
        <f>VLOOKUP(I588,Map!$F$18:$H$51,3,0)</f>
        <v>Variable</v>
      </c>
      <c r="X588" s="370" t="s">
        <v>172</v>
      </c>
      <c r="Y588" s="364" t="str">
        <f>VLOOKUP(L588,Map!$C$18:$D$29,2,0)</f>
        <v>GTT</v>
      </c>
      <c r="Z588" s="365"/>
      <c r="AA588" s="366">
        <f t="shared" si="192"/>
        <v>0</v>
      </c>
      <c r="AB588" s="366">
        <f t="shared" si="193"/>
        <v>0</v>
      </c>
      <c r="AC588" s="367">
        <f t="shared" si="194"/>
        <v>0</v>
      </c>
      <c r="AD588" s="367">
        <f t="shared" si="195"/>
        <v>0</v>
      </c>
      <c r="AE588" s="368">
        <f t="shared" si="196"/>
        <v>0</v>
      </c>
      <c r="AF588" s="385"/>
    </row>
    <row r="589" spans="2:32" s="1" customFormat="1" ht="13" hidden="1" x14ac:dyDescent="0.3">
      <c r="B589" s="383">
        <v>2026</v>
      </c>
      <c r="C589" s="361" t="s">
        <v>396</v>
      </c>
      <c r="D589" s="361" t="s">
        <v>359</v>
      </c>
      <c r="E589" s="360" t="s">
        <v>393</v>
      </c>
      <c r="F589" s="360" t="s">
        <v>172</v>
      </c>
      <c r="G589" s="362"/>
      <c r="H589" s="363"/>
      <c r="I589" s="360" t="s">
        <v>147</v>
      </c>
      <c r="J589" s="364" t="str">
        <f>IFERROR(VLOOKUP(I589,Map!$F$18:$G$56,2,0),"Add in Map")</f>
        <v>3P</v>
      </c>
      <c r="K589" s="364" t="str">
        <f>VLOOKUP(L589,Map!$C$18:$D$29,2,0)</f>
        <v>DGT</v>
      </c>
      <c r="L589" s="360" t="s">
        <v>50</v>
      </c>
      <c r="M589" s="365"/>
      <c r="N589" s="366">
        <f t="shared" si="187"/>
        <v>0</v>
      </c>
      <c r="O589" s="366">
        <f t="shared" si="188"/>
        <v>0</v>
      </c>
      <c r="P589" s="367">
        <f t="shared" si="189"/>
        <v>0</v>
      </c>
      <c r="Q589" s="367">
        <f t="shared" si="190"/>
        <v>0</v>
      </c>
      <c r="R589" s="368">
        <f t="shared" si="191"/>
        <v>0</v>
      </c>
      <c r="S589" s="384">
        <f>INDEX(FX!$D$3:$O$19,MATCH(B589,FX!$B$3:$B$32,0),MATCH(D589,FX!$D$2:$O$2,0))</f>
        <v>935</v>
      </c>
      <c r="T589" s="360" t="s">
        <v>141</v>
      </c>
      <c r="U589" s="360" t="s">
        <v>32</v>
      </c>
      <c r="V589" s="360" t="s">
        <v>83</v>
      </c>
      <c r="W589" s="364" t="str">
        <f>VLOOKUP(I589,Map!$F$18:$H$51,3,0)</f>
        <v>Variable</v>
      </c>
      <c r="X589" s="370" t="s">
        <v>172</v>
      </c>
      <c r="Y589" s="364" t="str">
        <f>VLOOKUP(L589,Map!$C$18:$D$29,2,0)</f>
        <v>DGT</v>
      </c>
      <c r="Z589" s="365"/>
      <c r="AA589" s="366">
        <f t="shared" si="192"/>
        <v>0</v>
      </c>
      <c r="AB589" s="366">
        <f t="shared" si="193"/>
        <v>0</v>
      </c>
      <c r="AC589" s="367">
        <f t="shared" si="194"/>
        <v>0</v>
      </c>
      <c r="AD589" s="367">
        <f t="shared" si="195"/>
        <v>0</v>
      </c>
      <c r="AE589" s="368">
        <f t="shared" si="196"/>
        <v>0</v>
      </c>
      <c r="AF589" s="385"/>
    </row>
    <row r="590" spans="2:32" s="1" customFormat="1" ht="13" hidden="1" x14ac:dyDescent="0.3">
      <c r="B590" s="383">
        <v>2026</v>
      </c>
      <c r="C590" s="361" t="s">
        <v>396</v>
      </c>
      <c r="D590" s="361" t="s">
        <v>359</v>
      </c>
      <c r="E590" s="360" t="s">
        <v>393</v>
      </c>
      <c r="F590" s="360" t="s">
        <v>172</v>
      </c>
      <c r="G590" s="362"/>
      <c r="H590" s="363"/>
      <c r="I590" s="360" t="s">
        <v>147</v>
      </c>
      <c r="J590" s="364" t="str">
        <f>IFERROR(VLOOKUP(I590,Map!$F$18:$G$56,2,0),"Add in Map")</f>
        <v>3P</v>
      </c>
      <c r="K590" s="364" t="str">
        <f>VLOOKUP(L590,Map!$C$18:$D$29,2,0)</f>
        <v>DLT</v>
      </c>
      <c r="L590" s="360" t="s">
        <v>52</v>
      </c>
      <c r="M590" s="365"/>
      <c r="N590" s="366">
        <f t="shared" si="187"/>
        <v>0</v>
      </c>
      <c r="O590" s="366">
        <f t="shared" si="188"/>
        <v>0</v>
      </c>
      <c r="P590" s="367">
        <f t="shared" si="189"/>
        <v>0</v>
      </c>
      <c r="Q590" s="367">
        <f t="shared" si="190"/>
        <v>0</v>
      </c>
      <c r="R590" s="368">
        <f t="shared" si="191"/>
        <v>0</v>
      </c>
      <c r="S590" s="384">
        <f>INDEX(FX!$D$3:$O$19,MATCH(B590,FX!$B$3:$B$32,0),MATCH(D590,FX!$D$2:$O$2,0))</f>
        <v>935</v>
      </c>
      <c r="T590" s="360" t="s">
        <v>141</v>
      </c>
      <c r="U590" s="360" t="s">
        <v>32</v>
      </c>
      <c r="V590" s="360" t="s">
        <v>83</v>
      </c>
      <c r="W590" s="364" t="str">
        <f>VLOOKUP(I590,Map!$F$18:$H$51,3,0)</f>
        <v>Variable</v>
      </c>
      <c r="X590" s="370" t="s">
        <v>172</v>
      </c>
      <c r="Y590" s="364" t="str">
        <f>VLOOKUP(L590,Map!$C$18:$D$29,2,0)</f>
        <v>DLT</v>
      </c>
      <c r="Z590" s="365"/>
      <c r="AA590" s="366">
        <f t="shared" si="192"/>
        <v>0</v>
      </c>
      <c r="AB590" s="366">
        <f t="shared" si="193"/>
        <v>0</v>
      </c>
      <c r="AC590" s="367">
        <f t="shared" si="194"/>
        <v>0</v>
      </c>
      <c r="AD590" s="367">
        <f t="shared" si="195"/>
        <v>0</v>
      </c>
      <c r="AE590" s="368">
        <f t="shared" si="196"/>
        <v>0</v>
      </c>
      <c r="AF590" s="385"/>
    </row>
    <row r="591" spans="2:32" s="1" customFormat="1" ht="13" hidden="1" x14ac:dyDescent="0.3">
      <c r="B591" s="383">
        <v>2026</v>
      </c>
      <c r="C591" s="361" t="s">
        <v>396</v>
      </c>
      <c r="D591" s="361" t="s">
        <v>359</v>
      </c>
      <c r="E591" s="360" t="s">
        <v>393</v>
      </c>
      <c r="F591" s="360" t="s">
        <v>172</v>
      </c>
      <c r="G591" s="362"/>
      <c r="H591" s="363"/>
      <c r="I591" s="360" t="s">
        <v>147</v>
      </c>
      <c r="J591" s="364" t="str">
        <f>IFERROR(VLOOKUP(I591,Map!$F$18:$G$56,2,0),"Add in Map")</f>
        <v>3P</v>
      </c>
      <c r="K591" s="364" t="str">
        <f>VLOOKUP(L591,Map!$C$18:$D$29,2,0)</f>
        <v>DMT</v>
      </c>
      <c r="L591" s="360" t="s">
        <v>54</v>
      </c>
      <c r="M591" s="365"/>
      <c r="N591" s="366">
        <f t="shared" si="187"/>
        <v>0</v>
      </c>
      <c r="O591" s="366">
        <f t="shared" si="188"/>
        <v>0</v>
      </c>
      <c r="P591" s="386">
        <f t="shared" si="189"/>
        <v>0</v>
      </c>
      <c r="Q591" s="367">
        <f t="shared" si="190"/>
        <v>0</v>
      </c>
      <c r="R591" s="368">
        <f t="shared" si="191"/>
        <v>0</v>
      </c>
      <c r="S591" s="384">
        <f>INDEX(FX!$D$3:$O$19,MATCH(B591,FX!$B$3:$B$32,0),MATCH(D591,FX!$D$2:$O$2,0))</f>
        <v>935</v>
      </c>
      <c r="T591" s="360" t="s">
        <v>141</v>
      </c>
      <c r="U591" s="360" t="s">
        <v>32</v>
      </c>
      <c r="V591" s="360" t="s">
        <v>83</v>
      </c>
      <c r="W591" s="364" t="str">
        <f>VLOOKUP(I591,Map!$F$18:$H$51,3,0)</f>
        <v>Variable</v>
      </c>
      <c r="X591" s="370" t="s">
        <v>172</v>
      </c>
      <c r="Y591" s="364" t="str">
        <f>VLOOKUP(L591,Map!$C$18:$D$29,2,0)</f>
        <v>DMT</v>
      </c>
      <c r="Z591" s="365"/>
      <c r="AA591" s="366">
        <f t="shared" si="192"/>
        <v>0</v>
      </c>
      <c r="AB591" s="366">
        <f t="shared" si="193"/>
        <v>0</v>
      </c>
      <c r="AC591" s="386">
        <f t="shared" si="194"/>
        <v>0</v>
      </c>
      <c r="AD591" s="367">
        <f t="shared" si="195"/>
        <v>0</v>
      </c>
      <c r="AE591" s="368">
        <f t="shared" si="196"/>
        <v>0</v>
      </c>
      <c r="AF591" s="385"/>
    </row>
    <row r="592" spans="2:32" s="37" customFormat="1" hidden="1" x14ac:dyDescent="0.35">
      <c r="B592" s="387">
        <v>2026</v>
      </c>
      <c r="C592" s="389" t="s">
        <v>396</v>
      </c>
      <c r="D592" s="389" t="s">
        <v>359</v>
      </c>
      <c r="E592" s="388" t="s">
        <v>393</v>
      </c>
      <c r="F592" s="388" t="s">
        <v>172</v>
      </c>
      <c r="G592" s="390"/>
      <c r="H592" s="391"/>
      <c r="I592" s="388" t="s">
        <v>147</v>
      </c>
      <c r="J592" s="392" t="str">
        <f>IFERROR(VLOOKUP(I592,Map!$F$18:$G$56,2,0),"Add in Map")</f>
        <v>3P</v>
      </c>
      <c r="K592" s="392" t="str">
        <f>VLOOKUP(L592,Map!$C$18:$D$29,2,0)</f>
        <v>TOTAL</v>
      </c>
      <c r="L592" s="388" t="s">
        <v>56</v>
      </c>
      <c r="M592" s="393">
        <f>SUM(M581:M591)</f>
        <v>0</v>
      </c>
      <c r="N592" s="393">
        <f t="shared" si="187"/>
        <v>0</v>
      </c>
      <c r="O592" s="393">
        <f t="shared" si="188"/>
        <v>0</v>
      </c>
      <c r="P592" s="394">
        <f t="shared" si="189"/>
        <v>0</v>
      </c>
      <c r="Q592" s="394">
        <f t="shared" si="190"/>
        <v>0</v>
      </c>
      <c r="R592" s="395">
        <f t="shared" si="191"/>
        <v>0</v>
      </c>
      <c r="S592" s="396">
        <f>INDEX(FX!$D$3:$O$19,MATCH(B592,FX!$B$3:$B$32,0),MATCH(D592,FX!$D$2:$O$2,0))</f>
        <v>935</v>
      </c>
      <c r="T592" s="388" t="s">
        <v>141</v>
      </c>
      <c r="U592" s="388" t="s">
        <v>32</v>
      </c>
      <c r="V592" s="388" t="s">
        <v>83</v>
      </c>
      <c r="W592" s="392" t="str">
        <f>VLOOKUP(I592,Map!$F$18:$H$51,3,0)</f>
        <v>Variable</v>
      </c>
      <c r="X592" s="397" t="s">
        <v>172</v>
      </c>
      <c r="Y592" s="392" t="str">
        <f>VLOOKUP(L592,Map!$C$18:$D$29,2,0)</f>
        <v>TOTAL</v>
      </c>
      <c r="Z592" s="413"/>
      <c r="AA592" s="393">
        <f t="shared" si="192"/>
        <v>0</v>
      </c>
      <c r="AB592" s="393">
        <f t="shared" si="193"/>
        <v>0</v>
      </c>
      <c r="AC592" s="394">
        <f t="shared" si="194"/>
        <v>0</v>
      </c>
      <c r="AD592" s="394">
        <f t="shared" si="195"/>
        <v>0</v>
      </c>
      <c r="AE592" s="395">
        <f t="shared" si="196"/>
        <v>0</v>
      </c>
      <c r="AF592" s="398"/>
    </row>
    <row r="593" spans="2:32" s="5" customFormat="1" ht="13" hidden="1" x14ac:dyDescent="0.3">
      <c r="B593" s="400">
        <v>2026</v>
      </c>
      <c r="C593" s="402" t="s">
        <v>464</v>
      </c>
      <c r="D593" s="402" t="s">
        <v>80</v>
      </c>
      <c r="E593" s="401" t="s">
        <v>88</v>
      </c>
      <c r="F593" s="401" t="s">
        <v>459</v>
      </c>
      <c r="G593" s="403">
        <v>46267</v>
      </c>
      <c r="H593" s="404">
        <v>4002</v>
      </c>
      <c r="I593" s="401" t="s">
        <v>148</v>
      </c>
      <c r="J593" s="405" t="str">
        <f>IFERROR(VLOOKUP(I593,Map!$F$18:$G$56,2,0),"Add in Map")</f>
        <v>3P</v>
      </c>
      <c r="K593" s="405" t="str">
        <f>VLOOKUP(L593,Map!$C$18:$D$29,2,0)</f>
        <v>CNT</v>
      </c>
      <c r="L593" s="401" t="s">
        <v>31</v>
      </c>
      <c r="M593" s="406">
        <v>8549294.3219814207</v>
      </c>
      <c r="N593" s="407">
        <f t="shared" si="187"/>
        <v>0</v>
      </c>
      <c r="O593" s="407">
        <f t="shared" si="188"/>
        <v>10173660.24315789</v>
      </c>
      <c r="P593" s="408">
        <f t="shared" si="189"/>
        <v>9252.4830324474242</v>
      </c>
      <c r="Q593" s="408">
        <f t="shared" si="190"/>
        <v>0</v>
      </c>
      <c r="R593" s="409">
        <f t="shared" si="191"/>
        <v>11010.454808612434</v>
      </c>
      <c r="S593" s="410">
        <f>INDEX(FX!$D$3:$O$19,MATCH(B593,FX!$B$3:$B$32,0),MATCH(D593,FX!$D$2:$O$2,0))</f>
        <v>924</v>
      </c>
      <c r="T593" s="401" t="s">
        <v>81</v>
      </c>
      <c r="U593" s="401" t="s">
        <v>155</v>
      </c>
      <c r="V593" s="401" t="s">
        <v>83</v>
      </c>
      <c r="W593" s="405" t="str">
        <f>VLOOKUP(I593,Map!$F$18:$H$51,3,0)</f>
        <v>Variable</v>
      </c>
      <c r="X593" s="411" t="s">
        <v>459</v>
      </c>
      <c r="Y593" s="405" t="str">
        <f>VLOOKUP(L593,Map!$C$18:$D$29,2,0)</f>
        <v>CNT</v>
      </c>
      <c r="Z593" s="406"/>
      <c r="AA593" s="407">
        <f t="shared" si="192"/>
        <v>0</v>
      </c>
      <c r="AB593" s="407">
        <f t="shared" si="193"/>
        <v>0</v>
      </c>
      <c r="AC593" s="408">
        <f t="shared" si="194"/>
        <v>0</v>
      </c>
      <c r="AD593" s="408">
        <f t="shared" si="195"/>
        <v>0</v>
      </c>
      <c r="AE593" s="409">
        <f t="shared" si="196"/>
        <v>0</v>
      </c>
      <c r="AF593" s="412"/>
    </row>
    <row r="594" spans="2:32" s="1" customFormat="1" ht="13" hidden="1" x14ac:dyDescent="0.3">
      <c r="B594" s="383">
        <v>2026</v>
      </c>
      <c r="C594" s="361" t="s">
        <v>464</v>
      </c>
      <c r="D594" s="361" t="s">
        <v>80</v>
      </c>
      <c r="E594" s="360" t="s">
        <v>88</v>
      </c>
      <c r="F594" s="360" t="s">
        <v>459</v>
      </c>
      <c r="G594" s="362">
        <v>46267</v>
      </c>
      <c r="H594" s="363">
        <v>4002</v>
      </c>
      <c r="I594" s="360" t="s">
        <v>148</v>
      </c>
      <c r="J594" s="364" t="str">
        <f>IFERROR(VLOOKUP(I594,Map!$F$18:$G$56,2,0),"Add in Map")</f>
        <v>3P</v>
      </c>
      <c r="K594" s="364" t="str">
        <f>VLOOKUP(L594,Map!$C$18:$D$29,2,0)</f>
        <v>CVT</v>
      </c>
      <c r="L594" s="360" t="s">
        <v>36</v>
      </c>
      <c r="M594" s="365">
        <v>0</v>
      </c>
      <c r="N594" s="366">
        <f t="shared" si="187"/>
        <v>0</v>
      </c>
      <c r="O594" s="366">
        <f t="shared" si="188"/>
        <v>0</v>
      </c>
      <c r="P594" s="367">
        <f t="shared" si="189"/>
        <v>0</v>
      </c>
      <c r="Q594" s="367">
        <f t="shared" si="190"/>
        <v>0</v>
      </c>
      <c r="R594" s="368">
        <f t="shared" si="191"/>
        <v>0</v>
      </c>
      <c r="S594" s="384">
        <f>INDEX(FX!$D$3:$O$19,MATCH(B594,FX!$B$3:$B$32,0),MATCH(D594,FX!$D$2:$O$2,0))</f>
        <v>924</v>
      </c>
      <c r="T594" s="360" t="s">
        <v>81</v>
      </c>
      <c r="U594" s="360" t="s">
        <v>155</v>
      </c>
      <c r="V594" s="360" t="s">
        <v>83</v>
      </c>
      <c r="W594" s="364" t="str">
        <f>VLOOKUP(I594,Map!$F$18:$H$51,3,0)</f>
        <v>Variable</v>
      </c>
      <c r="X594" s="370" t="s">
        <v>459</v>
      </c>
      <c r="Y594" s="364" t="str">
        <f>VLOOKUP(L594,Map!$C$18:$D$29,2,0)</f>
        <v>CVT</v>
      </c>
      <c r="Z594" s="365"/>
      <c r="AA594" s="366">
        <f t="shared" si="192"/>
        <v>0</v>
      </c>
      <c r="AB594" s="366">
        <f t="shared" si="193"/>
        <v>0</v>
      </c>
      <c r="AC594" s="367">
        <f t="shared" si="194"/>
        <v>0</v>
      </c>
      <c r="AD594" s="367">
        <f t="shared" si="195"/>
        <v>0</v>
      </c>
      <c r="AE594" s="368">
        <f t="shared" si="196"/>
        <v>0</v>
      </c>
      <c r="AF594" s="385"/>
    </row>
    <row r="595" spans="2:32" s="1" customFormat="1" ht="13" hidden="1" x14ac:dyDescent="0.3">
      <c r="B595" s="383">
        <v>2026</v>
      </c>
      <c r="C595" s="361" t="s">
        <v>464</v>
      </c>
      <c r="D595" s="361" t="s">
        <v>80</v>
      </c>
      <c r="E595" s="360" t="s">
        <v>88</v>
      </c>
      <c r="F595" s="360" t="s">
        <v>459</v>
      </c>
      <c r="G595" s="362">
        <v>46267</v>
      </c>
      <c r="H595" s="363">
        <v>4002</v>
      </c>
      <c r="I595" s="360" t="s">
        <v>148</v>
      </c>
      <c r="J595" s="364" t="str">
        <f>IFERROR(VLOOKUP(I595,Map!$F$18:$G$56,2,0),"Add in Map")</f>
        <v>3P</v>
      </c>
      <c r="K595" s="364" t="str">
        <f>VLOOKUP(L595,Map!$C$18:$D$29,2,0)</f>
        <v>CDT</v>
      </c>
      <c r="L595" s="360" t="s">
        <v>38</v>
      </c>
      <c r="M595" s="365">
        <v>109606.33746130028</v>
      </c>
      <c r="N595" s="366">
        <f t="shared" si="187"/>
        <v>0</v>
      </c>
      <c r="O595" s="366">
        <f t="shared" si="188"/>
        <v>130431.54157894733</v>
      </c>
      <c r="P595" s="367">
        <f t="shared" si="189"/>
        <v>118.62157733906957</v>
      </c>
      <c r="Q595" s="367">
        <f t="shared" si="190"/>
        <v>0</v>
      </c>
      <c r="R595" s="368">
        <f t="shared" si="191"/>
        <v>141.15967703349278</v>
      </c>
      <c r="S595" s="384">
        <f>INDEX(FX!$D$3:$O$19,MATCH(B595,FX!$B$3:$B$32,0),MATCH(D595,FX!$D$2:$O$2,0))</f>
        <v>924</v>
      </c>
      <c r="T595" s="360" t="s">
        <v>81</v>
      </c>
      <c r="U595" s="360" t="s">
        <v>155</v>
      </c>
      <c r="V595" s="360" t="s">
        <v>83</v>
      </c>
      <c r="W595" s="364" t="str">
        <f>VLOOKUP(I595,Map!$F$18:$H$51,3,0)</f>
        <v>Variable</v>
      </c>
      <c r="X595" s="370" t="s">
        <v>459</v>
      </c>
      <c r="Y595" s="364" t="str">
        <f>VLOOKUP(L595,Map!$C$18:$D$29,2,0)</f>
        <v>CDT</v>
      </c>
      <c r="Z595" s="365"/>
      <c r="AA595" s="366">
        <f t="shared" si="192"/>
        <v>0</v>
      </c>
      <c r="AB595" s="366">
        <f t="shared" si="193"/>
        <v>0</v>
      </c>
      <c r="AC595" s="367">
        <f t="shared" si="194"/>
        <v>0</v>
      </c>
      <c r="AD595" s="367">
        <f t="shared" si="195"/>
        <v>0</v>
      </c>
      <c r="AE595" s="368">
        <f t="shared" si="196"/>
        <v>0</v>
      </c>
      <c r="AF595" s="385"/>
    </row>
    <row r="596" spans="2:32" s="1" customFormat="1" ht="13" hidden="1" x14ac:dyDescent="0.3">
      <c r="B596" s="383">
        <v>2026</v>
      </c>
      <c r="C596" s="361" t="s">
        <v>464</v>
      </c>
      <c r="D596" s="361" t="s">
        <v>80</v>
      </c>
      <c r="E596" s="360" t="s">
        <v>88</v>
      </c>
      <c r="F596" s="360" t="s">
        <v>459</v>
      </c>
      <c r="G596" s="362">
        <v>46267</v>
      </c>
      <c r="H596" s="363">
        <v>4002</v>
      </c>
      <c r="I596" s="360" t="s">
        <v>148</v>
      </c>
      <c r="J596" s="364" t="str">
        <f>IFERROR(VLOOKUP(I596,Map!$F$18:$G$56,2,0),"Add in Map")</f>
        <v>3P</v>
      </c>
      <c r="K596" s="364" t="str">
        <f>VLOOKUP(L596,Map!$C$18:$D$29,2,0)</f>
        <v>DFT</v>
      </c>
      <c r="L596" s="360" t="s">
        <v>40</v>
      </c>
      <c r="M596" s="365">
        <v>20605991.442724455</v>
      </c>
      <c r="N596" s="366">
        <f t="shared" si="187"/>
        <v>0</v>
      </c>
      <c r="O596" s="366">
        <f t="shared" si="188"/>
        <v>24521129.816842102</v>
      </c>
      <c r="P596" s="367">
        <f t="shared" si="189"/>
        <v>22300.85653974508</v>
      </c>
      <c r="Q596" s="367">
        <f t="shared" si="190"/>
        <v>0</v>
      </c>
      <c r="R596" s="368">
        <f t="shared" si="191"/>
        <v>26538.019282296646</v>
      </c>
      <c r="S596" s="384">
        <f>INDEX(FX!$D$3:$O$19,MATCH(B596,FX!$B$3:$B$32,0),MATCH(D596,FX!$D$2:$O$2,0))</f>
        <v>924</v>
      </c>
      <c r="T596" s="360" t="s">
        <v>81</v>
      </c>
      <c r="U596" s="360" t="s">
        <v>155</v>
      </c>
      <c r="V596" s="360" t="s">
        <v>83</v>
      </c>
      <c r="W596" s="364" t="str">
        <f>VLOOKUP(I596,Map!$F$18:$H$51,3,0)</f>
        <v>Variable</v>
      </c>
      <c r="X596" s="370" t="s">
        <v>459</v>
      </c>
      <c r="Y596" s="364" t="str">
        <f>VLOOKUP(L596,Map!$C$18:$D$29,2,0)</f>
        <v>DFT</v>
      </c>
      <c r="Z596" s="365"/>
      <c r="AA596" s="366">
        <f t="shared" si="192"/>
        <v>0</v>
      </c>
      <c r="AB596" s="366">
        <f t="shared" si="193"/>
        <v>0</v>
      </c>
      <c r="AC596" s="367">
        <f t="shared" si="194"/>
        <v>0</v>
      </c>
      <c r="AD596" s="367">
        <f t="shared" si="195"/>
        <v>0</v>
      </c>
      <c r="AE596" s="368">
        <f t="shared" si="196"/>
        <v>0</v>
      </c>
      <c r="AF596" s="385"/>
    </row>
    <row r="597" spans="2:32" s="1" customFormat="1" ht="13" hidden="1" x14ac:dyDescent="0.3">
      <c r="B597" s="383">
        <v>2026</v>
      </c>
      <c r="C597" s="361" t="s">
        <v>464</v>
      </c>
      <c r="D597" s="361" t="s">
        <v>80</v>
      </c>
      <c r="E597" s="360" t="s">
        <v>88</v>
      </c>
      <c r="F597" s="360" t="s">
        <v>459</v>
      </c>
      <c r="G597" s="362">
        <v>46267</v>
      </c>
      <c r="H597" s="363">
        <v>4002</v>
      </c>
      <c r="I597" s="360" t="s">
        <v>148</v>
      </c>
      <c r="J597" s="364" t="str">
        <f>IFERROR(VLOOKUP(I597,Map!$F$18:$G$56,2,0),"Add in Map")</f>
        <v>3P</v>
      </c>
      <c r="K597" s="364" t="str">
        <f>VLOOKUP(L597,Map!$C$18:$D$29,2,0)</f>
        <v>DVT</v>
      </c>
      <c r="L597" s="360" t="s">
        <v>42</v>
      </c>
      <c r="M597" s="365">
        <v>0</v>
      </c>
      <c r="N597" s="366">
        <f t="shared" si="187"/>
        <v>0</v>
      </c>
      <c r="O597" s="366">
        <f t="shared" si="188"/>
        <v>0</v>
      </c>
      <c r="P597" s="367">
        <f t="shared" si="189"/>
        <v>0</v>
      </c>
      <c r="Q597" s="367">
        <f t="shared" si="190"/>
        <v>0</v>
      </c>
      <c r="R597" s="368">
        <f t="shared" si="191"/>
        <v>0</v>
      </c>
      <c r="S597" s="384">
        <f>INDEX(FX!$D$3:$O$19,MATCH(B597,FX!$B$3:$B$32,0),MATCH(D597,FX!$D$2:$O$2,0))</f>
        <v>924</v>
      </c>
      <c r="T597" s="360" t="s">
        <v>81</v>
      </c>
      <c r="U597" s="360" t="s">
        <v>155</v>
      </c>
      <c r="V597" s="360" t="s">
        <v>83</v>
      </c>
      <c r="W597" s="364" t="str">
        <f>VLOOKUP(I597,Map!$F$18:$H$51,3,0)</f>
        <v>Variable</v>
      </c>
      <c r="X597" s="370" t="s">
        <v>459</v>
      </c>
      <c r="Y597" s="364" t="str">
        <f>VLOOKUP(L597,Map!$C$18:$D$29,2,0)</f>
        <v>DVT</v>
      </c>
      <c r="Z597" s="365"/>
      <c r="AA597" s="366">
        <f t="shared" si="192"/>
        <v>0</v>
      </c>
      <c r="AB597" s="366">
        <f t="shared" si="193"/>
        <v>0</v>
      </c>
      <c r="AC597" s="367">
        <f t="shared" si="194"/>
        <v>0</v>
      </c>
      <c r="AD597" s="367">
        <f t="shared" si="195"/>
        <v>0</v>
      </c>
      <c r="AE597" s="368">
        <f t="shared" si="196"/>
        <v>0</v>
      </c>
      <c r="AF597" s="385"/>
    </row>
    <row r="598" spans="2:32" s="1" customFormat="1" ht="13" hidden="1" x14ac:dyDescent="0.3">
      <c r="B598" s="383">
        <v>2026</v>
      </c>
      <c r="C598" s="361" t="s">
        <v>464</v>
      </c>
      <c r="D598" s="361" t="s">
        <v>80</v>
      </c>
      <c r="E598" s="360" t="s">
        <v>88</v>
      </c>
      <c r="F598" s="360" t="s">
        <v>459</v>
      </c>
      <c r="G598" s="362">
        <v>46267</v>
      </c>
      <c r="H598" s="363">
        <v>4002</v>
      </c>
      <c r="I598" s="360" t="s">
        <v>148</v>
      </c>
      <c r="J598" s="364" t="str">
        <f>IFERROR(VLOOKUP(I598,Map!$F$18:$G$56,2,0),"Add in Map")</f>
        <v>3P</v>
      </c>
      <c r="K598" s="364" t="str">
        <f>VLOOKUP(L598,Map!$C$18:$D$29,2,0)</f>
        <v>GLT</v>
      </c>
      <c r="L598" s="360" t="s">
        <v>44</v>
      </c>
      <c r="M598" s="365">
        <v>4493859.8359133117</v>
      </c>
      <c r="N598" s="366">
        <f t="shared" si="187"/>
        <v>0</v>
      </c>
      <c r="O598" s="366">
        <f t="shared" si="188"/>
        <v>5347693.2047368409</v>
      </c>
      <c r="P598" s="367">
        <f t="shared" si="189"/>
        <v>4863.484670901852</v>
      </c>
      <c r="Q598" s="367">
        <f t="shared" si="190"/>
        <v>0</v>
      </c>
      <c r="R598" s="368">
        <f t="shared" si="191"/>
        <v>5787.5467583732034</v>
      </c>
      <c r="S598" s="384">
        <f>INDEX(FX!$D$3:$O$19,MATCH(B598,FX!$B$3:$B$32,0),MATCH(D598,FX!$D$2:$O$2,0))</f>
        <v>924</v>
      </c>
      <c r="T598" s="360" t="s">
        <v>81</v>
      </c>
      <c r="U598" s="360" t="s">
        <v>155</v>
      </c>
      <c r="V598" s="360" t="s">
        <v>83</v>
      </c>
      <c r="W598" s="364" t="str">
        <f>VLOOKUP(I598,Map!$F$18:$H$51,3,0)</f>
        <v>Variable</v>
      </c>
      <c r="X598" s="370" t="s">
        <v>459</v>
      </c>
      <c r="Y598" s="364" t="str">
        <f>VLOOKUP(L598,Map!$C$18:$D$29,2,0)</f>
        <v>GLT</v>
      </c>
      <c r="Z598" s="365"/>
      <c r="AA598" s="366">
        <f t="shared" si="192"/>
        <v>0</v>
      </c>
      <c r="AB598" s="366">
        <f t="shared" si="193"/>
        <v>0</v>
      </c>
      <c r="AC598" s="367">
        <f t="shared" si="194"/>
        <v>0</v>
      </c>
      <c r="AD598" s="367">
        <f t="shared" si="195"/>
        <v>0</v>
      </c>
      <c r="AE598" s="368">
        <f t="shared" si="196"/>
        <v>0</v>
      </c>
      <c r="AF598" s="385"/>
    </row>
    <row r="599" spans="2:32" s="1" customFormat="1" ht="13" hidden="1" x14ac:dyDescent="0.3">
      <c r="B599" s="383">
        <v>2026</v>
      </c>
      <c r="C599" s="361" t="s">
        <v>464</v>
      </c>
      <c r="D599" s="361" t="s">
        <v>80</v>
      </c>
      <c r="E599" s="360" t="s">
        <v>88</v>
      </c>
      <c r="F599" s="360" t="s">
        <v>459</v>
      </c>
      <c r="G599" s="362">
        <v>46267</v>
      </c>
      <c r="H599" s="363">
        <v>4002</v>
      </c>
      <c r="I599" s="360" t="s">
        <v>148</v>
      </c>
      <c r="J599" s="364" t="str">
        <f>IFERROR(VLOOKUP(I599,Map!$F$18:$G$56,2,0),"Add in Map")</f>
        <v>3P</v>
      </c>
      <c r="K599" s="364" t="str">
        <f>VLOOKUP(L599,Map!$C$18:$D$29,2,0)</f>
        <v>PNT</v>
      </c>
      <c r="L599" s="360" t="s">
        <v>46</v>
      </c>
      <c r="M599" s="365">
        <v>767244.36222910194</v>
      </c>
      <c r="N599" s="366">
        <f t="shared" si="187"/>
        <v>0</v>
      </c>
      <c r="O599" s="366">
        <f t="shared" si="188"/>
        <v>913020.79105263122</v>
      </c>
      <c r="P599" s="367">
        <f t="shared" si="189"/>
        <v>830.35104137348696</v>
      </c>
      <c r="Q599" s="367">
        <f t="shared" si="190"/>
        <v>0</v>
      </c>
      <c r="R599" s="368">
        <f t="shared" si="191"/>
        <v>988.11773923444946</v>
      </c>
      <c r="S599" s="384">
        <f>INDEX(FX!$D$3:$O$19,MATCH(B599,FX!$B$3:$B$32,0),MATCH(D599,FX!$D$2:$O$2,0))</f>
        <v>924</v>
      </c>
      <c r="T599" s="360" t="s">
        <v>81</v>
      </c>
      <c r="U599" s="360" t="s">
        <v>155</v>
      </c>
      <c r="V599" s="360" t="s">
        <v>83</v>
      </c>
      <c r="W599" s="364" t="str">
        <f>VLOOKUP(I599,Map!$F$18:$H$51,3,0)</f>
        <v>Variable</v>
      </c>
      <c r="X599" s="370" t="s">
        <v>459</v>
      </c>
      <c r="Y599" s="364" t="str">
        <f>VLOOKUP(L599,Map!$C$18:$D$29,2,0)</f>
        <v>PNT</v>
      </c>
      <c r="Z599" s="365"/>
      <c r="AA599" s="366">
        <f t="shared" si="192"/>
        <v>0</v>
      </c>
      <c r="AB599" s="366">
        <f t="shared" si="193"/>
        <v>0</v>
      </c>
      <c r="AC599" s="367">
        <f t="shared" si="194"/>
        <v>0</v>
      </c>
      <c r="AD599" s="367">
        <f t="shared" si="195"/>
        <v>0</v>
      </c>
      <c r="AE599" s="368">
        <f t="shared" si="196"/>
        <v>0</v>
      </c>
      <c r="AF599" s="385"/>
    </row>
    <row r="600" spans="2:32" s="1" customFormat="1" ht="13" hidden="1" x14ac:dyDescent="0.3">
      <c r="B600" s="383">
        <v>2026</v>
      </c>
      <c r="C600" s="361" t="s">
        <v>464</v>
      </c>
      <c r="D600" s="361" t="s">
        <v>80</v>
      </c>
      <c r="E600" s="360" t="s">
        <v>88</v>
      </c>
      <c r="F600" s="360" t="s">
        <v>459</v>
      </c>
      <c r="G600" s="362">
        <v>46267</v>
      </c>
      <c r="H600" s="363">
        <v>4002</v>
      </c>
      <c r="I600" s="360" t="s">
        <v>148</v>
      </c>
      <c r="J600" s="364" t="str">
        <f>IFERROR(VLOOKUP(I600,Map!$F$18:$G$56,2,0),"Add in Map")</f>
        <v>3P</v>
      </c>
      <c r="K600" s="364" t="str">
        <f>VLOOKUP(L600,Map!$C$18:$D$29,2,0)</f>
        <v>GTT</v>
      </c>
      <c r="L600" s="360" t="s">
        <v>48</v>
      </c>
      <c r="M600" s="365">
        <v>438425.34984520113</v>
      </c>
      <c r="N600" s="366">
        <f t="shared" si="187"/>
        <v>0</v>
      </c>
      <c r="O600" s="366">
        <f t="shared" si="188"/>
        <v>521726.16631578933</v>
      </c>
      <c r="P600" s="367">
        <f t="shared" si="189"/>
        <v>474.4863093562783</v>
      </c>
      <c r="Q600" s="367">
        <f t="shared" si="190"/>
        <v>0</v>
      </c>
      <c r="R600" s="368">
        <f t="shared" si="191"/>
        <v>564.63870813397114</v>
      </c>
      <c r="S600" s="384">
        <f>INDEX(FX!$D$3:$O$19,MATCH(B600,FX!$B$3:$B$32,0),MATCH(D600,FX!$D$2:$O$2,0))</f>
        <v>924</v>
      </c>
      <c r="T600" s="360" t="s">
        <v>81</v>
      </c>
      <c r="U600" s="360" t="s">
        <v>155</v>
      </c>
      <c r="V600" s="360" t="s">
        <v>83</v>
      </c>
      <c r="W600" s="364" t="str">
        <f>VLOOKUP(I600,Map!$F$18:$H$51,3,0)</f>
        <v>Variable</v>
      </c>
      <c r="X600" s="370" t="s">
        <v>459</v>
      </c>
      <c r="Y600" s="364" t="str">
        <f>VLOOKUP(L600,Map!$C$18:$D$29,2,0)</f>
        <v>GTT</v>
      </c>
      <c r="Z600" s="365"/>
      <c r="AA600" s="366">
        <f t="shared" si="192"/>
        <v>0</v>
      </c>
      <c r="AB600" s="366">
        <f t="shared" si="193"/>
        <v>0</v>
      </c>
      <c r="AC600" s="367">
        <f t="shared" si="194"/>
        <v>0</v>
      </c>
      <c r="AD600" s="367">
        <f t="shared" si="195"/>
        <v>0</v>
      </c>
      <c r="AE600" s="368">
        <f t="shared" si="196"/>
        <v>0</v>
      </c>
      <c r="AF600" s="385"/>
    </row>
    <row r="601" spans="2:32" s="1" customFormat="1" ht="13" hidden="1" x14ac:dyDescent="0.3">
      <c r="B601" s="383">
        <v>2026</v>
      </c>
      <c r="C601" s="361" t="s">
        <v>464</v>
      </c>
      <c r="D601" s="361" t="s">
        <v>80</v>
      </c>
      <c r="E601" s="360" t="s">
        <v>88</v>
      </c>
      <c r="F601" s="360" t="s">
        <v>459</v>
      </c>
      <c r="G601" s="362">
        <v>46267</v>
      </c>
      <c r="H601" s="363">
        <v>4002</v>
      </c>
      <c r="I601" s="360" t="s">
        <v>148</v>
      </c>
      <c r="J601" s="364" t="str">
        <f>IFERROR(VLOOKUP(I601,Map!$F$18:$G$56,2,0),"Add in Map")</f>
        <v>3P</v>
      </c>
      <c r="K601" s="364" t="str">
        <f>VLOOKUP(L601,Map!$C$18:$D$29,2,0)</f>
        <v>DGT</v>
      </c>
      <c r="L601" s="360" t="s">
        <v>50</v>
      </c>
      <c r="M601" s="365">
        <v>328819.01238390082</v>
      </c>
      <c r="N601" s="366">
        <f t="shared" si="187"/>
        <v>0</v>
      </c>
      <c r="O601" s="366">
        <f t="shared" si="188"/>
        <v>391294.62473684194</v>
      </c>
      <c r="P601" s="367">
        <f t="shared" si="189"/>
        <v>355.86473201720867</v>
      </c>
      <c r="Q601" s="367">
        <f t="shared" si="190"/>
        <v>0</v>
      </c>
      <c r="R601" s="368">
        <f t="shared" si="191"/>
        <v>423.47903110047827</v>
      </c>
      <c r="S601" s="384">
        <f>INDEX(FX!$D$3:$O$19,MATCH(B601,FX!$B$3:$B$32,0),MATCH(D601,FX!$D$2:$O$2,0))</f>
        <v>924</v>
      </c>
      <c r="T601" s="360" t="s">
        <v>81</v>
      </c>
      <c r="U601" s="360" t="s">
        <v>155</v>
      </c>
      <c r="V601" s="360" t="s">
        <v>83</v>
      </c>
      <c r="W601" s="364" t="str">
        <f>VLOOKUP(I601,Map!$F$18:$H$51,3,0)</f>
        <v>Variable</v>
      </c>
      <c r="X601" s="370" t="s">
        <v>459</v>
      </c>
      <c r="Y601" s="364" t="str">
        <f>VLOOKUP(L601,Map!$C$18:$D$29,2,0)</f>
        <v>DGT</v>
      </c>
      <c r="Z601" s="365"/>
      <c r="AA601" s="366">
        <f t="shared" si="192"/>
        <v>0</v>
      </c>
      <c r="AB601" s="366">
        <f t="shared" si="193"/>
        <v>0</v>
      </c>
      <c r="AC601" s="367">
        <f t="shared" si="194"/>
        <v>0</v>
      </c>
      <c r="AD601" s="367">
        <f t="shared" si="195"/>
        <v>0</v>
      </c>
      <c r="AE601" s="368">
        <f t="shared" si="196"/>
        <v>0</v>
      </c>
      <c r="AF601" s="385"/>
    </row>
    <row r="602" spans="2:32" s="1" customFormat="1" ht="13" hidden="1" x14ac:dyDescent="0.3">
      <c r="B602" s="383">
        <v>2026</v>
      </c>
      <c r="C602" s="361" t="s">
        <v>464</v>
      </c>
      <c r="D602" s="361" t="s">
        <v>80</v>
      </c>
      <c r="E602" s="360" t="s">
        <v>88</v>
      </c>
      <c r="F602" s="360" t="s">
        <v>459</v>
      </c>
      <c r="G602" s="362">
        <v>46267</v>
      </c>
      <c r="H602" s="363">
        <v>4002</v>
      </c>
      <c r="I602" s="360" t="s">
        <v>148</v>
      </c>
      <c r="J602" s="364" t="str">
        <f>IFERROR(VLOOKUP(I602,Map!$F$18:$G$56,2,0),"Add in Map")</f>
        <v>3P</v>
      </c>
      <c r="K602" s="364" t="str">
        <f>VLOOKUP(L602,Map!$C$18:$D$29,2,0)</f>
        <v>DLT</v>
      </c>
      <c r="L602" s="360" t="s">
        <v>52</v>
      </c>
      <c r="M602" s="365">
        <v>109606.33746130028</v>
      </c>
      <c r="N602" s="366">
        <f t="shared" si="187"/>
        <v>0</v>
      </c>
      <c r="O602" s="366">
        <f t="shared" si="188"/>
        <v>130431.54157894733</v>
      </c>
      <c r="P602" s="367">
        <f t="shared" si="189"/>
        <v>118.62157733906957</v>
      </c>
      <c r="Q602" s="367">
        <f t="shared" si="190"/>
        <v>0</v>
      </c>
      <c r="R602" s="368">
        <f t="shared" si="191"/>
        <v>141.15967703349278</v>
      </c>
      <c r="S602" s="384">
        <f>INDEX(FX!$D$3:$O$19,MATCH(B602,FX!$B$3:$B$32,0),MATCH(D602,FX!$D$2:$O$2,0))</f>
        <v>924</v>
      </c>
      <c r="T602" s="360" t="s">
        <v>81</v>
      </c>
      <c r="U602" s="360" t="s">
        <v>155</v>
      </c>
      <c r="V602" s="360" t="s">
        <v>83</v>
      </c>
      <c r="W602" s="364" t="str">
        <f>VLOOKUP(I602,Map!$F$18:$H$51,3,0)</f>
        <v>Variable</v>
      </c>
      <c r="X602" s="370" t="s">
        <v>459</v>
      </c>
      <c r="Y602" s="364" t="str">
        <f>VLOOKUP(L602,Map!$C$18:$D$29,2,0)</f>
        <v>DLT</v>
      </c>
      <c r="Z602" s="365"/>
      <c r="AA602" s="366">
        <f t="shared" si="192"/>
        <v>0</v>
      </c>
      <c r="AB602" s="366">
        <f t="shared" si="193"/>
        <v>0</v>
      </c>
      <c r="AC602" s="367">
        <f t="shared" si="194"/>
        <v>0</v>
      </c>
      <c r="AD602" s="367">
        <f t="shared" si="195"/>
        <v>0</v>
      </c>
      <c r="AE602" s="368">
        <f t="shared" si="196"/>
        <v>0</v>
      </c>
      <c r="AF602" s="385"/>
    </row>
    <row r="603" spans="2:32" s="1" customFormat="1" ht="13" hidden="1" x14ac:dyDescent="0.3">
      <c r="B603" s="383">
        <v>2026</v>
      </c>
      <c r="C603" s="361" t="s">
        <v>464</v>
      </c>
      <c r="D603" s="361" t="s">
        <v>80</v>
      </c>
      <c r="E603" s="360" t="s">
        <v>88</v>
      </c>
      <c r="F603" s="360" t="s">
        <v>459</v>
      </c>
      <c r="G603" s="362">
        <v>46267</v>
      </c>
      <c r="H603" s="363">
        <v>4002</v>
      </c>
      <c r="I603" s="360" t="s">
        <v>148</v>
      </c>
      <c r="J603" s="364" t="str">
        <f>IFERROR(VLOOKUP(I603,Map!$F$18:$G$56,2,0),"Add in Map")</f>
        <v>3P</v>
      </c>
      <c r="K603" s="364" t="str">
        <f>VLOOKUP(L603,Map!$C$18:$D$29,2,0)</f>
        <v>DMT</v>
      </c>
      <c r="L603" s="360" t="s">
        <v>54</v>
      </c>
      <c r="M603" s="365">
        <v>0</v>
      </c>
      <c r="N603" s="366">
        <f t="shared" si="187"/>
        <v>0</v>
      </c>
      <c r="O603" s="366">
        <f t="shared" si="188"/>
        <v>0</v>
      </c>
      <c r="P603" s="386">
        <f t="shared" si="189"/>
        <v>0</v>
      </c>
      <c r="Q603" s="367">
        <f t="shared" si="190"/>
        <v>0</v>
      </c>
      <c r="R603" s="368">
        <f t="shared" si="191"/>
        <v>0</v>
      </c>
      <c r="S603" s="384">
        <f>INDEX(FX!$D$3:$O$19,MATCH(B603,FX!$B$3:$B$32,0),MATCH(D603,FX!$D$2:$O$2,0))</f>
        <v>924</v>
      </c>
      <c r="T603" s="360" t="s">
        <v>81</v>
      </c>
      <c r="U603" s="360" t="s">
        <v>155</v>
      </c>
      <c r="V603" s="360" t="s">
        <v>83</v>
      </c>
      <c r="W603" s="364" t="str">
        <f>VLOOKUP(I603,Map!$F$18:$H$51,3,0)</f>
        <v>Variable</v>
      </c>
      <c r="X603" s="370" t="s">
        <v>459</v>
      </c>
      <c r="Y603" s="364" t="str">
        <f>VLOOKUP(L603,Map!$C$18:$D$29,2,0)</f>
        <v>DMT</v>
      </c>
      <c r="Z603" s="365"/>
      <c r="AA603" s="366">
        <f t="shared" si="192"/>
        <v>0</v>
      </c>
      <c r="AB603" s="366">
        <f t="shared" si="193"/>
        <v>0</v>
      </c>
      <c r="AC603" s="386">
        <f t="shared" si="194"/>
        <v>0</v>
      </c>
      <c r="AD603" s="367">
        <f t="shared" si="195"/>
        <v>0</v>
      </c>
      <c r="AE603" s="368">
        <f t="shared" si="196"/>
        <v>0</v>
      </c>
      <c r="AF603" s="385"/>
    </row>
    <row r="604" spans="2:32" s="37" customFormat="1" hidden="1" x14ac:dyDescent="0.35">
      <c r="B604" s="387">
        <v>2026</v>
      </c>
      <c r="C604" s="389" t="s">
        <v>464</v>
      </c>
      <c r="D604" s="389" t="s">
        <v>80</v>
      </c>
      <c r="E604" s="388" t="s">
        <v>88</v>
      </c>
      <c r="F604" s="388" t="s">
        <v>459</v>
      </c>
      <c r="G604" s="390">
        <v>46267</v>
      </c>
      <c r="H604" s="391">
        <v>4002</v>
      </c>
      <c r="I604" s="388" t="s">
        <v>148</v>
      </c>
      <c r="J604" s="392" t="str">
        <f>IFERROR(VLOOKUP(I604,Map!$F$18:$G$56,2,0),"Add in Map")</f>
        <v>3P</v>
      </c>
      <c r="K604" s="392" t="str">
        <f>VLOOKUP(L604,Map!$C$18:$D$29,2,0)</f>
        <v>TOTAL</v>
      </c>
      <c r="L604" s="388" t="s">
        <v>56</v>
      </c>
      <c r="M604" s="393">
        <f>SUM(M593:M603)</f>
        <v>35402846.999999993</v>
      </c>
      <c r="N604" s="393">
        <f t="shared" si="187"/>
        <v>6726540.9299999988</v>
      </c>
      <c r="O604" s="393">
        <f t="shared" si="188"/>
        <v>42129387.929999992</v>
      </c>
      <c r="P604" s="394">
        <f t="shared" si="189"/>
        <v>38314.76948051947</v>
      </c>
      <c r="Q604" s="394">
        <f t="shared" si="190"/>
        <v>7279.8062012986993</v>
      </c>
      <c r="R604" s="395">
        <f t="shared" si="191"/>
        <v>45594.575681818169</v>
      </c>
      <c r="S604" s="396">
        <f>INDEX(FX!$D$3:$O$19,MATCH(B604,FX!$B$3:$B$32,0),MATCH(D604,FX!$D$2:$O$2,0))</f>
        <v>924</v>
      </c>
      <c r="T604" s="388" t="s">
        <v>81</v>
      </c>
      <c r="U604" s="388" t="s">
        <v>155</v>
      </c>
      <c r="V604" s="388" t="s">
        <v>83</v>
      </c>
      <c r="W604" s="392" t="str">
        <f>VLOOKUP(I604,Map!$F$18:$H$51,3,0)</f>
        <v>Variable</v>
      </c>
      <c r="X604" s="397" t="s">
        <v>459</v>
      </c>
      <c r="Y604" s="392" t="str">
        <f>VLOOKUP(L604,Map!$C$18:$D$29,2,0)</f>
        <v>TOTAL</v>
      </c>
      <c r="Z604" s="393">
        <f>SUM(Z593:Z603)</f>
        <v>0</v>
      </c>
      <c r="AA604" s="393">
        <f t="shared" si="192"/>
        <v>0</v>
      </c>
      <c r="AB604" s="393">
        <f t="shared" si="193"/>
        <v>0</v>
      </c>
      <c r="AC604" s="394">
        <f t="shared" si="194"/>
        <v>0</v>
      </c>
      <c r="AD604" s="394">
        <f t="shared" si="195"/>
        <v>0</v>
      </c>
      <c r="AE604" s="395">
        <f t="shared" si="196"/>
        <v>0</v>
      </c>
      <c r="AF604" s="398" t="s">
        <v>467</v>
      </c>
    </row>
    <row r="605" spans="2:32" s="5" customFormat="1" ht="13" hidden="1" x14ac:dyDescent="0.3">
      <c r="B605" s="400">
        <v>2026</v>
      </c>
      <c r="C605" s="402" t="s">
        <v>464</v>
      </c>
      <c r="D605" s="402" t="s">
        <v>80</v>
      </c>
      <c r="E605" s="401" t="s">
        <v>88</v>
      </c>
      <c r="F605" s="401" t="s">
        <v>459</v>
      </c>
      <c r="G605" s="403">
        <v>46267</v>
      </c>
      <c r="H605" s="404">
        <v>4003</v>
      </c>
      <c r="I605" s="401" t="s">
        <v>147</v>
      </c>
      <c r="J605" s="405" t="str">
        <f>IFERROR(VLOOKUP(I605,Map!$F$18:$G$56,2,0),"Add in Map")</f>
        <v>3P</v>
      </c>
      <c r="K605" s="405" t="str">
        <f>VLOOKUP(L605,Map!$C$18:$D$29,2,0)</f>
        <v>CNT</v>
      </c>
      <c r="L605" s="401" t="s">
        <v>31</v>
      </c>
      <c r="M605" s="406">
        <v>3027780.2958301534</v>
      </c>
      <c r="N605" s="407">
        <f t="shared" si="187"/>
        <v>0</v>
      </c>
      <c r="O605" s="407">
        <f t="shared" si="188"/>
        <v>3603058.5520378822</v>
      </c>
      <c r="P605" s="408">
        <f t="shared" si="189"/>
        <v>3276.8185019806856</v>
      </c>
      <c r="Q605" s="408">
        <f t="shared" si="190"/>
        <v>0</v>
      </c>
      <c r="R605" s="409">
        <f t="shared" si="191"/>
        <v>3899.4140173570158</v>
      </c>
      <c r="S605" s="410">
        <f>INDEX(FX!$D$3:$O$19,MATCH(B605,FX!$B$3:$B$32,0),MATCH(D605,FX!$D$2:$O$2,0))</f>
        <v>924</v>
      </c>
      <c r="T605" s="401" t="s">
        <v>81</v>
      </c>
      <c r="U605" s="401" t="s">
        <v>155</v>
      </c>
      <c r="V605" s="401" t="s">
        <v>83</v>
      </c>
      <c r="W605" s="405" t="str">
        <f>VLOOKUP(I605,Map!$F$18:$H$51,3,0)</f>
        <v>Variable</v>
      </c>
      <c r="X605" s="411" t="s">
        <v>459</v>
      </c>
      <c r="Y605" s="405" t="str">
        <f>VLOOKUP(L605,Map!$C$18:$D$29,2,0)</f>
        <v>CNT</v>
      </c>
      <c r="Z605" s="406"/>
      <c r="AA605" s="407">
        <f t="shared" si="192"/>
        <v>0</v>
      </c>
      <c r="AB605" s="407">
        <f t="shared" si="193"/>
        <v>0</v>
      </c>
      <c r="AC605" s="408">
        <f t="shared" si="194"/>
        <v>0</v>
      </c>
      <c r="AD605" s="408">
        <f t="shared" si="195"/>
        <v>0</v>
      </c>
      <c r="AE605" s="409">
        <f t="shared" si="196"/>
        <v>0</v>
      </c>
      <c r="AF605" s="412"/>
    </row>
    <row r="606" spans="2:32" s="1" customFormat="1" ht="13" hidden="1" x14ac:dyDescent="0.3">
      <c r="B606" s="383">
        <v>2026</v>
      </c>
      <c r="C606" s="361" t="s">
        <v>464</v>
      </c>
      <c r="D606" s="361" t="s">
        <v>80</v>
      </c>
      <c r="E606" s="360" t="s">
        <v>88</v>
      </c>
      <c r="F606" s="360" t="s">
        <v>459</v>
      </c>
      <c r="G606" s="362">
        <v>46267</v>
      </c>
      <c r="H606" s="363">
        <v>4003</v>
      </c>
      <c r="I606" s="360" t="s">
        <v>147</v>
      </c>
      <c r="J606" s="364" t="str">
        <f>IFERROR(VLOOKUP(I606,Map!$F$18:$G$56,2,0),"Add in Map")</f>
        <v>3P</v>
      </c>
      <c r="K606" s="364" t="str">
        <f>VLOOKUP(L606,Map!$C$18:$D$29,2,0)</f>
        <v>CVT</v>
      </c>
      <c r="L606" s="360" t="s">
        <v>36</v>
      </c>
      <c r="M606" s="365">
        <v>0</v>
      </c>
      <c r="N606" s="366">
        <f t="shared" si="187"/>
        <v>0</v>
      </c>
      <c r="O606" s="366">
        <f t="shared" si="188"/>
        <v>0</v>
      </c>
      <c r="P606" s="367">
        <f t="shared" si="189"/>
        <v>0</v>
      </c>
      <c r="Q606" s="367">
        <f t="shared" si="190"/>
        <v>0</v>
      </c>
      <c r="R606" s="368">
        <f t="shared" si="191"/>
        <v>0</v>
      </c>
      <c r="S606" s="384">
        <f>INDEX(FX!$D$3:$O$19,MATCH(B606,FX!$B$3:$B$32,0),MATCH(D606,FX!$D$2:$O$2,0))</f>
        <v>924</v>
      </c>
      <c r="T606" s="360" t="s">
        <v>81</v>
      </c>
      <c r="U606" s="360" t="s">
        <v>155</v>
      </c>
      <c r="V606" s="360" t="s">
        <v>83</v>
      </c>
      <c r="W606" s="364" t="str">
        <f>VLOOKUP(I606,Map!$F$18:$H$51,3,0)</f>
        <v>Variable</v>
      </c>
      <c r="X606" s="370" t="s">
        <v>459</v>
      </c>
      <c r="Y606" s="364" t="str">
        <f>VLOOKUP(L606,Map!$C$18:$D$29,2,0)</f>
        <v>CVT</v>
      </c>
      <c r="Z606" s="365"/>
      <c r="AA606" s="366">
        <f t="shared" si="192"/>
        <v>0</v>
      </c>
      <c r="AB606" s="366">
        <f t="shared" si="193"/>
        <v>0</v>
      </c>
      <c r="AC606" s="367">
        <f t="shared" si="194"/>
        <v>0</v>
      </c>
      <c r="AD606" s="367">
        <f t="shared" si="195"/>
        <v>0</v>
      </c>
      <c r="AE606" s="368">
        <f t="shared" si="196"/>
        <v>0</v>
      </c>
      <c r="AF606" s="385"/>
    </row>
    <row r="607" spans="2:32" s="1" customFormat="1" ht="13" hidden="1" x14ac:dyDescent="0.3">
      <c r="B607" s="383">
        <v>2026</v>
      </c>
      <c r="C607" s="361" t="s">
        <v>464</v>
      </c>
      <c r="D607" s="361" t="s">
        <v>80</v>
      </c>
      <c r="E607" s="360" t="s">
        <v>88</v>
      </c>
      <c r="F607" s="360" t="s">
        <v>459</v>
      </c>
      <c r="G607" s="362">
        <v>46267</v>
      </c>
      <c r="H607" s="363">
        <v>4003</v>
      </c>
      <c r="I607" s="360" t="s">
        <v>147</v>
      </c>
      <c r="J607" s="364" t="str">
        <f>IFERROR(VLOOKUP(I607,Map!$F$18:$G$56,2,0),"Add in Map")</f>
        <v>3P</v>
      </c>
      <c r="K607" s="364" t="str">
        <f>VLOOKUP(L607,Map!$C$18:$D$29,2,0)</f>
        <v>CDT</v>
      </c>
      <c r="L607" s="360" t="s">
        <v>38</v>
      </c>
      <c r="M607" s="365">
        <v>0</v>
      </c>
      <c r="N607" s="366">
        <f t="shared" si="187"/>
        <v>0</v>
      </c>
      <c r="O607" s="366">
        <f t="shared" si="188"/>
        <v>0</v>
      </c>
      <c r="P607" s="367">
        <f t="shared" si="189"/>
        <v>0</v>
      </c>
      <c r="Q607" s="367">
        <f t="shared" si="190"/>
        <v>0</v>
      </c>
      <c r="R607" s="368">
        <f t="shared" si="191"/>
        <v>0</v>
      </c>
      <c r="S607" s="384">
        <f>INDEX(FX!$D$3:$O$19,MATCH(B607,FX!$B$3:$B$32,0),MATCH(D607,FX!$D$2:$O$2,0))</f>
        <v>924</v>
      </c>
      <c r="T607" s="360" t="s">
        <v>81</v>
      </c>
      <c r="U607" s="360" t="s">
        <v>155</v>
      </c>
      <c r="V607" s="360" t="s">
        <v>83</v>
      </c>
      <c r="W607" s="364" t="str">
        <f>VLOOKUP(I607,Map!$F$18:$H$51,3,0)</f>
        <v>Variable</v>
      </c>
      <c r="X607" s="370" t="s">
        <v>459</v>
      </c>
      <c r="Y607" s="364" t="str">
        <f>VLOOKUP(L607,Map!$C$18:$D$29,2,0)</f>
        <v>CDT</v>
      </c>
      <c r="Z607" s="365"/>
      <c r="AA607" s="366">
        <f t="shared" si="192"/>
        <v>0</v>
      </c>
      <c r="AB607" s="366">
        <f t="shared" si="193"/>
        <v>0</v>
      </c>
      <c r="AC607" s="367">
        <f t="shared" si="194"/>
        <v>0</v>
      </c>
      <c r="AD607" s="367">
        <f t="shared" si="195"/>
        <v>0</v>
      </c>
      <c r="AE607" s="368">
        <f t="shared" si="196"/>
        <v>0</v>
      </c>
      <c r="AF607" s="385"/>
    </row>
    <row r="608" spans="2:32" s="1" customFormat="1" ht="13" hidden="1" x14ac:dyDescent="0.3">
      <c r="B608" s="383">
        <v>2026</v>
      </c>
      <c r="C608" s="361" t="s">
        <v>464</v>
      </c>
      <c r="D608" s="361" t="s">
        <v>80</v>
      </c>
      <c r="E608" s="360" t="s">
        <v>88</v>
      </c>
      <c r="F608" s="360" t="s">
        <v>459</v>
      </c>
      <c r="G608" s="362">
        <v>46267</v>
      </c>
      <c r="H608" s="363">
        <v>4003</v>
      </c>
      <c r="I608" s="360" t="s">
        <v>147</v>
      </c>
      <c r="J608" s="364" t="str">
        <f>IFERROR(VLOOKUP(I608,Map!$F$18:$G$56,2,0),"Add in Map")</f>
        <v>3P</v>
      </c>
      <c r="K608" s="364" t="str">
        <f>VLOOKUP(L608,Map!$C$18:$D$29,2,0)</f>
        <v>DFT</v>
      </c>
      <c r="L608" s="360" t="s">
        <v>40</v>
      </c>
      <c r="M608" s="365">
        <v>7248370.5927858511</v>
      </c>
      <c r="N608" s="366">
        <f t="shared" si="187"/>
        <v>0</v>
      </c>
      <c r="O608" s="366">
        <f t="shared" si="188"/>
        <v>8625561.0054151621</v>
      </c>
      <c r="P608" s="367">
        <f t="shared" si="189"/>
        <v>7844.5569185994063</v>
      </c>
      <c r="Q608" s="367">
        <f t="shared" si="190"/>
        <v>0</v>
      </c>
      <c r="R608" s="368">
        <f t="shared" si="191"/>
        <v>9335.0227331332935</v>
      </c>
      <c r="S608" s="384">
        <f>INDEX(FX!$D$3:$O$19,MATCH(B608,FX!$B$3:$B$32,0),MATCH(D608,FX!$D$2:$O$2,0))</f>
        <v>924</v>
      </c>
      <c r="T608" s="360" t="s">
        <v>81</v>
      </c>
      <c r="U608" s="360" t="s">
        <v>155</v>
      </c>
      <c r="V608" s="360" t="s">
        <v>83</v>
      </c>
      <c r="W608" s="364" t="str">
        <f>VLOOKUP(I608,Map!$F$18:$H$51,3,0)</f>
        <v>Variable</v>
      </c>
      <c r="X608" s="370" t="s">
        <v>459</v>
      </c>
      <c r="Y608" s="364" t="str">
        <f>VLOOKUP(L608,Map!$C$18:$D$29,2,0)</f>
        <v>DFT</v>
      </c>
      <c r="Z608" s="365"/>
      <c r="AA608" s="366">
        <f t="shared" si="192"/>
        <v>0</v>
      </c>
      <c r="AB608" s="366">
        <f t="shared" si="193"/>
        <v>0</v>
      </c>
      <c r="AC608" s="367">
        <f t="shared" si="194"/>
        <v>0</v>
      </c>
      <c r="AD608" s="367">
        <f t="shared" si="195"/>
        <v>0</v>
      </c>
      <c r="AE608" s="368">
        <f t="shared" si="196"/>
        <v>0</v>
      </c>
      <c r="AF608" s="385"/>
    </row>
    <row r="609" spans="2:32" s="1" customFormat="1" ht="13" hidden="1" x14ac:dyDescent="0.3">
      <c r="B609" s="383">
        <v>2026</v>
      </c>
      <c r="C609" s="361" t="s">
        <v>464</v>
      </c>
      <c r="D609" s="361" t="s">
        <v>80</v>
      </c>
      <c r="E609" s="360" t="s">
        <v>88</v>
      </c>
      <c r="F609" s="360" t="s">
        <v>459</v>
      </c>
      <c r="G609" s="362">
        <v>46267</v>
      </c>
      <c r="H609" s="363">
        <v>4003</v>
      </c>
      <c r="I609" s="360" t="s">
        <v>147</v>
      </c>
      <c r="J609" s="364" t="str">
        <f>IFERROR(VLOOKUP(I609,Map!$F$18:$G$56,2,0),"Add in Map")</f>
        <v>3P</v>
      </c>
      <c r="K609" s="364" t="str">
        <f>VLOOKUP(L609,Map!$C$18:$D$29,2,0)</f>
        <v>DVT</v>
      </c>
      <c r="L609" s="360" t="s">
        <v>42</v>
      </c>
      <c r="M609" s="365">
        <v>0</v>
      </c>
      <c r="N609" s="366">
        <f t="shared" si="187"/>
        <v>0</v>
      </c>
      <c r="O609" s="366">
        <f t="shared" si="188"/>
        <v>0</v>
      </c>
      <c r="P609" s="367">
        <f t="shared" si="189"/>
        <v>0</v>
      </c>
      <c r="Q609" s="367">
        <f t="shared" si="190"/>
        <v>0</v>
      </c>
      <c r="R609" s="368">
        <f t="shared" si="191"/>
        <v>0</v>
      </c>
      <c r="S609" s="384">
        <f>INDEX(FX!$D$3:$O$19,MATCH(B609,FX!$B$3:$B$32,0),MATCH(D609,FX!$D$2:$O$2,0))</f>
        <v>924</v>
      </c>
      <c r="T609" s="360" t="s">
        <v>81</v>
      </c>
      <c r="U609" s="360" t="s">
        <v>155</v>
      </c>
      <c r="V609" s="360" t="s">
        <v>83</v>
      </c>
      <c r="W609" s="364" t="str">
        <f>VLOOKUP(I609,Map!$F$18:$H$51,3,0)</f>
        <v>Variable</v>
      </c>
      <c r="X609" s="370" t="s">
        <v>459</v>
      </c>
      <c r="Y609" s="364" t="str">
        <f>VLOOKUP(L609,Map!$C$18:$D$29,2,0)</f>
        <v>DVT</v>
      </c>
      <c r="Z609" s="365"/>
      <c r="AA609" s="366">
        <f t="shared" si="192"/>
        <v>0</v>
      </c>
      <c r="AB609" s="366">
        <f t="shared" si="193"/>
        <v>0</v>
      </c>
      <c r="AC609" s="367">
        <f t="shared" si="194"/>
        <v>0</v>
      </c>
      <c r="AD609" s="367">
        <f t="shared" si="195"/>
        <v>0</v>
      </c>
      <c r="AE609" s="368">
        <f t="shared" si="196"/>
        <v>0</v>
      </c>
      <c r="AF609" s="385"/>
    </row>
    <row r="610" spans="2:32" s="1" customFormat="1" ht="13" hidden="1" x14ac:dyDescent="0.3">
      <c r="B610" s="383">
        <v>2026</v>
      </c>
      <c r="C610" s="361" t="s">
        <v>464</v>
      </c>
      <c r="D610" s="361" t="s">
        <v>80</v>
      </c>
      <c r="E610" s="360" t="s">
        <v>88</v>
      </c>
      <c r="F610" s="360" t="s">
        <v>459</v>
      </c>
      <c r="G610" s="362">
        <v>46267</v>
      </c>
      <c r="H610" s="363">
        <v>4003</v>
      </c>
      <c r="I610" s="360" t="s">
        <v>147</v>
      </c>
      <c r="J610" s="364" t="str">
        <f>IFERROR(VLOOKUP(I610,Map!$F$18:$G$56,2,0),"Add in Map")</f>
        <v>3P</v>
      </c>
      <c r="K610" s="364" t="str">
        <f>VLOOKUP(L610,Map!$C$18:$D$29,2,0)</f>
        <v>GLT</v>
      </c>
      <c r="L610" s="360" t="s">
        <v>44</v>
      </c>
      <c r="M610" s="365">
        <v>5126836.4375400273</v>
      </c>
      <c r="N610" s="366">
        <f t="shared" si="187"/>
        <v>0</v>
      </c>
      <c r="O610" s="366">
        <f t="shared" si="188"/>
        <v>6100935.3606726322</v>
      </c>
      <c r="P610" s="367">
        <f t="shared" si="189"/>
        <v>5548.5242830519774</v>
      </c>
      <c r="Q610" s="367">
        <f t="shared" si="190"/>
        <v>0</v>
      </c>
      <c r="R610" s="368">
        <f t="shared" si="191"/>
        <v>6602.7438968318529</v>
      </c>
      <c r="S610" s="384">
        <f>INDEX(FX!$D$3:$O$19,MATCH(B610,FX!$B$3:$B$32,0),MATCH(D610,FX!$D$2:$O$2,0))</f>
        <v>924</v>
      </c>
      <c r="T610" s="360" t="s">
        <v>81</v>
      </c>
      <c r="U610" s="360" t="s">
        <v>155</v>
      </c>
      <c r="V610" s="360" t="s">
        <v>83</v>
      </c>
      <c r="W610" s="364" t="str">
        <f>VLOOKUP(I610,Map!$F$18:$H$51,3,0)</f>
        <v>Variable</v>
      </c>
      <c r="X610" s="370" t="s">
        <v>459</v>
      </c>
      <c r="Y610" s="364" t="str">
        <f>VLOOKUP(L610,Map!$C$18:$D$29,2,0)</f>
        <v>GLT</v>
      </c>
      <c r="Z610" s="365"/>
      <c r="AA610" s="366">
        <f t="shared" si="192"/>
        <v>0</v>
      </c>
      <c r="AB610" s="366">
        <f t="shared" si="193"/>
        <v>0</v>
      </c>
      <c r="AC610" s="367">
        <f t="shared" si="194"/>
        <v>0</v>
      </c>
      <c r="AD610" s="367">
        <f t="shared" si="195"/>
        <v>0</v>
      </c>
      <c r="AE610" s="368">
        <f t="shared" si="196"/>
        <v>0</v>
      </c>
      <c r="AF610" s="385"/>
    </row>
    <row r="611" spans="2:32" s="1" customFormat="1" ht="13" hidden="1" x14ac:dyDescent="0.3">
      <c r="B611" s="383">
        <v>2026</v>
      </c>
      <c r="C611" s="361" t="s">
        <v>464</v>
      </c>
      <c r="D611" s="361" t="s">
        <v>80</v>
      </c>
      <c r="E611" s="360" t="s">
        <v>88</v>
      </c>
      <c r="F611" s="360" t="s">
        <v>459</v>
      </c>
      <c r="G611" s="362">
        <v>46267</v>
      </c>
      <c r="H611" s="363">
        <v>4003</v>
      </c>
      <c r="I611" s="360" t="s">
        <v>147</v>
      </c>
      <c r="J611" s="364" t="str">
        <f>IFERROR(VLOOKUP(I611,Map!$F$18:$G$56,2,0),"Add in Map")</f>
        <v>3P</v>
      </c>
      <c r="K611" s="364" t="str">
        <f>VLOOKUP(L611,Map!$C$18:$D$29,2,0)</f>
        <v>PNT</v>
      </c>
      <c r="L611" s="360" t="s">
        <v>46</v>
      </c>
      <c r="M611" s="365">
        <v>271783.9055972824</v>
      </c>
      <c r="N611" s="366">
        <f t="shared" si="187"/>
        <v>0</v>
      </c>
      <c r="O611" s="366">
        <f t="shared" si="188"/>
        <v>323422.84766076604</v>
      </c>
      <c r="P611" s="367">
        <f t="shared" si="189"/>
        <v>294.13842597108487</v>
      </c>
      <c r="Q611" s="367">
        <f t="shared" si="190"/>
        <v>0</v>
      </c>
      <c r="R611" s="368">
        <f t="shared" si="191"/>
        <v>350.02472690559097</v>
      </c>
      <c r="S611" s="384">
        <f>INDEX(FX!$D$3:$O$19,MATCH(B611,FX!$B$3:$B$32,0),MATCH(D611,FX!$D$2:$O$2,0))</f>
        <v>924</v>
      </c>
      <c r="T611" s="360" t="s">
        <v>81</v>
      </c>
      <c r="U611" s="360" t="s">
        <v>155</v>
      </c>
      <c r="V611" s="360" t="s">
        <v>83</v>
      </c>
      <c r="W611" s="364" t="str">
        <f>VLOOKUP(I611,Map!$F$18:$H$51,3,0)</f>
        <v>Variable</v>
      </c>
      <c r="X611" s="370" t="s">
        <v>459</v>
      </c>
      <c r="Y611" s="364" t="str">
        <f>VLOOKUP(L611,Map!$C$18:$D$29,2,0)</f>
        <v>PNT</v>
      </c>
      <c r="Z611" s="365"/>
      <c r="AA611" s="366">
        <f t="shared" si="192"/>
        <v>0</v>
      </c>
      <c r="AB611" s="366">
        <f t="shared" si="193"/>
        <v>0</v>
      </c>
      <c r="AC611" s="367">
        <f t="shared" si="194"/>
        <v>0</v>
      </c>
      <c r="AD611" s="367">
        <f t="shared" si="195"/>
        <v>0</v>
      </c>
      <c r="AE611" s="368">
        <f t="shared" si="196"/>
        <v>0</v>
      </c>
      <c r="AF611" s="385"/>
    </row>
    <row r="612" spans="2:32" s="1" customFormat="1" ht="13" hidden="1" x14ac:dyDescent="0.3">
      <c r="B612" s="383">
        <v>2026</v>
      </c>
      <c r="C612" s="361" t="s">
        <v>464</v>
      </c>
      <c r="D612" s="361" t="s">
        <v>80</v>
      </c>
      <c r="E612" s="360" t="s">
        <v>88</v>
      </c>
      <c r="F612" s="360" t="s">
        <v>459</v>
      </c>
      <c r="G612" s="362">
        <v>46267</v>
      </c>
      <c r="H612" s="363">
        <v>4003</v>
      </c>
      <c r="I612" s="360" t="s">
        <v>147</v>
      </c>
      <c r="J612" s="364" t="str">
        <f>IFERROR(VLOOKUP(I612,Map!$F$18:$G$56,2,0),"Add in Map")</f>
        <v>3P</v>
      </c>
      <c r="K612" s="364" t="str">
        <f>VLOOKUP(L612,Map!$C$18:$D$29,2,0)</f>
        <v>GTT</v>
      </c>
      <c r="L612" s="360" t="s">
        <v>48</v>
      </c>
      <c r="M612" s="365">
        <v>307787.46239345212</v>
      </c>
      <c r="N612" s="366">
        <f t="shared" si="187"/>
        <v>0</v>
      </c>
      <c r="O612" s="366">
        <f t="shared" si="188"/>
        <v>366267.08024820802</v>
      </c>
      <c r="P612" s="367">
        <f t="shared" si="189"/>
        <v>333.10331427862786</v>
      </c>
      <c r="Q612" s="367">
        <f t="shared" si="190"/>
        <v>0</v>
      </c>
      <c r="R612" s="368">
        <f t="shared" si="191"/>
        <v>396.39294399156717</v>
      </c>
      <c r="S612" s="384">
        <f>INDEX(FX!$D$3:$O$19,MATCH(B612,FX!$B$3:$B$32,0),MATCH(D612,FX!$D$2:$O$2,0))</f>
        <v>924</v>
      </c>
      <c r="T612" s="360" t="s">
        <v>81</v>
      </c>
      <c r="U612" s="360" t="s">
        <v>155</v>
      </c>
      <c r="V612" s="360" t="s">
        <v>83</v>
      </c>
      <c r="W612" s="364" t="str">
        <f>VLOOKUP(I612,Map!$F$18:$H$51,3,0)</f>
        <v>Variable</v>
      </c>
      <c r="X612" s="370" t="s">
        <v>459</v>
      </c>
      <c r="Y612" s="364" t="str">
        <f>VLOOKUP(L612,Map!$C$18:$D$29,2,0)</f>
        <v>GTT</v>
      </c>
      <c r="Z612" s="365"/>
      <c r="AA612" s="366">
        <f t="shared" si="192"/>
        <v>0</v>
      </c>
      <c r="AB612" s="366">
        <f t="shared" si="193"/>
        <v>0</v>
      </c>
      <c r="AC612" s="367">
        <f t="shared" si="194"/>
        <v>0</v>
      </c>
      <c r="AD612" s="367">
        <f t="shared" si="195"/>
        <v>0</v>
      </c>
      <c r="AE612" s="368">
        <f t="shared" si="196"/>
        <v>0</v>
      </c>
      <c r="AF612" s="385"/>
    </row>
    <row r="613" spans="2:32" s="1" customFormat="1" ht="13" hidden="1" x14ac:dyDescent="0.3">
      <c r="B613" s="383">
        <v>2026</v>
      </c>
      <c r="C613" s="361" t="s">
        <v>464</v>
      </c>
      <c r="D613" s="361" t="s">
        <v>80</v>
      </c>
      <c r="E613" s="360" t="s">
        <v>88</v>
      </c>
      <c r="F613" s="360" t="s">
        <v>459</v>
      </c>
      <c r="G613" s="362">
        <v>46267</v>
      </c>
      <c r="H613" s="363">
        <v>4003</v>
      </c>
      <c r="I613" s="360" t="s">
        <v>147</v>
      </c>
      <c r="J613" s="364" t="str">
        <f>IFERROR(VLOOKUP(I613,Map!$F$18:$G$56,2,0),"Add in Map")</f>
        <v>3P</v>
      </c>
      <c r="K613" s="364" t="str">
        <f>VLOOKUP(L613,Map!$C$18:$D$29,2,0)</f>
        <v>DGT</v>
      </c>
      <c r="L613" s="360" t="s">
        <v>50</v>
      </c>
      <c r="M613" s="365">
        <v>79261.305853234211</v>
      </c>
      <c r="N613" s="366">
        <f t="shared" si="187"/>
        <v>0</v>
      </c>
      <c r="O613" s="366">
        <f t="shared" si="188"/>
        <v>94320.953965348701</v>
      </c>
      <c r="P613" s="367">
        <f t="shared" si="189"/>
        <v>85.780634040296761</v>
      </c>
      <c r="Q613" s="367">
        <f t="shared" si="190"/>
        <v>0</v>
      </c>
      <c r="R613" s="368">
        <f t="shared" si="191"/>
        <v>102.07895450795314</v>
      </c>
      <c r="S613" s="384">
        <f>INDEX(FX!$D$3:$O$19,MATCH(B613,FX!$B$3:$B$32,0),MATCH(D613,FX!$D$2:$O$2,0))</f>
        <v>924</v>
      </c>
      <c r="T613" s="360" t="s">
        <v>81</v>
      </c>
      <c r="U613" s="360" t="s">
        <v>155</v>
      </c>
      <c r="V613" s="360" t="s">
        <v>83</v>
      </c>
      <c r="W613" s="364" t="str">
        <f>VLOOKUP(I613,Map!$F$18:$H$51,3,0)</f>
        <v>Variable</v>
      </c>
      <c r="X613" s="370" t="s">
        <v>459</v>
      </c>
      <c r="Y613" s="364" t="str">
        <f>VLOOKUP(L613,Map!$C$18:$D$29,2,0)</f>
        <v>DGT</v>
      </c>
      <c r="Z613" s="365"/>
      <c r="AA613" s="366">
        <f t="shared" si="192"/>
        <v>0</v>
      </c>
      <c r="AB613" s="366">
        <f t="shared" si="193"/>
        <v>0</v>
      </c>
      <c r="AC613" s="367">
        <f t="shared" si="194"/>
        <v>0</v>
      </c>
      <c r="AD613" s="367">
        <f t="shared" si="195"/>
        <v>0</v>
      </c>
      <c r="AE613" s="368">
        <f t="shared" si="196"/>
        <v>0</v>
      </c>
      <c r="AF613" s="385"/>
    </row>
    <row r="614" spans="2:32" s="1" customFormat="1" ht="13" hidden="1" x14ac:dyDescent="0.3">
      <c r="B614" s="383">
        <v>2026</v>
      </c>
      <c r="C614" s="361" t="s">
        <v>464</v>
      </c>
      <c r="D614" s="361" t="s">
        <v>80</v>
      </c>
      <c r="E614" s="360" t="s">
        <v>88</v>
      </c>
      <c r="F614" s="360" t="s">
        <v>459</v>
      </c>
      <c r="G614" s="362">
        <v>46267</v>
      </c>
      <c r="H614" s="363">
        <v>4003</v>
      </c>
      <c r="I614" s="360" t="s">
        <v>147</v>
      </c>
      <c r="J614" s="364" t="str">
        <f>IFERROR(VLOOKUP(I614,Map!$F$18:$G$56,2,0),"Add in Map")</f>
        <v>3P</v>
      </c>
      <c r="K614" s="364" t="str">
        <f>VLOOKUP(L614,Map!$C$18:$D$29,2,0)</f>
        <v>DLT</v>
      </c>
      <c r="L614" s="360" t="s">
        <v>52</v>
      </c>
      <c r="M614" s="365">
        <v>0</v>
      </c>
      <c r="N614" s="366">
        <f t="shared" si="187"/>
        <v>0</v>
      </c>
      <c r="O614" s="366">
        <f t="shared" si="188"/>
        <v>0</v>
      </c>
      <c r="P614" s="367">
        <f t="shared" si="189"/>
        <v>0</v>
      </c>
      <c r="Q614" s="367">
        <f t="shared" si="190"/>
        <v>0</v>
      </c>
      <c r="R614" s="368">
        <f t="shared" si="191"/>
        <v>0</v>
      </c>
      <c r="S614" s="384">
        <f>INDEX(FX!$D$3:$O$19,MATCH(B614,FX!$B$3:$B$32,0),MATCH(D614,FX!$D$2:$O$2,0))</f>
        <v>924</v>
      </c>
      <c r="T614" s="360" t="s">
        <v>81</v>
      </c>
      <c r="U614" s="360" t="s">
        <v>155</v>
      </c>
      <c r="V614" s="360" t="s">
        <v>83</v>
      </c>
      <c r="W614" s="364" t="str">
        <f>VLOOKUP(I614,Map!$F$18:$H$51,3,0)</f>
        <v>Variable</v>
      </c>
      <c r="X614" s="370" t="s">
        <v>459</v>
      </c>
      <c r="Y614" s="364" t="str">
        <f>VLOOKUP(L614,Map!$C$18:$D$29,2,0)</f>
        <v>DLT</v>
      </c>
      <c r="Z614" s="365"/>
      <c r="AA614" s="366">
        <f t="shared" si="192"/>
        <v>0</v>
      </c>
      <c r="AB614" s="366">
        <f t="shared" si="193"/>
        <v>0</v>
      </c>
      <c r="AC614" s="367">
        <f t="shared" si="194"/>
        <v>0</v>
      </c>
      <c r="AD614" s="367">
        <f t="shared" si="195"/>
        <v>0</v>
      </c>
      <c r="AE614" s="368">
        <f t="shared" si="196"/>
        <v>0</v>
      </c>
      <c r="AF614" s="385"/>
    </row>
    <row r="615" spans="2:32" s="1" customFormat="1" ht="13" hidden="1" x14ac:dyDescent="0.3">
      <c r="B615" s="383">
        <v>2026</v>
      </c>
      <c r="C615" s="361" t="s">
        <v>464</v>
      </c>
      <c r="D615" s="361" t="s">
        <v>80</v>
      </c>
      <c r="E615" s="360" t="s">
        <v>88</v>
      </c>
      <c r="F615" s="360" t="s">
        <v>459</v>
      </c>
      <c r="G615" s="362">
        <v>46267</v>
      </c>
      <c r="H615" s="363">
        <v>4003</v>
      </c>
      <c r="I615" s="360" t="s">
        <v>147</v>
      </c>
      <c r="J615" s="364" t="str">
        <f>IFERROR(VLOOKUP(I615,Map!$F$18:$G$56,2,0),"Add in Map")</f>
        <v>3P</v>
      </c>
      <c r="K615" s="364" t="str">
        <f>VLOOKUP(L615,Map!$C$18:$D$29,2,0)</f>
        <v>DMT</v>
      </c>
      <c r="L615" s="360" t="s">
        <v>54</v>
      </c>
      <c r="M615" s="365">
        <v>0</v>
      </c>
      <c r="N615" s="366">
        <f t="shared" si="187"/>
        <v>0</v>
      </c>
      <c r="O615" s="366">
        <f t="shared" si="188"/>
        <v>0</v>
      </c>
      <c r="P615" s="386">
        <f t="shared" si="189"/>
        <v>0</v>
      </c>
      <c r="Q615" s="367">
        <f t="shared" si="190"/>
        <v>0</v>
      </c>
      <c r="R615" s="368">
        <f t="shared" si="191"/>
        <v>0</v>
      </c>
      <c r="S615" s="384">
        <f>INDEX(FX!$D$3:$O$19,MATCH(B615,FX!$B$3:$B$32,0),MATCH(D615,FX!$D$2:$O$2,0))</f>
        <v>924</v>
      </c>
      <c r="T615" s="360" t="s">
        <v>81</v>
      </c>
      <c r="U615" s="360" t="s">
        <v>155</v>
      </c>
      <c r="V615" s="360" t="s">
        <v>83</v>
      </c>
      <c r="W615" s="364" t="str">
        <f>VLOOKUP(I615,Map!$F$18:$H$51,3,0)</f>
        <v>Variable</v>
      </c>
      <c r="X615" s="370" t="s">
        <v>459</v>
      </c>
      <c r="Y615" s="364" t="str">
        <f>VLOOKUP(L615,Map!$C$18:$D$29,2,0)</f>
        <v>DMT</v>
      </c>
      <c r="Z615" s="365"/>
      <c r="AA615" s="366">
        <f t="shared" si="192"/>
        <v>0</v>
      </c>
      <c r="AB615" s="366">
        <f t="shared" si="193"/>
        <v>0</v>
      </c>
      <c r="AC615" s="386">
        <f t="shared" si="194"/>
        <v>0</v>
      </c>
      <c r="AD615" s="367">
        <f t="shared" si="195"/>
        <v>0</v>
      </c>
      <c r="AE615" s="368">
        <f t="shared" si="196"/>
        <v>0</v>
      </c>
      <c r="AF615" s="385"/>
    </row>
    <row r="616" spans="2:32" s="37" customFormat="1" hidden="1" x14ac:dyDescent="0.35">
      <c r="B616" s="387">
        <v>2026</v>
      </c>
      <c r="C616" s="389" t="s">
        <v>464</v>
      </c>
      <c r="D616" s="389" t="s">
        <v>80</v>
      </c>
      <c r="E616" s="388" t="s">
        <v>88</v>
      </c>
      <c r="F616" s="388" t="s">
        <v>459</v>
      </c>
      <c r="G616" s="390">
        <v>46267</v>
      </c>
      <c r="H616" s="391">
        <v>4003</v>
      </c>
      <c r="I616" s="388" t="s">
        <v>147</v>
      </c>
      <c r="J616" s="392" t="str">
        <f>IFERROR(VLOOKUP(I616,Map!$F$18:$G$56,2,0),"Add in Map")</f>
        <v>3P</v>
      </c>
      <c r="K616" s="392" t="str">
        <f>VLOOKUP(L616,Map!$C$18:$D$29,2,0)</f>
        <v>TOTAL</v>
      </c>
      <c r="L616" s="388" t="s">
        <v>56</v>
      </c>
      <c r="M616" s="393">
        <f>SUM(M605:M615)</f>
        <v>16061820</v>
      </c>
      <c r="N616" s="393">
        <f t="shared" si="187"/>
        <v>3051745.8</v>
      </c>
      <c r="O616" s="393">
        <f t="shared" si="188"/>
        <v>19113565.800000001</v>
      </c>
      <c r="P616" s="394">
        <f t="shared" si="189"/>
        <v>17382.922077922078</v>
      </c>
      <c r="Q616" s="394">
        <f t="shared" si="190"/>
        <v>3302.7551948051946</v>
      </c>
      <c r="R616" s="395">
        <f t="shared" si="191"/>
        <v>20685.677272727273</v>
      </c>
      <c r="S616" s="396">
        <f>INDEX(FX!$D$3:$O$19,MATCH(B616,FX!$B$3:$B$32,0),MATCH(D616,FX!$D$2:$O$2,0))</f>
        <v>924</v>
      </c>
      <c r="T616" s="388" t="s">
        <v>81</v>
      </c>
      <c r="U616" s="388" t="s">
        <v>155</v>
      </c>
      <c r="V616" s="388" t="s">
        <v>83</v>
      </c>
      <c r="W616" s="392" t="str">
        <f>VLOOKUP(I616,Map!$F$18:$H$51,3,0)</f>
        <v>Variable</v>
      </c>
      <c r="X616" s="397" t="s">
        <v>459</v>
      </c>
      <c r="Y616" s="392" t="str">
        <f>VLOOKUP(L616,Map!$C$18:$D$29,2,0)</f>
        <v>TOTAL</v>
      </c>
      <c r="Z616" s="393">
        <f>SUM(Z605:Z615)</f>
        <v>0</v>
      </c>
      <c r="AA616" s="393">
        <f t="shared" si="192"/>
        <v>0</v>
      </c>
      <c r="AB616" s="393">
        <f t="shared" si="193"/>
        <v>0</v>
      </c>
      <c r="AC616" s="394">
        <f t="shared" si="194"/>
        <v>0</v>
      </c>
      <c r="AD616" s="394">
        <f t="shared" si="195"/>
        <v>0</v>
      </c>
      <c r="AE616" s="395">
        <f t="shared" si="196"/>
        <v>0</v>
      </c>
      <c r="AF616" s="398" t="s">
        <v>466</v>
      </c>
    </row>
    <row r="617" spans="2:32" s="5" customFormat="1" ht="13" hidden="1" x14ac:dyDescent="0.3">
      <c r="B617" s="400">
        <v>2026</v>
      </c>
      <c r="C617" s="402" t="s">
        <v>464</v>
      </c>
      <c r="D617" s="402" t="s">
        <v>80</v>
      </c>
      <c r="E617" s="401" t="s">
        <v>88</v>
      </c>
      <c r="F617" s="401" t="s">
        <v>459</v>
      </c>
      <c r="G617" s="403">
        <v>46267</v>
      </c>
      <c r="H617" s="404">
        <v>4005</v>
      </c>
      <c r="I617" s="401" t="s">
        <v>175</v>
      </c>
      <c r="J617" s="405" t="str">
        <f>IFERROR(VLOOKUP(I617,Map!$F$18:$G$56,2,0),"Add in Map")</f>
        <v>3P</v>
      </c>
      <c r="K617" s="405" t="str">
        <f>VLOOKUP(L617,Map!$C$18:$D$29,2,0)</f>
        <v>CNT</v>
      </c>
      <c r="L617" s="401" t="s">
        <v>31</v>
      </c>
      <c r="M617" s="406">
        <v>2112033.3308313815</v>
      </c>
      <c r="N617" s="407">
        <f t="shared" ref="N617:N628" si="197">IF(L617="TOTAL",(M617*0.19),0)</f>
        <v>0</v>
      </c>
      <c r="O617" s="407">
        <f t="shared" ref="O617:O628" si="198">M617*1.19</f>
        <v>2513319.6636893437</v>
      </c>
      <c r="P617" s="408">
        <f t="shared" ref="P617:P628" si="199">M617/S617</f>
        <v>2285.7503580426205</v>
      </c>
      <c r="Q617" s="408">
        <f t="shared" ref="Q617:Q628" si="200">IF(L617="TOTAL",(P617*0.19),0)</f>
        <v>0</v>
      </c>
      <c r="R617" s="409">
        <f t="shared" ref="R617:R628" si="201">P617*1.19</f>
        <v>2720.0429260707183</v>
      </c>
      <c r="S617" s="410">
        <f>INDEX(FX!$D$3:$O$19,MATCH(B617,FX!$B$3:$B$32,0),MATCH(D617,FX!$D$2:$O$2,0))</f>
        <v>924</v>
      </c>
      <c r="T617" s="401" t="s">
        <v>81</v>
      </c>
      <c r="U617" s="401" t="s">
        <v>155</v>
      </c>
      <c r="V617" s="401" t="s">
        <v>83</v>
      </c>
      <c r="W617" s="405" t="str">
        <f>VLOOKUP(I617,Map!$F$18:$H$51,3,0)</f>
        <v>Variable</v>
      </c>
      <c r="X617" s="411" t="s">
        <v>459</v>
      </c>
      <c r="Y617" s="405" t="str">
        <f>VLOOKUP(L617,Map!$C$18:$D$29,2,0)</f>
        <v>CNT</v>
      </c>
      <c r="Z617" s="406"/>
      <c r="AA617" s="407">
        <f t="shared" ref="AA617:AA628" si="202">IF(Y617="TOTAL",(Z617*0.19),0)</f>
        <v>0</v>
      </c>
      <c r="AB617" s="407">
        <f t="shared" ref="AB617:AB628" si="203">Z617*1.19</f>
        <v>0</v>
      </c>
      <c r="AC617" s="408">
        <f t="shared" ref="AC617:AC628" si="204">Z617/S617</f>
        <v>0</v>
      </c>
      <c r="AD617" s="408">
        <f t="shared" ref="AD617:AD628" si="205">IF(Y617="TOTAL",(AC617*0.19),0)</f>
        <v>0</v>
      </c>
      <c r="AE617" s="409">
        <f t="shared" ref="AE617:AE628" si="206">AC617*1.19</f>
        <v>0</v>
      </c>
      <c r="AF617" s="412"/>
    </row>
    <row r="618" spans="2:32" s="1" customFormat="1" ht="13" hidden="1" x14ac:dyDescent="0.3">
      <c r="B618" s="383">
        <v>2026</v>
      </c>
      <c r="C618" s="361" t="s">
        <v>464</v>
      </c>
      <c r="D618" s="361" t="s">
        <v>80</v>
      </c>
      <c r="E618" s="360" t="s">
        <v>88</v>
      </c>
      <c r="F618" s="360" t="s">
        <v>459</v>
      </c>
      <c r="G618" s="362">
        <v>46267</v>
      </c>
      <c r="H618" s="363">
        <v>4005</v>
      </c>
      <c r="I618" s="360" t="s">
        <v>175</v>
      </c>
      <c r="J618" s="364" t="str">
        <f>IFERROR(VLOOKUP(I618,Map!$F$18:$G$56,2,0),"Add in Map")</f>
        <v>3P</v>
      </c>
      <c r="K618" s="364" t="str">
        <f>VLOOKUP(L618,Map!$C$18:$D$29,2,0)</f>
        <v>CVT</v>
      </c>
      <c r="L618" s="360" t="s">
        <v>36</v>
      </c>
      <c r="M618" s="365">
        <v>0</v>
      </c>
      <c r="N618" s="366">
        <f t="shared" si="197"/>
        <v>0</v>
      </c>
      <c r="O618" s="366">
        <f t="shared" si="198"/>
        <v>0</v>
      </c>
      <c r="P618" s="367">
        <f t="shared" si="199"/>
        <v>0</v>
      </c>
      <c r="Q618" s="367">
        <f t="shared" si="200"/>
        <v>0</v>
      </c>
      <c r="R618" s="368">
        <f t="shared" si="201"/>
        <v>0</v>
      </c>
      <c r="S618" s="384">
        <f>INDEX(FX!$D$3:$O$19,MATCH(B618,FX!$B$3:$B$32,0),MATCH(D618,FX!$D$2:$O$2,0))</f>
        <v>924</v>
      </c>
      <c r="T618" s="360" t="s">
        <v>81</v>
      </c>
      <c r="U618" s="360" t="s">
        <v>155</v>
      </c>
      <c r="V618" s="360" t="s">
        <v>83</v>
      </c>
      <c r="W618" s="364" t="str">
        <f>VLOOKUP(I618,Map!$F$18:$H$51,3,0)</f>
        <v>Variable</v>
      </c>
      <c r="X618" s="370" t="s">
        <v>459</v>
      </c>
      <c r="Y618" s="364" t="str">
        <f>VLOOKUP(L618,Map!$C$18:$D$29,2,0)</f>
        <v>CVT</v>
      </c>
      <c r="Z618" s="365"/>
      <c r="AA618" s="366">
        <f t="shared" si="202"/>
        <v>0</v>
      </c>
      <c r="AB618" s="366">
        <f t="shared" si="203"/>
        <v>0</v>
      </c>
      <c r="AC618" s="367">
        <f t="shared" si="204"/>
        <v>0</v>
      </c>
      <c r="AD618" s="367">
        <f t="shared" si="205"/>
        <v>0</v>
      </c>
      <c r="AE618" s="368">
        <f t="shared" si="206"/>
        <v>0</v>
      </c>
      <c r="AF618" s="385"/>
    </row>
    <row r="619" spans="2:32" s="1" customFormat="1" ht="13" hidden="1" x14ac:dyDescent="0.3">
      <c r="B619" s="383">
        <v>2026</v>
      </c>
      <c r="C619" s="361" t="s">
        <v>464</v>
      </c>
      <c r="D619" s="361" t="s">
        <v>80</v>
      </c>
      <c r="E619" s="360" t="s">
        <v>88</v>
      </c>
      <c r="F619" s="360" t="s">
        <v>459</v>
      </c>
      <c r="G619" s="362">
        <v>46267</v>
      </c>
      <c r="H619" s="363">
        <v>4005</v>
      </c>
      <c r="I619" s="360" t="s">
        <v>175</v>
      </c>
      <c r="J619" s="364" t="str">
        <f>IFERROR(VLOOKUP(I619,Map!$F$18:$G$56,2,0),"Add in Map")</f>
        <v>3P</v>
      </c>
      <c r="K619" s="364" t="str">
        <f>VLOOKUP(L619,Map!$C$18:$D$29,2,0)</f>
        <v>CDT</v>
      </c>
      <c r="L619" s="360" t="s">
        <v>38</v>
      </c>
      <c r="M619" s="365">
        <v>51280.836436854777</v>
      </c>
      <c r="N619" s="366">
        <f t="shared" si="197"/>
        <v>0</v>
      </c>
      <c r="O619" s="366">
        <f t="shared" si="198"/>
        <v>61024.195359857185</v>
      </c>
      <c r="P619" s="367">
        <f t="shared" si="199"/>
        <v>55.498740732526812</v>
      </c>
      <c r="Q619" s="367">
        <f t="shared" si="200"/>
        <v>0</v>
      </c>
      <c r="R619" s="368">
        <f t="shared" si="201"/>
        <v>66.043501471706904</v>
      </c>
      <c r="S619" s="384">
        <f>INDEX(FX!$D$3:$O$19,MATCH(B619,FX!$B$3:$B$32,0),MATCH(D619,FX!$D$2:$O$2,0))</f>
        <v>924</v>
      </c>
      <c r="T619" s="360" t="s">
        <v>81</v>
      </c>
      <c r="U619" s="360" t="s">
        <v>155</v>
      </c>
      <c r="V619" s="360" t="s">
        <v>83</v>
      </c>
      <c r="W619" s="364" t="str">
        <f>VLOOKUP(I619,Map!$F$18:$H$51,3,0)</f>
        <v>Variable</v>
      </c>
      <c r="X619" s="370" t="s">
        <v>459</v>
      </c>
      <c r="Y619" s="364" t="str">
        <f>VLOOKUP(L619,Map!$C$18:$D$29,2,0)</f>
        <v>CDT</v>
      </c>
      <c r="Z619" s="365"/>
      <c r="AA619" s="366">
        <f t="shared" si="202"/>
        <v>0</v>
      </c>
      <c r="AB619" s="366">
        <f t="shared" si="203"/>
        <v>0</v>
      </c>
      <c r="AC619" s="367">
        <f t="shared" si="204"/>
        <v>0</v>
      </c>
      <c r="AD619" s="367">
        <f t="shared" si="205"/>
        <v>0</v>
      </c>
      <c r="AE619" s="368">
        <f t="shared" si="206"/>
        <v>0</v>
      </c>
      <c r="AF619" s="385"/>
    </row>
    <row r="620" spans="2:32" s="1" customFormat="1" ht="13" hidden="1" x14ac:dyDescent="0.3">
      <c r="B620" s="383">
        <v>2026</v>
      </c>
      <c r="C620" s="361" t="s">
        <v>464</v>
      </c>
      <c r="D620" s="361" t="s">
        <v>80</v>
      </c>
      <c r="E620" s="360" t="s">
        <v>88</v>
      </c>
      <c r="F620" s="360" t="s">
        <v>459</v>
      </c>
      <c r="G620" s="362">
        <v>46267</v>
      </c>
      <c r="H620" s="363">
        <v>4005</v>
      </c>
      <c r="I620" s="360" t="s">
        <v>175</v>
      </c>
      <c r="J620" s="364" t="str">
        <f>IFERROR(VLOOKUP(I620,Map!$F$18:$G$56,2,0),"Add in Map")</f>
        <v>3P</v>
      </c>
      <c r="K620" s="364" t="str">
        <f>VLOOKUP(L620,Map!$C$18:$D$29,2,0)</f>
        <v>DFT</v>
      </c>
      <c r="L620" s="360" t="s">
        <v>40</v>
      </c>
      <c r="M620" s="365">
        <v>4558071.3509628549</v>
      </c>
      <c r="N620" s="366">
        <f t="shared" si="197"/>
        <v>0</v>
      </c>
      <c r="O620" s="366">
        <f t="shared" si="198"/>
        <v>5424104.9076457974</v>
      </c>
      <c r="P620" s="367">
        <f t="shared" si="199"/>
        <v>4932.9776525572024</v>
      </c>
      <c r="Q620" s="367">
        <f t="shared" si="200"/>
        <v>0</v>
      </c>
      <c r="R620" s="368">
        <f t="shared" si="201"/>
        <v>5870.2434065430707</v>
      </c>
      <c r="S620" s="384">
        <f>INDEX(FX!$D$3:$O$19,MATCH(B620,FX!$B$3:$B$32,0),MATCH(D620,FX!$D$2:$O$2,0))</f>
        <v>924</v>
      </c>
      <c r="T620" s="360" t="s">
        <v>81</v>
      </c>
      <c r="U620" s="360" t="s">
        <v>155</v>
      </c>
      <c r="V620" s="360" t="s">
        <v>83</v>
      </c>
      <c r="W620" s="364" t="str">
        <f>VLOOKUP(I620,Map!$F$18:$H$51,3,0)</f>
        <v>Variable</v>
      </c>
      <c r="X620" s="370" t="s">
        <v>459</v>
      </c>
      <c r="Y620" s="364" t="str">
        <f>VLOOKUP(L620,Map!$C$18:$D$29,2,0)</f>
        <v>DFT</v>
      </c>
      <c r="Z620" s="365"/>
      <c r="AA620" s="366">
        <f t="shared" si="202"/>
        <v>0</v>
      </c>
      <c r="AB620" s="366">
        <f t="shared" si="203"/>
        <v>0</v>
      </c>
      <c r="AC620" s="367">
        <f t="shared" si="204"/>
        <v>0</v>
      </c>
      <c r="AD620" s="367">
        <f t="shared" si="205"/>
        <v>0</v>
      </c>
      <c r="AE620" s="368">
        <f t="shared" si="206"/>
        <v>0</v>
      </c>
      <c r="AF620" s="385"/>
    </row>
    <row r="621" spans="2:32" s="1" customFormat="1" ht="13" hidden="1" x14ac:dyDescent="0.3">
      <c r="B621" s="383">
        <v>2026</v>
      </c>
      <c r="C621" s="361" t="s">
        <v>464</v>
      </c>
      <c r="D621" s="361" t="s">
        <v>80</v>
      </c>
      <c r="E621" s="360" t="s">
        <v>88</v>
      </c>
      <c r="F621" s="360" t="s">
        <v>459</v>
      </c>
      <c r="G621" s="362">
        <v>46267</v>
      </c>
      <c r="H621" s="363">
        <v>4005</v>
      </c>
      <c r="I621" s="360" t="s">
        <v>175</v>
      </c>
      <c r="J621" s="364" t="str">
        <f>IFERROR(VLOOKUP(I621,Map!$F$18:$G$56,2,0),"Add in Map")</f>
        <v>3P</v>
      </c>
      <c r="K621" s="364" t="str">
        <f>VLOOKUP(L621,Map!$C$18:$D$29,2,0)</f>
        <v>DVT</v>
      </c>
      <c r="L621" s="360" t="s">
        <v>42</v>
      </c>
      <c r="M621" s="365">
        <v>0</v>
      </c>
      <c r="N621" s="366">
        <f t="shared" si="197"/>
        <v>0</v>
      </c>
      <c r="O621" s="366">
        <f t="shared" si="198"/>
        <v>0</v>
      </c>
      <c r="P621" s="367">
        <f t="shared" si="199"/>
        <v>0</v>
      </c>
      <c r="Q621" s="367">
        <f t="shared" si="200"/>
        <v>0</v>
      </c>
      <c r="R621" s="368">
        <f t="shared" si="201"/>
        <v>0</v>
      </c>
      <c r="S621" s="384">
        <f>INDEX(FX!$D$3:$O$19,MATCH(B621,FX!$B$3:$B$32,0),MATCH(D621,FX!$D$2:$O$2,0))</f>
        <v>924</v>
      </c>
      <c r="T621" s="360" t="s">
        <v>81</v>
      </c>
      <c r="U621" s="360" t="s">
        <v>155</v>
      </c>
      <c r="V621" s="360" t="s">
        <v>83</v>
      </c>
      <c r="W621" s="364" t="str">
        <f>VLOOKUP(I621,Map!$F$18:$H$51,3,0)</f>
        <v>Variable</v>
      </c>
      <c r="X621" s="370" t="s">
        <v>459</v>
      </c>
      <c r="Y621" s="364" t="str">
        <f>VLOOKUP(L621,Map!$C$18:$D$29,2,0)</f>
        <v>DVT</v>
      </c>
      <c r="Z621" s="365"/>
      <c r="AA621" s="366">
        <f t="shared" si="202"/>
        <v>0</v>
      </c>
      <c r="AB621" s="366">
        <f t="shared" si="203"/>
        <v>0</v>
      </c>
      <c r="AC621" s="367">
        <f t="shared" si="204"/>
        <v>0</v>
      </c>
      <c r="AD621" s="367">
        <f t="shared" si="205"/>
        <v>0</v>
      </c>
      <c r="AE621" s="368">
        <f t="shared" si="206"/>
        <v>0</v>
      </c>
      <c r="AF621" s="385"/>
    </row>
    <row r="622" spans="2:32" s="1" customFormat="1" ht="13" hidden="1" x14ac:dyDescent="0.3">
      <c r="B622" s="383">
        <v>2026</v>
      </c>
      <c r="C622" s="361" t="s">
        <v>464</v>
      </c>
      <c r="D622" s="361" t="s">
        <v>80</v>
      </c>
      <c r="E622" s="360" t="s">
        <v>88</v>
      </c>
      <c r="F622" s="360" t="s">
        <v>459</v>
      </c>
      <c r="G622" s="362">
        <v>46267</v>
      </c>
      <c r="H622" s="363">
        <v>4005</v>
      </c>
      <c r="I622" s="360" t="s">
        <v>175</v>
      </c>
      <c r="J622" s="364" t="str">
        <f>IFERROR(VLOOKUP(I622,Map!$F$18:$G$56,2,0),"Add in Map")</f>
        <v>3P</v>
      </c>
      <c r="K622" s="364" t="str">
        <f>VLOOKUP(L622,Map!$C$18:$D$29,2,0)</f>
        <v>GLT</v>
      </c>
      <c r="L622" s="360" t="s">
        <v>44</v>
      </c>
      <c r="M622" s="365">
        <v>1949009.1659804808</v>
      </c>
      <c r="N622" s="366">
        <f t="shared" si="197"/>
        <v>0</v>
      </c>
      <c r="O622" s="366">
        <f t="shared" si="198"/>
        <v>2319320.9075167719</v>
      </c>
      <c r="P622" s="367">
        <f t="shared" si="199"/>
        <v>2109.3172791996544</v>
      </c>
      <c r="Q622" s="367">
        <f t="shared" si="200"/>
        <v>0</v>
      </c>
      <c r="R622" s="368">
        <f t="shared" si="201"/>
        <v>2510.0875622475887</v>
      </c>
      <c r="S622" s="384">
        <f>INDEX(FX!$D$3:$O$19,MATCH(B622,FX!$B$3:$B$32,0),MATCH(D622,FX!$D$2:$O$2,0))</f>
        <v>924</v>
      </c>
      <c r="T622" s="360" t="s">
        <v>81</v>
      </c>
      <c r="U622" s="360" t="s">
        <v>155</v>
      </c>
      <c r="V622" s="360" t="s">
        <v>83</v>
      </c>
      <c r="W622" s="364" t="str">
        <f>VLOOKUP(I622,Map!$F$18:$H$51,3,0)</f>
        <v>Variable</v>
      </c>
      <c r="X622" s="370" t="s">
        <v>459</v>
      </c>
      <c r="Y622" s="364" t="str">
        <f>VLOOKUP(L622,Map!$C$18:$D$29,2,0)</f>
        <v>GLT</v>
      </c>
      <c r="Z622" s="365"/>
      <c r="AA622" s="366">
        <f t="shared" si="202"/>
        <v>0</v>
      </c>
      <c r="AB622" s="366">
        <f t="shared" si="203"/>
        <v>0</v>
      </c>
      <c r="AC622" s="367">
        <f t="shared" si="204"/>
        <v>0</v>
      </c>
      <c r="AD622" s="367">
        <f t="shared" si="205"/>
        <v>0</v>
      </c>
      <c r="AE622" s="368">
        <f t="shared" si="206"/>
        <v>0</v>
      </c>
      <c r="AF622" s="385"/>
    </row>
    <row r="623" spans="2:32" s="1" customFormat="1" ht="13" hidden="1" x14ac:dyDescent="0.3">
      <c r="B623" s="383">
        <v>2026</v>
      </c>
      <c r="C623" s="361" t="s">
        <v>464</v>
      </c>
      <c r="D623" s="361" t="s">
        <v>80</v>
      </c>
      <c r="E623" s="360" t="s">
        <v>88</v>
      </c>
      <c r="F623" s="360" t="s">
        <v>459</v>
      </c>
      <c r="G623" s="362">
        <v>46267</v>
      </c>
      <c r="H623" s="363">
        <v>4005</v>
      </c>
      <c r="I623" s="360" t="s">
        <v>175</v>
      </c>
      <c r="J623" s="364" t="str">
        <f>IFERROR(VLOOKUP(I623,Map!$F$18:$G$56,2,0),"Add in Map")</f>
        <v>3P</v>
      </c>
      <c r="K623" s="364" t="str">
        <f>VLOOKUP(L623,Map!$C$18:$D$29,2,0)</f>
        <v>PNT</v>
      </c>
      <c r="L623" s="360" t="s">
        <v>46</v>
      </c>
      <c r="M623" s="365">
        <v>110615.75973992827</v>
      </c>
      <c r="N623" s="366">
        <f t="shared" si="197"/>
        <v>0</v>
      </c>
      <c r="O623" s="366">
        <f t="shared" si="198"/>
        <v>131632.75409051465</v>
      </c>
      <c r="P623" s="367">
        <f t="shared" si="199"/>
        <v>119.71402569256306</v>
      </c>
      <c r="Q623" s="367">
        <f t="shared" si="200"/>
        <v>0</v>
      </c>
      <c r="R623" s="368">
        <f t="shared" si="201"/>
        <v>142.45969057415002</v>
      </c>
      <c r="S623" s="384">
        <f>INDEX(FX!$D$3:$O$19,MATCH(B623,FX!$B$3:$B$32,0),MATCH(D623,FX!$D$2:$O$2,0))</f>
        <v>924</v>
      </c>
      <c r="T623" s="360" t="s">
        <v>81</v>
      </c>
      <c r="U623" s="360" t="s">
        <v>155</v>
      </c>
      <c r="V623" s="360" t="s">
        <v>83</v>
      </c>
      <c r="W623" s="364" t="str">
        <f>VLOOKUP(I623,Map!$F$18:$H$51,3,0)</f>
        <v>Variable</v>
      </c>
      <c r="X623" s="370" t="s">
        <v>459</v>
      </c>
      <c r="Y623" s="364" t="str">
        <f>VLOOKUP(L623,Map!$C$18:$D$29,2,0)</f>
        <v>PNT</v>
      </c>
      <c r="Z623" s="365"/>
      <c r="AA623" s="366">
        <f t="shared" si="202"/>
        <v>0</v>
      </c>
      <c r="AB623" s="366">
        <f t="shared" si="203"/>
        <v>0</v>
      </c>
      <c r="AC623" s="367">
        <f t="shared" si="204"/>
        <v>0</v>
      </c>
      <c r="AD623" s="367">
        <f t="shared" si="205"/>
        <v>0</v>
      </c>
      <c r="AE623" s="368">
        <f t="shared" si="206"/>
        <v>0</v>
      </c>
      <c r="AF623" s="385"/>
    </row>
    <row r="624" spans="2:32" s="1" customFormat="1" ht="13" hidden="1" x14ac:dyDescent="0.3">
      <c r="B624" s="383">
        <v>2026</v>
      </c>
      <c r="C624" s="361" t="s">
        <v>464</v>
      </c>
      <c r="D624" s="361" t="s">
        <v>80</v>
      </c>
      <c r="E624" s="360" t="s">
        <v>88</v>
      </c>
      <c r="F624" s="360" t="s">
        <v>459</v>
      </c>
      <c r="G624" s="362">
        <v>46267</v>
      </c>
      <c r="H624" s="363">
        <v>4005</v>
      </c>
      <c r="I624" s="360" t="s">
        <v>175</v>
      </c>
      <c r="J624" s="364" t="str">
        <f>IFERROR(VLOOKUP(I624,Map!$F$18:$G$56,2,0),"Add in Map")</f>
        <v>3P</v>
      </c>
      <c r="K624" s="364" t="str">
        <f>VLOOKUP(L624,Map!$C$18:$D$29,2,0)</f>
        <v>GTT</v>
      </c>
      <c r="L624" s="360" t="s">
        <v>48</v>
      </c>
      <c r="M624" s="365">
        <v>151642.55604850021</v>
      </c>
      <c r="N624" s="366">
        <f t="shared" si="197"/>
        <v>0</v>
      </c>
      <c r="O624" s="366">
        <f t="shared" si="198"/>
        <v>180454.64169771524</v>
      </c>
      <c r="P624" s="367">
        <f t="shared" si="199"/>
        <v>164.11532039880976</v>
      </c>
      <c r="Q624" s="367">
        <f t="shared" si="200"/>
        <v>0</v>
      </c>
      <c r="R624" s="368">
        <f t="shared" si="201"/>
        <v>195.29723127458359</v>
      </c>
      <c r="S624" s="384">
        <f>INDEX(FX!$D$3:$O$19,MATCH(B624,FX!$B$3:$B$32,0),MATCH(D624,FX!$D$2:$O$2,0))</f>
        <v>924</v>
      </c>
      <c r="T624" s="360" t="s">
        <v>81</v>
      </c>
      <c r="U624" s="360" t="s">
        <v>155</v>
      </c>
      <c r="V624" s="360" t="s">
        <v>83</v>
      </c>
      <c r="W624" s="364" t="str">
        <f>VLOOKUP(I624,Map!$F$18:$H$51,3,0)</f>
        <v>Variable</v>
      </c>
      <c r="X624" s="370" t="s">
        <v>459</v>
      </c>
      <c r="Y624" s="364" t="str">
        <f>VLOOKUP(L624,Map!$C$18:$D$29,2,0)</f>
        <v>GTT</v>
      </c>
      <c r="Z624" s="365"/>
      <c r="AA624" s="366">
        <f t="shared" si="202"/>
        <v>0</v>
      </c>
      <c r="AB624" s="366">
        <f t="shared" si="203"/>
        <v>0</v>
      </c>
      <c r="AC624" s="367">
        <f t="shared" si="204"/>
        <v>0</v>
      </c>
      <c r="AD624" s="367">
        <f t="shared" si="205"/>
        <v>0</v>
      </c>
      <c r="AE624" s="368">
        <f t="shared" si="206"/>
        <v>0</v>
      </c>
      <c r="AF624" s="385"/>
    </row>
    <row r="625" spans="2:32" s="1" customFormat="1" ht="13" hidden="1" x14ac:dyDescent="0.3">
      <c r="B625" s="383">
        <v>2026</v>
      </c>
      <c r="C625" s="361" t="s">
        <v>464</v>
      </c>
      <c r="D625" s="361" t="s">
        <v>80</v>
      </c>
      <c r="E625" s="360" t="s">
        <v>88</v>
      </c>
      <c r="F625" s="360" t="s">
        <v>459</v>
      </c>
      <c r="G625" s="362">
        <v>46267</v>
      </c>
      <c r="H625" s="363">
        <v>4005</v>
      </c>
      <c r="I625" s="360" t="s">
        <v>175</v>
      </c>
      <c r="J625" s="364" t="str">
        <f>IFERROR(VLOOKUP(I625,Map!$F$18:$G$56,2,0),"Add in Map")</f>
        <v>3P</v>
      </c>
      <c r="K625" s="364" t="str">
        <f>VLOOKUP(L625,Map!$C$18:$D$29,2,0)</f>
        <v>DGT</v>
      </c>
      <c r="L625" s="360" t="s">
        <v>50</v>
      </c>
      <c r="M625" s="365">
        <v>0</v>
      </c>
      <c r="N625" s="366">
        <f t="shared" si="197"/>
        <v>0</v>
      </c>
      <c r="O625" s="366">
        <f t="shared" si="198"/>
        <v>0</v>
      </c>
      <c r="P625" s="367">
        <f t="shared" si="199"/>
        <v>0</v>
      </c>
      <c r="Q625" s="367">
        <f t="shared" si="200"/>
        <v>0</v>
      </c>
      <c r="R625" s="368">
        <f t="shared" si="201"/>
        <v>0</v>
      </c>
      <c r="S625" s="384">
        <f>INDEX(FX!$D$3:$O$19,MATCH(B625,FX!$B$3:$B$32,0),MATCH(D625,FX!$D$2:$O$2,0))</f>
        <v>924</v>
      </c>
      <c r="T625" s="360" t="s">
        <v>81</v>
      </c>
      <c r="U625" s="360" t="s">
        <v>155</v>
      </c>
      <c r="V625" s="360" t="s">
        <v>83</v>
      </c>
      <c r="W625" s="364" t="str">
        <f>VLOOKUP(I625,Map!$F$18:$H$51,3,0)</f>
        <v>Variable</v>
      </c>
      <c r="X625" s="370" t="s">
        <v>459</v>
      </c>
      <c r="Y625" s="364" t="str">
        <f>VLOOKUP(L625,Map!$C$18:$D$29,2,0)</f>
        <v>DGT</v>
      </c>
      <c r="Z625" s="365"/>
      <c r="AA625" s="366">
        <f t="shared" si="202"/>
        <v>0</v>
      </c>
      <c r="AB625" s="366">
        <f t="shared" si="203"/>
        <v>0</v>
      </c>
      <c r="AC625" s="367">
        <f t="shared" si="204"/>
        <v>0</v>
      </c>
      <c r="AD625" s="367">
        <f t="shared" si="205"/>
        <v>0</v>
      </c>
      <c r="AE625" s="368">
        <f t="shared" si="206"/>
        <v>0</v>
      </c>
      <c r="AF625" s="385"/>
    </row>
    <row r="626" spans="2:32" s="1" customFormat="1" ht="13" hidden="1" x14ac:dyDescent="0.3">
      <c r="B626" s="383">
        <v>2026</v>
      </c>
      <c r="C626" s="361" t="s">
        <v>464</v>
      </c>
      <c r="D626" s="361" t="s">
        <v>80</v>
      </c>
      <c r="E626" s="360" t="s">
        <v>88</v>
      </c>
      <c r="F626" s="360" t="s">
        <v>459</v>
      </c>
      <c r="G626" s="362">
        <v>46267</v>
      </c>
      <c r="H626" s="363">
        <v>4005</v>
      </c>
      <c r="I626" s="360" t="s">
        <v>175</v>
      </c>
      <c r="J626" s="364" t="str">
        <f>IFERROR(VLOOKUP(I626,Map!$F$18:$G$56,2,0),"Add in Map")</f>
        <v>3P</v>
      </c>
      <c r="K626" s="364" t="str">
        <f>VLOOKUP(L626,Map!$C$18:$D$29,2,0)</f>
        <v>DLT</v>
      </c>
      <c r="L626" s="360" t="s">
        <v>52</v>
      </c>
      <c r="M626" s="365">
        <v>0</v>
      </c>
      <c r="N626" s="366">
        <f t="shared" si="197"/>
        <v>0</v>
      </c>
      <c r="O626" s="366">
        <f t="shared" si="198"/>
        <v>0</v>
      </c>
      <c r="P626" s="367">
        <f t="shared" si="199"/>
        <v>0</v>
      </c>
      <c r="Q626" s="367">
        <f t="shared" si="200"/>
        <v>0</v>
      </c>
      <c r="R626" s="368">
        <f t="shared" si="201"/>
        <v>0</v>
      </c>
      <c r="S626" s="384">
        <f>INDEX(FX!$D$3:$O$19,MATCH(B626,FX!$B$3:$B$32,0),MATCH(D626,FX!$D$2:$O$2,0))</f>
        <v>924</v>
      </c>
      <c r="T626" s="360" t="s">
        <v>81</v>
      </c>
      <c r="U626" s="360" t="s">
        <v>155</v>
      </c>
      <c r="V626" s="360" t="s">
        <v>83</v>
      </c>
      <c r="W626" s="364" t="str">
        <f>VLOOKUP(I626,Map!$F$18:$H$51,3,0)</f>
        <v>Variable</v>
      </c>
      <c r="X626" s="370" t="s">
        <v>459</v>
      </c>
      <c r="Y626" s="364" t="str">
        <f>VLOOKUP(L626,Map!$C$18:$D$29,2,0)</f>
        <v>DLT</v>
      </c>
      <c r="Z626" s="365"/>
      <c r="AA626" s="366">
        <f t="shared" si="202"/>
        <v>0</v>
      </c>
      <c r="AB626" s="366">
        <f t="shared" si="203"/>
        <v>0</v>
      </c>
      <c r="AC626" s="367">
        <f t="shared" si="204"/>
        <v>0</v>
      </c>
      <c r="AD626" s="367">
        <f t="shared" si="205"/>
        <v>0</v>
      </c>
      <c r="AE626" s="368">
        <f t="shared" si="206"/>
        <v>0</v>
      </c>
      <c r="AF626" s="385"/>
    </row>
    <row r="627" spans="2:32" s="1" customFormat="1" ht="13" hidden="1" x14ac:dyDescent="0.3">
      <c r="B627" s="383">
        <v>2026</v>
      </c>
      <c r="C627" s="361" t="s">
        <v>464</v>
      </c>
      <c r="D627" s="361" t="s">
        <v>80</v>
      </c>
      <c r="E627" s="360" t="s">
        <v>88</v>
      </c>
      <c r="F627" s="360" t="s">
        <v>459</v>
      </c>
      <c r="G627" s="362">
        <v>46267</v>
      </c>
      <c r="H627" s="363">
        <v>4005</v>
      </c>
      <c r="I627" s="360" t="s">
        <v>175</v>
      </c>
      <c r="J627" s="364" t="str">
        <f>IFERROR(VLOOKUP(I627,Map!$F$18:$G$56,2,0),"Add in Map")</f>
        <v>3P</v>
      </c>
      <c r="K627" s="364" t="str">
        <f>VLOOKUP(L627,Map!$C$18:$D$29,2,0)</f>
        <v>DMT</v>
      </c>
      <c r="L627" s="360" t="s">
        <v>54</v>
      </c>
      <c r="M627" s="365">
        <v>0</v>
      </c>
      <c r="N627" s="366">
        <f t="shared" si="197"/>
        <v>0</v>
      </c>
      <c r="O627" s="366">
        <f t="shared" si="198"/>
        <v>0</v>
      </c>
      <c r="P627" s="386">
        <f t="shared" si="199"/>
        <v>0</v>
      </c>
      <c r="Q627" s="367">
        <f t="shared" si="200"/>
        <v>0</v>
      </c>
      <c r="R627" s="368">
        <f t="shared" si="201"/>
        <v>0</v>
      </c>
      <c r="S627" s="384">
        <f>INDEX(FX!$D$3:$O$19,MATCH(B627,FX!$B$3:$B$32,0),MATCH(D627,FX!$D$2:$O$2,0))</f>
        <v>924</v>
      </c>
      <c r="T627" s="360" t="s">
        <v>81</v>
      </c>
      <c r="U627" s="360" t="s">
        <v>155</v>
      </c>
      <c r="V627" s="360" t="s">
        <v>83</v>
      </c>
      <c r="W627" s="364" t="str">
        <f>VLOOKUP(I627,Map!$F$18:$H$51,3,0)</f>
        <v>Variable</v>
      </c>
      <c r="X627" s="370" t="s">
        <v>459</v>
      </c>
      <c r="Y627" s="364" t="str">
        <f>VLOOKUP(L627,Map!$C$18:$D$29,2,0)</f>
        <v>DMT</v>
      </c>
      <c r="Z627" s="365"/>
      <c r="AA627" s="366">
        <f t="shared" si="202"/>
        <v>0</v>
      </c>
      <c r="AB627" s="366">
        <f t="shared" si="203"/>
        <v>0</v>
      </c>
      <c r="AC627" s="386">
        <f t="shared" si="204"/>
        <v>0</v>
      </c>
      <c r="AD627" s="367">
        <f t="shared" si="205"/>
        <v>0</v>
      </c>
      <c r="AE627" s="368">
        <f t="shared" si="206"/>
        <v>0</v>
      </c>
      <c r="AF627" s="385"/>
    </row>
    <row r="628" spans="2:32" s="37" customFormat="1" hidden="1" x14ac:dyDescent="0.35">
      <c r="B628" s="387">
        <v>2026</v>
      </c>
      <c r="C628" s="389" t="s">
        <v>464</v>
      </c>
      <c r="D628" s="389" t="s">
        <v>80</v>
      </c>
      <c r="E628" s="388" t="s">
        <v>88</v>
      </c>
      <c r="F628" s="388" t="s">
        <v>459</v>
      </c>
      <c r="G628" s="390">
        <v>46267</v>
      </c>
      <c r="H628" s="391">
        <v>4005</v>
      </c>
      <c r="I628" s="388" t="s">
        <v>175</v>
      </c>
      <c r="J628" s="392" t="str">
        <f>IFERROR(VLOOKUP(I628,Map!$F$18:$G$56,2,0),"Add in Map")</f>
        <v>3P</v>
      </c>
      <c r="K628" s="392" t="str">
        <f>VLOOKUP(L628,Map!$C$18:$D$29,2,0)</f>
        <v>TOTAL</v>
      </c>
      <c r="L628" s="388" t="s">
        <v>56</v>
      </c>
      <c r="M628" s="393">
        <f>SUM(M617:M627)</f>
        <v>8932653</v>
      </c>
      <c r="N628" s="393">
        <f t="shared" si="197"/>
        <v>1697204.07</v>
      </c>
      <c r="O628" s="393">
        <f t="shared" si="198"/>
        <v>10629857.07</v>
      </c>
      <c r="P628" s="394">
        <f t="shared" si="199"/>
        <v>9667.3733766233763</v>
      </c>
      <c r="Q628" s="394">
        <f t="shared" si="200"/>
        <v>1836.8009415584415</v>
      </c>
      <c r="R628" s="395">
        <f t="shared" si="201"/>
        <v>11504.174318181816</v>
      </c>
      <c r="S628" s="396">
        <f>INDEX(FX!$D$3:$O$19,MATCH(B628,FX!$B$3:$B$32,0),MATCH(D628,FX!$D$2:$O$2,0))</f>
        <v>924</v>
      </c>
      <c r="T628" s="388" t="s">
        <v>81</v>
      </c>
      <c r="U628" s="388" t="s">
        <v>155</v>
      </c>
      <c r="V628" s="388" t="s">
        <v>83</v>
      </c>
      <c r="W628" s="392" t="str">
        <f>VLOOKUP(I628,Map!$F$18:$H$51,3,0)</f>
        <v>Variable</v>
      </c>
      <c r="X628" s="397" t="s">
        <v>459</v>
      </c>
      <c r="Y628" s="392" t="str">
        <f>VLOOKUP(L628,Map!$C$18:$D$29,2,0)</f>
        <v>TOTAL</v>
      </c>
      <c r="Z628" s="393">
        <f>SUM(Z617:Z627)</f>
        <v>0</v>
      </c>
      <c r="AA628" s="393">
        <f t="shared" si="202"/>
        <v>0</v>
      </c>
      <c r="AB628" s="393">
        <f t="shared" si="203"/>
        <v>0</v>
      </c>
      <c r="AC628" s="394">
        <f t="shared" si="204"/>
        <v>0</v>
      </c>
      <c r="AD628" s="394">
        <f t="shared" si="205"/>
        <v>0</v>
      </c>
      <c r="AE628" s="395">
        <f t="shared" si="206"/>
        <v>0</v>
      </c>
      <c r="AF628" s="398" t="s">
        <v>468</v>
      </c>
    </row>
  </sheetData>
  <autoFilter ref="B4:AF628" xr:uid="{F6E9C421-79EE-4F8D-AE0D-339DB2BA0F29}">
    <filterColumn colId="7">
      <filters>
        <filter val="MERCADO PAGO"/>
      </filters>
    </filterColumn>
  </autoFilter>
  <conditionalFormatting sqref="P1:P1048576 AC1:AC1048576">
    <cfRule type="cellIs" dxfId="1" priority="2" operator="lessThan">
      <formula>0</formula>
    </cfRule>
  </conditionalFormatting>
  <hyperlinks>
    <hyperlink ref="AF16" r:id="rId1" xr:uid="{A4C48580-32C0-492E-BEB4-09AE093F2CDD}"/>
    <hyperlink ref="AF28" r:id="rId2" xr:uid="{8C6341BF-7D0A-43FD-A1D8-D42E5E8D7E90}"/>
  </hyperlinks>
  <pageMargins left="0.7" right="0.7" top="0.75" bottom="0.75" header="0.3" footer="0.3"/>
  <customProperties>
    <customPr name="_pios_id" r:id="rId3"/>
  </customProperties>
  <ignoredErrors>
    <ignoredError sqref="M400" formulaRange="1"/>
  </ignoredErrors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1593-0F7B-4807-AD4F-B4C0CCCB2704}">
  <dimension ref="C4:G32"/>
  <sheetViews>
    <sheetView topLeftCell="D1" zoomScale="90" zoomScaleNormal="90" workbookViewId="0">
      <selection activeCell="H34" sqref="G34:H34"/>
    </sheetView>
  </sheetViews>
  <sheetFormatPr defaultRowHeight="14.5" x14ac:dyDescent="0.35"/>
  <cols>
    <col min="3" max="3" width="95" customWidth="1"/>
    <col min="4" max="4" width="12.6328125" bestFit="1" customWidth="1"/>
    <col min="5" max="5" width="9.36328125" style="501" bestFit="1" customWidth="1"/>
  </cols>
  <sheetData>
    <row r="4" spans="3:7" x14ac:dyDescent="0.35">
      <c r="C4" s="502" t="s">
        <v>418</v>
      </c>
      <c r="D4" s="503">
        <v>4887714</v>
      </c>
      <c r="E4" s="501" t="s">
        <v>419</v>
      </c>
      <c r="G4" t="s">
        <v>314</v>
      </c>
    </row>
    <row r="5" spans="3:7" x14ac:dyDescent="0.35">
      <c r="C5" s="502" t="s">
        <v>420</v>
      </c>
      <c r="D5" s="503">
        <v>4920625</v>
      </c>
      <c r="E5" s="501" t="s">
        <v>419</v>
      </c>
      <c r="G5" t="s">
        <v>314</v>
      </c>
    </row>
    <row r="6" spans="3:7" x14ac:dyDescent="0.35">
      <c r="C6" s="502" t="s">
        <v>421</v>
      </c>
      <c r="D6" s="503">
        <v>1633792</v>
      </c>
      <c r="E6" s="501" t="s">
        <v>419</v>
      </c>
      <c r="G6" t="s">
        <v>314</v>
      </c>
    </row>
    <row r="7" spans="3:7" x14ac:dyDescent="0.35">
      <c r="C7" s="502" t="s">
        <v>422</v>
      </c>
      <c r="D7" s="503">
        <v>11104183</v>
      </c>
      <c r="E7" s="501" t="s">
        <v>419</v>
      </c>
      <c r="F7" t="s">
        <v>446</v>
      </c>
    </row>
    <row r="8" spans="3:7" x14ac:dyDescent="0.35">
      <c r="C8" s="520" t="s">
        <v>423</v>
      </c>
      <c r="D8" s="521">
        <v>17265550</v>
      </c>
      <c r="E8" s="522" t="s">
        <v>482</v>
      </c>
      <c r="F8" t="s">
        <v>446</v>
      </c>
      <c r="G8" t="s">
        <v>465</v>
      </c>
    </row>
    <row r="9" spans="3:7" x14ac:dyDescent="0.35">
      <c r="C9" s="502" t="s">
        <v>424</v>
      </c>
      <c r="D9" s="503">
        <v>14355291</v>
      </c>
      <c r="E9" s="501" t="s">
        <v>419</v>
      </c>
      <c r="F9" t="s">
        <v>446</v>
      </c>
    </row>
    <row r="10" spans="3:7" x14ac:dyDescent="0.35">
      <c r="C10" s="520" t="s">
        <v>425</v>
      </c>
      <c r="D10" s="521">
        <v>16791454</v>
      </c>
      <c r="E10" s="522" t="s">
        <v>482</v>
      </c>
      <c r="F10" t="s">
        <v>446</v>
      </c>
      <c r="G10" t="s">
        <v>465</v>
      </c>
    </row>
    <row r="11" spans="3:7" x14ac:dyDescent="0.35">
      <c r="C11" s="502" t="s">
        <v>426</v>
      </c>
      <c r="D11" s="503">
        <v>34222221</v>
      </c>
      <c r="E11" s="501" t="s">
        <v>419</v>
      </c>
      <c r="F11" t="s">
        <v>446</v>
      </c>
    </row>
    <row r="12" spans="3:7" x14ac:dyDescent="0.35">
      <c r="C12" s="502" t="s">
        <v>427</v>
      </c>
      <c r="D12" s="503">
        <v>7249875</v>
      </c>
      <c r="E12" s="501" t="s">
        <v>419</v>
      </c>
      <c r="F12" t="s">
        <v>446</v>
      </c>
    </row>
    <row r="13" spans="3:7" x14ac:dyDescent="0.35">
      <c r="C13" s="520" t="s">
        <v>428</v>
      </c>
      <c r="D13" s="521">
        <v>2735581</v>
      </c>
      <c r="E13" s="522" t="s">
        <v>482</v>
      </c>
      <c r="F13" t="s">
        <v>446</v>
      </c>
      <c r="G13" t="s">
        <v>465</v>
      </c>
    </row>
    <row r="14" spans="3:7" x14ac:dyDescent="0.35">
      <c r="C14" s="502" t="s">
        <v>429</v>
      </c>
      <c r="D14" s="503">
        <v>4291111</v>
      </c>
      <c r="E14" s="501" t="s">
        <v>419</v>
      </c>
      <c r="F14" t="s">
        <v>446</v>
      </c>
    </row>
    <row r="15" spans="3:7" x14ac:dyDescent="0.35">
      <c r="C15" s="520" t="s">
        <v>430</v>
      </c>
      <c r="D15" s="521">
        <v>6558778</v>
      </c>
      <c r="E15" s="522" t="s">
        <v>482</v>
      </c>
      <c r="F15" t="s">
        <v>446</v>
      </c>
      <c r="G15" t="s">
        <v>465</v>
      </c>
    </row>
    <row r="16" spans="3:7" x14ac:dyDescent="0.35">
      <c r="C16" s="502" t="s">
        <v>431</v>
      </c>
      <c r="D16" s="503">
        <v>10173825</v>
      </c>
      <c r="E16" s="501" t="s">
        <v>419</v>
      </c>
      <c r="F16" t="s">
        <v>446</v>
      </c>
    </row>
    <row r="17" spans="3:7" x14ac:dyDescent="0.35">
      <c r="C17" s="520" t="s">
        <v>432</v>
      </c>
      <c r="D17" s="521">
        <v>9202503</v>
      </c>
      <c r="E17" s="522" t="s">
        <v>482</v>
      </c>
      <c r="F17" t="s">
        <v>446</v>
      </c>
      <c r="G17" t="s">
        <v>465</v>
      </c>
    </row>
    <row r="18" spans="3:7" x14ac:dyDescent="0.35">
      <c r="C18" s="502" t="s">
        <v>433</v>
      </c>
      <c r="D18" s="503">
        <v>5460550</v>
      </c>
      <c r="E18" s="501" t="s">
        <v>419</v>
      </c>
      <c r="F18" t="s">
        <v>446</v>
      </c>
    </row>
    <row r="19" spans="3:7" x14ac:dyDescent="0.35">
      <c r="C19" s="520" t="s">
        <v>434</v>
      </c>
      <c r="D19" s="521">
        <v>9167914</v>
      </c>
      <c r="E19" s="522" t="s">
        <v>482</v>
      </c>
      <c r="F19" t="s">
        <v>446</v>
      </c>
      <c r="G19" t="s">
        <v>465</v>
      </c>
    </row>
    <row r="20" spans="3:7" x14ac:dyDescent="0.35">
      <c r="C20" s="502" t="s">
        <v>435</v>
      </c>
      <c r="D20" s="503">
        <v>-82304998</v>
      </c>
      <c r="E20" s="501" t="s">
        <v>419</v>
      </c>
      <c r="F20" t="s">
        <v>446</v>
      </c>
    </row>
    <row r="21" spans="3:7" x14ac:dyDescent="0.35">
      <c r="C21" s="517" t="s">
        <v>436</v>
      </c>
      <c r="D21" s="518">
        <v>7255544</v>
      </c>
      <c r="E21" s="519" t="s">
        <v>457</v>
      </c>
      <c r="F21" t="s">
        <v>446</v>
      </c>
    </row>
    <row r="22" spans="3:7" x14ac:dyDescent="0.35">
      <c r="C22" s="517" t="s">
        <v>437</v>
      </c>
      <c r="D22" s="518">
        <v>5778925</v>
      </c>
      <c r="E22" s="519" t="s">
        <v>457</v>
      </c>
      <c r="F22" t="s">
        <v>446</v>
      </c>
    </row>
    <row r="23" spans="3:7" x14ac:dyDescent="0.35">
      <c r="C23" s="517" t="s">
        <v>438</v>
      </c>
      <c r="D23" s="518">
        <v>5049776</v>
      </c>
      <c r="E23" s="519" t="s">
        <v>457</v>
      </c>
      <c r="F23" t="s">
        <v>446</v>
      </c>
    </row>
    <row r="24" spans="3:7" x14ac:dyDescent="0.35">
      <c r="C24" s="502" t="s">
        <v>439</v>
      </c>
      <c r="D24" s="503">
        <v>7261731</v>
      </c>
      <c r="E24" s="501" t="s">
        <v>419</v>
      </c>
      <c r="F24" t="s">
        <v>446</v>
      </c>
    </row>
    <row r="25" spans="3:7" x14ac:dyDescent="0.35">
      <c r="C25" s="510" t="s">
        <v>440</v>
      </c>
      <c r="D25" s="515">
        <v>6122739</v>
      </c>
      <c r="E25" s="516" t="s">
        <v>481</v>
      </c>
      <c r="F25" t="s">
        <v>446</v>
      </c>
    </row>
    <row r="26" spans="3:7" x14ac:dyDescent="0.35">
      <c r="C26" s="502" t="s">
        <v>441</v>
      </c>
      <c r="D26" s="503">
        <v>203330052</v>
      </c>
      <c r="E26" s="501" t="s">
        <v>419</v>
      </c>
      <c r="F26" t="s">
        <v>446</v>
      </c>
    </row>
    <row r="27" spans="3:7" x14ac:dyDescent="0.35">
      <c r="C27" s="523" t="s">
        <v>442</v>
      </c>
      <c r="D27" s="524">
        <v>1534706</v>
      </c>
      <c r="E27" s="525" t="s">
        <v>483</v>
      </c>
      <c r="F27" s="526"/>
      <c r="G27" t="s">
        <v>447</v>
      </c>
    </row>
    <row r="28" spans="3:7" x14ac:dyDescent="0.35">
      <c r="C28" s="523" t="s">
        <v>443</v>
      </c>
      <c r="D28" s="524">
        <v>816461</v>
      </c>
      <c r="E28" s="525" t="s">
        <v>483</v>
      </c>
      <c r="F28" s="526"/>
      <c r="G28" t="s">
        <v>314</v>
      </c>
    </row>
    <row r="29" spans="3:7" x14ac:dyDescent="0.35">
      <c r="C29" s="523" t="s">
        <v>444</v>
      </c>
      <c r="D29" s="524">
        <v>816896</v>
      </c>
      <c r="E29" s="525" t="s">
        <v>483</v>
      </c>
      <c r="F29" s="526"/>
      <c r="G29" t="s">
        <v>314</v>
      </c>
    </row>
    <row r="30" spans="3:7" x14ac:dyDescent="0.35">
      <c r="C30" s="523" t="s">
        <v>445</v>
      </c>
      <c r="D30" s="524">
        <v>2378589</v>
      </c>
      <c r="E30" s="525" t="s">
        <v>483</v>
      </c>
      <c r="F30" s="526" t="s">
        <v>446</v>
      </c>
      <c r="G30" t="s">
        <v>448</v>
      </c>
    </row>
    <row r="32" spans="3:7" x14ac:dyDescent="0.35">
      <c r="C32" s="527" t="s">
        <v>484</v>
      </c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1591-EAD1-40D7-BD4B-DB90E9DAE680}">
  <sheetPr>
    <tabColor rgb="FFC00000"/>
  </sheetPr>
  <dimension ref="B1:AH25"/>
  <sheetViews>
    <sheetView zoomScale="85" zoomScaleNormal="85" workbookViewId="0">
      <pane xSplit="3" ySplit="5" topLeftCell="AC6" activePane="bottomRight" state="frozen"/>
      <selection pane="topRight" activeCell="D1" sqref="D1"/>
      <selection pane="bottomLeft" activeCell="A6" sqref="A6"/>
      <selection pane="bottomRight" activeCell="AH14" sqref="AH14"/>
    </sheetView>
  </sheetViews>
  <sheetFormatPr defaultRowHeight="10.5" x14ac:dyDescent="0.25"/>
  <cols>
    <col min="1" max="1" width="0.90625" style="345" customWidth="1"/>
    <col min="2" max="2" width="4.36328125" style="345" customWidth="1"/>
    <col min="3" max="3" width="14.36328125" style="345" customWidth="1"/>
    <col min="4" max="4" width="4.26953125" style="345" customWidth="1"/>
    <col min="5" max="5" width="5.81640625" style="345" customWidth="1"/>
    <col min="6" max="6" width="15.81640625" style="345" customWidth="1"/>
    <col min="7" max="7" width="7.1796875" style="345" customWidth="1"/>
    <col min="8" max="8" width="6.7265625" style="356" customWidth="1"/>
    <col min="9" max="9" width="20.26953125" style="356" customWidth="1"/>
    <col min="10" max="10" width="6.453125" style="345" customWidth="1"/>
    <col min="11" max="11" width="10.7265625" style="351" customWidth="1"/>
    <col min="12" max="12" width="20.1796875" style="345" customWidth="1"/>
    <col min="13" max="13" width="7.7265625" style="345" customWidth="1"/>
    <col min="14" max="14" width="7.54296875" style="345" customWidth="1"/>
    <col min="15" max="16" width="8.08984375" style="345" customWidth="1"/>
    <col min="17" max="17" width="29.54296875" style="351" customWidth="1"/>
    <col min="18" max="18" width="21.1796875" style="351" customWidth="1"/>
    <col min="19" max="19" width="14.36328125" style="351" customWidth="1"/>
    <col min="20" max="20" width="6.54296875" style="345" bestFit="1" customWidth="1"/>
    <col min="21" max="21" width="6.453125" style="345" bestFit="1" customWidth="1"/>
    <col min="22" max="22" width="26.81640625" style="351" customWidth="1"/>
    <col min="23" max="23" width="21.453125" style="351" customWidth="1"/>
    <col min="24" max="24" width="22" style="351" customWidth="1"/>
    <col min="25" max="25" width="15.26953125" style="351" customWidth="1"/>
    <col min="26" max="26" width="14" style="351" customWidth="1"/>
    <col min="27" max="27" width="14.54296875" style="351" customWidth="1"/>
    <col min="28" max="28" width="24.90625" style="351" customWidth="1"/>
    <col min="29" max="29" width="25.81640625" style="351" customWidth="1"/>
    <col min="30" max="31" width="7.6328125" style="345" bestFit="1" customWidth="1"/>
    <col min="32" max="34" width="12.08984375" style="351" customWidth="1"/>
    <col min="35" max="16384" width="8.7265625" style="345"/>
  </cols>
  <sheetData>
    <row r="1" spans="2:34" ht="9" customHeight="1" x14ac:dyDescent="0.25"/>
    <row r="2" spans="2:34" s="334" customFormat="1" x14ac:dyDescent="0.25">
      <c r="B2" s="333" t="s">
        <v>138</v>
      </c>
      <c r="C2" s="333" t="s">
        <v>138</v>
      </c>
      <c r="H2" s="352"/>
      <c r="I2" s="352"/>
      <c r="K2" s="347"/>
      <c r="Q2" s="347"/>
      <c r="R2" s="347"/>
      <c r="S2" s="347"/>
      <c r="V2" s="347"/>
      <c r="W2" s="347"/>
      <c r="X2" s="347"/>
      <c r="Y2" s="347"/>
      <c r="Z2" s="347"/>
      <c r="AA2" s="347"/>
      <c r="AB2" s="347"/>
      <c r="AC2" s="347"/>
      <c r="AF2" s="347"/>
      <c r="AG2" s="347"/>
      <c r="AH2" s="347"/>
    </row>
    <row r="3" spans="2:34" s="336" customFormat="1" x14ac:dyDescent="0.25">
      <c r="B3" s="335" t="s">
        <v>290</v>
      </c>
      <c r="C3" s="336">
        <v>1</v>
      </c>
      <c r="D3" s="336">
        <v>2</v>
      </c>
      <c r="E3" s="336">
        <v>3</v>
      </c>
      <c r="F3" s="336">
        <v>4</v>
      </c>
      <c r="G3" s="336">
        <v>5</v>
      </c>
      <c r="H3" s="353">
        <v>6</v>
      </c>
      <c r="I3" s="353">
        <v>7</v>
      </c>
      <c r="J3" s="336">
        <v>8</v>
      </c>
      <c r="K3" s="348">
        <v>9</v>
      </c>
      <c r="L3" s="336">
        <v>10</v>
      </c>
      <c r="M3" s="336">
        <v>11</v>
      </c>
      <c r="N3" s="336">
        <v>12</v>
      </c>
      <c r="O3" s="336">
        <v>13</v>
      </c>
      <c r="P3" s="336">
        <v>14</v>
      </c>
      <c r="Q3" s="348">
        <v>15</v>
      </c>
      <c r="R3" s="348">
        <v>16</v>
      </c>
      <c r="S3" s="348">
        <v>17</v>
      </c>
      <c r="T3" s="336">
        <v>18</v>
      </c>
      <c r="U3" s="336">
        <v>19</v>
      </c>
      <c r="V3" s="348">
        <v>20</v>
      </c>
      <c r="W3" s="348">
        <v>21</v>
      </c>
      <c r="X3" s="348">
        <v>22</v>
      </c>
      <c r="Y3" s="348">
        <v>23</v>
      </c>
      <c r="Z3" s="348">
        <v>24</v>
      </c>
      <c r="AA3" s="348">
        <v>25</v>
      </c>
      <c r="AB3" s="348">
        <v>26</v>
      </c>
      <c r="AC3" s="348">
        <v>27</v>
      </c>
      <c r="AD3" s="336">
        <v>28</v>
      </c>
      <c r="AE3" s="336">
        <v>29</v>
      </c>
      <c r="AF3" s="348">
        <v>30</v>
      </c>
      <c r="AG3" s="348">
        <v>31</v>
      </c>
      <c r="AH3" s="348">
        <v>32</v>
      </c>
    </row>
    <row r="4" spans="2:34" s="336" customFormat="1" x14ac:dyDescent="0.25">
      <c r="B4" s="335"/>
      <c r="H4" s="353"/>
      <c r="I4" s="353"/>
      <c r="K4" s="348" t="s">
        <v>332</v>
      </c>
      <c r="Q4" s="348" t="s">
        <v>334</v>
      </c>
      <c r="R4" s="348" t="s">
        <v>336</v>
      </c>
      <c r="S4" s="348" t="s">
        <v>339</v>
      </c>
      <c r="V4" s="348" t="s">
        <v>340</v>
      </c>
      <c r="W4" s="348" t="s">
        <v>342</v>
      </c>
      <c r="X4" s="348" t="s">
        <v>344</v>
      </c>
      <c r="Y4" s="348" t="s">
        <v>346</v>
      </c>
      <c r="Z4" s="348" t="s">
        <v>348</v>
      </c>
      <c r="AA4" s="348" t="s">
        <v>350</v>
      </c>
      <c r="AB4" s="348" t="s">
        <v>352</v>
      </c>
      <c r="AC4" s="348" t="s">
        <v>354</v>
      </c>
      <c r="AF4" s="348" t="s">
        <v>356</v>
      </c>
      <c r="AG4" s="348" t="s">
        <v>453</v>
      </c>
      <c r="AH4" s="348" t="s">
        <v>455</v>
      </c>
    </row>
    <row r="5" spans="2:34" s="337" customFormat="1" ht="35" customHeight="1" x14ac:dyDescent="0.35">
      <c r="C5" s="338" t="s">
        <v>4</v>
      </c>
      <c r="D5" s="338" t="s">
        <v>140</v>
      </c>
      <c r="E5" s="338" t="s">
        <v>82</v>
      </c>
      <c r="F5" s="338" t="s">
        <v>0</v>
      </c>
      <c r="G5" s="338" t="s">
        <v>320</v>
      </c>
      <c r="H5" s="354" t="s">
        <v>135</v>
      </c>
      <c r="I5" s="354" t="s">
        <v>14</v>
      </c>
      <c r="J5" s="338" t="s">
        <v>5</v>
      </c>
      <c r="K5" s="349" t="s">
        <v>333</v>
      </c>
      <c r="L5" s="338" t="s">
        <v>285</v>
      </c>
      <c r="M5" s="338" t="s">
        <v>306</v>
      </c>
      <c r="N5" s="338" t="s">
        <v>308</v>
      </c>
      <c r="O5" s="338" t="s">
        <v>11</v>
      </c>
      <c r="P5" s="338" t="s">
        <v>12</v>
      </c>
      <c r="Q5" s="349" t="s">
        <v>335</v>
      </c>
      <c r="R5" s="349" t="s">
        <v>337</v>
      </c>
      <c r="S5" s="349" t="s">
        <v>338</v>
      </c>
      <c r="T5" s="339" t="s">
        <v>126</v>
      </c>
      <c r="U5" s="338" t="s">
        <v>13</v>
      </c>
      <c r="V5" s="349" t="s">
        <v>341</v>
      </c>
      <c r="W5" s="349" t="s">
        <v>343</v>
      </c>
      <c r="X5" s="349" t="s">
        <v>345</v>
      </c>
      <c r="Y5" s="349" t="s">
        <v>347</v>
      </c>
      <c r="Z5" s="349" t="s">
        <v>349</v>
      </c>
      <c r="AA5" s="349" t="s">
        <v>351</v>
      </c>
      <c r="AB5" s="349" t="s">
        <v>353</v>
      </c>
      <c r="AC5" s="349" t="s">
        <v>355</v>
      </c>
      <c r="AD5" s="339" t="s">
        <v>288</v>
      </c>
      <c r="AE5" s="339" t="s">
        <v>289</v>
      </c>
      <c r="AF5" s="349" t="s">
        <v>454</v>
      </c>
      <c r="AG5" s="349" t="s">
        <v>357</v>
      </c>
      <c r="AH5" s="349" t="s">
        <v>456</v>
      </c>
    </row>
    <row r="6" spans="2:34" s="340" customFormat="1" ht="39" customHeight="1" x14ac:dyDescent="0.35">
      <c r="C6" s="341" t="s">
        <v>29</v>
      </c>
      <c r="D6" s="341">
        <v>33</v>
      </c>
      <c r="E6" s="341" t="s">
        <v>83</v>
      </c>
      <c r="F6" s="341" t="s">
        <v>1</v>
      </c>
      <c r="G6" s="341" t="s">
        <v>17</v>
      </c>
      <c r="H6" s="355" t="s">
        <v>284</v>
      </c>
      <c r="I6" s="355" t="s">
        <v>452</v>
      </c>
      <c r="J6" s="341" t="str">
        <f>VLOOKUP(C6,Map!$F$16:$J$35,5,0)</f>
        <v>CL004831</v>
      </c>
      <c r="K6" s="350"/>
      <c r="L6" s="341" t="s">
        <v>470</v>
      </c>
      <c r="M6" s="341"/>
      <c r="N6" s="341"/>
      <c r="O6" s="341">
        <v>21117701</v>
      </c>
      <c r="P6" s="341">
        <f>VLOOKUP(C6,Map!$F$18:$I$30,4,0)</f>
        <v>20168</v>
      </c>
      <c r="Q6" s="350" t="s">
        <v>321</v>
      </c>
      <c r="R6" s="350" t="s">
        <v>286</v>
      </c>
      <c r="S6" s="350" t="s">
        <v>287</v>
      </c>
      <c r="T6" s="342" t="s">
        <v>15</v>
      </c>
      <c r="U6" s="341">
        <f>VLOOKUP(C6,Map!$F$17:$K$38,6,0)</f>
        <v>51357755</v>
      </c>
      <c r="V6" s="350" t="s">
        <v>292</v>
      </c>
      <c r="W6" s="350" t="s">
        <v>293</v>
      </c>
      <c r="X6" s="350" t="s">
        <v>294</v>
      </c>
      <c r="Y6" s="350" t="s">
        <v>295</v>
      </c>
      <c r="Z6" s="350" t="s">
        <v>302</v>
      </c>
      <c r="AA6" s="350" t="s">
        <v>297</v>
      </c>
      <c r="AB6" s="350" t="s">
        <v>296</v>
      </c>
      <c r="AC6" s="350" t="s">
        <v>298</v>
      </c>
      <c r="AD6" s="342" t="str">
        <f t="shared" ref="AD6:AD15" si="0">J6</f>
        <v>CL004831</v>
      </c>
      <c r="AE6" s="342" t="str">
        <f t="shared" ref="AE6:AE15" si="1">T6</f>
        <v>CLIDD19</v>
      </c>
      <c r="AF6" s="350" t="s">
        <v>454</v>
      </c>
      <c r="AG6" s="350" t="s">
        <v>299</v>
      </c>
      <c r="AH6" s="350" t="s">
        <v>456</v>
      </c>
    </row>
    <row r="7" spans="2:34" s="340" customFormat="1" ht="39" customHeight="1" x14ac:dyDescent="0.35">
      <c r="C7" s="341" t="s">
        <v>29</v>
      </c>
      <c r="D7" s="341">
        <v>61</v>
      </c>
      <c r="E7" s="341" t="s">
        <v>93</v>
      </c>
      <c r="F7" s="341" t="s">
        <v>1</v>
      </c>
      <c r="G7" s="341" t="s">
        <v>17</v>
      </c>
      <c r="H7" s="355" t="s">
        <v>284</v>
      </c>
      <c r="I7" s="355" t="s">
        <v>452</v>
      </c>
      <c r="J7" s="341" t="str">
        <f>VLOOKUP(C7,Map!$F$16:$J$35,5,0)</f>
        <v>CL004831</v>
      </c>
      <c r="K7" s="350"/>
      <c r="L7" s="341" t="s">
        <v>470</v>
      </c>
      <c r="M7" s="341"/>
      <c r="N7" s="341"/>
      <c r="O7" s="341">
        <v>21117701</v>
      </c>
      <c r="P7" s="341">
        <f>VLOOKUP(C7,Map!$F$18:$I$30,4,0)</f>
        <v>20168</v>
      </c>
      <c r="Q7" s="350" t="s">
        <v>322</v>
      </c>
      <c r="R7" s="350" t="s">
        <v>324</v>
      </c>
      <c r="S7" s="350" t="s">
        <v>287</v>
      </c>
      <c r="T7" s="342" t="s">
        <v>15</v>
      </c>
      <c r="U7" s="341">
        <f>VLOOKUP(C7,Map!$F$17:$K$38,6,0)</f>
        <v>51357755</v>
      </c>
      <c r="V7" s="350" t="s">
        <v>326</v>
      </c>
      <c r="W7" s="350" t="s">
        <v>293</v>
      </c>
      <c r="X7" s="350" t="s">
        <v>294</v>
      </c>
      <c r="Y7" s="350" t="s">
        <v>295</v>
      </c>
      <c r="Z7" s="350" t="s">
        <v>302</v>
      </c>
      <c r="AA7" s="350" t="s">
        <v>297</v>
      </c>
      <c r="AB7" s="350" t="s">
        <v>330</v>
      </c>
      <c r="AC7" s="350" t="s">
        <v>331</v>
      </c>
      <c r="AD7" s="342" t="str">
        <f t="shared" si="0"/>
        <v>CL004831</v>
      </c>
      <c r="AE7" s="342" t="str">
        <f t="shared" si="1"/>
        <v>CLIDD19</v>
      </c>
      <c r="AF7" s="350" t="s">
        <v>454</v>
      </c>
      <c r="AG7" s="350" t="s">
        <v>299</v>
      </c>
      <c r="AH7" s="350" t="s">
        <v>456</v>
      </c>
    </row>
    <row r="8" spans="2:34" s="340" customFormat="1" ht="39" customHeight="1" x14ac:dyDescent="0.35">
      <c r="C8" s="341" t="s">
        <v>29</v>
      </c>
      <c r="D8" s="341"/>
      <c r="E8" s="341" t="s">
        <v>303</v>
      </c>
      <c r="F8" s="341" t="s">
        <v>1</v>
      </c>
      <c r="G8" s="341" t="s">
        <v>17</v>
      </c>
      <c r="H8" s="355" t="s">
        <v>284</v>
      </c>
      <c r="I8" s="355" t="s">
        <v>452</v>
      </c>
      <c r="J8" s="341" t="str">
        <f>VLOOKUP(C8,Map!$F$16:$J$35,5,0)</f>
        <v>CL004831</v>
      </c>
      <c r="K8" s="350"/>
      <c r="L8" s="341" t="s">
        <v>470</v>
      </c>
      <c r="M8" s="341"/>
      <c r="N8" s="341"/>
      <c r="O8" s="341">
        <v>21117701</v>
      </c>
      <c r="P8" s="341">
        <f>VLOOKUP(C8,Map!$F$18:$I$30,4,0)</f>
        <v>20168</v>
      </c>
      <c r="Q8" s="350" t="s">
        <v>291</v>
      </c>
      <c r="R8" s="350" t="s">
        <v>286</v>
      </c>
      <c r="S8" s="350" t="s">
        <v>287</v>
      </c>
      <c r="T8" s="342" t="s">
        <v>15</v>
      </c>
      <c r="U8" s="341">
        <f>VLOOKUP(C8,Map!$F$17:$K$38,6,0)</f>
        <v>51357755</v>
      </c>
      <c r="V8" s="350" t="s">
        <v>292</v>
      </c>
      <c r="W8" s="350" t="s">
        <v>293</v>
      </c>
      <c r="X8" s="350" t="s">
        <v>294</v>
      </c>
      <c r="Y8" s="350" t="s">
        <v>295</v>
      </c>
      <c r="Z8" s="350" t="s">
        <v>302</v>
      </c>
      <c r="AA8" s="350" t="s">
        <v>297</v>
      </c>
      <c r="AB8" s="350" t="s">
        <v>296</v>
      </c>
      <c r="AC8" s="350" t="s">
        <v>298</v>
      </c>
      <c r="AD8" s="342" t="str">
        <f t="shared" si="0"/>
        <v>CL004831</v>
      </c>
      <c r="AE8" s="342" t="str">
        <f t="shared" si="1"/>
        <v>CLIDD19</v>
      </c>
      <c r="AF8" s="350" t="s">
        <v>454</v>
      </c>
      <c r="AG8" s="350" t="s">
        <v>299</v>
      </c>
      <c r="AH8" s="350" t="s">
        <v>456</v>
      </c>
    </row>
    <row r="9" spans="2:34" s="343" customFormat="1" ht="39" customHeight="1" x14ac:dyDescent="0.35">
      <c r="C9" s="341" t="s">
        <v>148</v>
      </c>
      <c r="D9" s="341">
        <v>33</v>
      </c>
      <c r="E9" s="341" t="s">
        <v>83</v>
      </c>
      <c r="F9" s="341" t="s">
        <v>1</v>
      </c>
      <c r="G9" s="341" t="s">
        <v>17</v>
      </c>
      <c r="H9" s="355" t="s">
        <v>284</v>
      </c>
      <c r="I9" s="355" t="s">
        <v>452</v>
      </c>
      <c r="J9" s="341" t="str">
        <f>VLOOKUP(C9,Map!$F$16:$J$35,5,0)</f>
        <v>CL004915</v>
      </c>
      <c r="K9" s="350"/>
      <c r="L9" s="341" t="s">
        <v>471</v>
      </c>
      <c r="M9" s="341"/>
      <c r="N9" s="341"/>
      <c r="O9" s="341">
        <v>21117701</v>
      </c>
      <c r="P9" s="341">
        <f>VLOOKUP(C9,Map!$F$18:$I$30,4,0)</f>
        <v>20169</v>
      </c>
      <c r="Q9" s="350" t="s">
        <v>291</v>
      </c>
      <c r="R9" s="350" t="s">
        <v>286</v>
      </c>
      <c r="S9" s="350" t="s">
        <v>287</v>
      </c>
      <c r="T9" s="342" t="s">
        <v>15</v>
      </c>
      <c r="U9" s="341">
        <f>VLOOKUP(C9,Map!$F$17:$K$38,6,0)</f>
        <v>51357755</v>
      </c>
      <c r="V9" s="350" t="s">
        <v>292</v>
      </c>
      <c r="W9" s="350" t="s">
        <v>293</v>
      </c>
      <c r="X9" s="350" t="s">
        <v>294</v>
      </c>
      <c r="Y9" s="350" t="s">
        <v>295</v>
      </c>
      <c r="Z9" s="350" t="s">
        <v>302</v>
      </c>
      <c r="AA9" s="350" t="s">
        <v>297</v>
      </c>
      <c r="AB9" s="350" t="s">
        <v>296</v>
      </c>
      <c r="AC9" s="350" t="s">
        <v>298</v>
      </c>
      <c r="AD9" s="342" t="str">
        <f t="shared" si="0"/>
        <v>CL004915</v>
      </c>
      <c r="AE9" s="342" t="str">
        <f t="shared" si="1"/>
        <v>CLIDD19</v>
      </c>
      <c r="AF9" s="350" t="s">
        <v>454</v>
      </c>
      <c r="AG9" s="350" t="s">
        <v>299</v>
      </c>
      <c r="AH9" s="350" t="s">
        <v>456</v>
      </c>
    </row>
    <row r="10" spans="2:34" s="343" customFormat="1" ht="39" customHeight="1" x14ac:dyDescent="0.35">
      <c r="C10" s="341" t="s">
        <v>147</v>
      </c>
      <c r="D10" s="341">
        <v>33</v>
      </c>
      <c r="E10" s="341" t="s">
        <v>83</v>
      </c>
      <c r="F10" s="341" t="s">
        <v>1</v>
      </c>
      <c r="G10" s="341" t="s">
        <v>17</v>
      </c>
      <c r="H10" s="355" t="s">
        <v>284</v>
      </c>
      <c r="I10" s="355" t="s">
        <v>452</v>
      </c>
      <c r="J10" s="341" t="str">
        <f>VLOOKUP(C10,Map!$F$16:$J$35,5,0)</f>
        <v>CL004915</v>
      </c>
      <c r="K10" s="350"/>
      <c r="L10" s="341" t="s">
        <v>472</v>
      </c>
      <c r="M10" s="341"/>
      <c r="N10" s="341"/>
      <c r="O10" s="341">
        <v>21117701</v>
      </c>
      <c r="P10" s="341">
        <f>VLOOKUP(C10,Map!$F$18:$I$30,4,0)</f>
        <v>20170</v>
      </c>
      <c r="Q10" s="350" t="s">
        <v>291</v>
      </c>
      <c r="R10" s="350" t="s">
        <v>286</v>
      </c>
      <c r="S10" s="350" t="s">
        <v>287</v>
      </c>
      <c r="T10" s="342" t="s">
        <v>15</v>
      </c>
      <c r="U10" s="341">
        <f>VLOOKUP(C10,Map!$F$17:$K$38,6,0)</f>
        <v>51357755</v>
      </c>
      <c r="V10" s="350" t="s">
        <v>292</v>
      </c>
      <c r="W10" s="350" t="s">
        <v>293</v>
      </c>
      <c r="X10" s="350" t="s">
        <v>294</v>
      </c>
      <c r="Y10" s="350" t="s">
        <v>295</v>
      </c>
      <c r="Z10" s="350" t="s">
        <v>302</v>
      </c>
      <c r="AA10" s="350" t="s">
        <v>297</v>
      </c>
      <c r="AB10" s="350" t="s">
        <v>296</v>
      </c>
      <c r="AC10" s="350" t="s">
        <v>298</v>
      </c>
      <c r="AD10" s="342" t="str">
        <f t="shared" si="0"/>
        <v>CL004915</v>
      </c>
      <c r="AE10" s="342" t="str">
        <f t="shared" si="1"/>
        <v>CLIDD19</v>
      </c>
      <c r="AF10" s="350" t="s">
        <v>454</v>
      </c>
      <c r="AG10" s="350" t="s">
        <v>299</v>
      </c>
      <c r="AH10" s="350" t="s">
        <v>456</v>
      </c>
    </row>
    <row r="11" spans="2:34" s="343" customFormat="1" ht="39" customHeight="1" x14ac:dyDescent="0.35">
      <c r="C11" s="341" t="s">
        <v>175</v>
      </c>
      <c r="D11" s="341">
        <v>33</v>
      </c>
      <c r="E11" s="341" t="s">
        <v>83</v>
      </c>
      <c r="F11" s="341" t="s">
        <v>1</v>
      </c>
      <c r="G11" s="341" t="s">
        <v>17</v>
      </c>
      <c r="H11" s="355" t="s">
        <v>284</v>
      </c>
      <c r="I11" s="355" t="s">
        <v>452</v>
      </c>
      <c r="J11" s="341" t="str">
        <f>VLOOKUP(C11,Map!$F$16:$J$35,5,0)</f>
        <v>CL004915</v>
      </c>
      <c r="K11" s="350"/>
      <c r="L11" s="341" t="s">
        <v>473</v>
      </c>
      <c r="M11" s="341"/>
      <c r="N11" s="341"/>
      <c r="O11" s="341">
        <v>21117701</v>
      </c>
      <c r="P11" s="341">
        <f>VLOOKUP(C11,Map!$F$18:$I$30,4,0)</f>
        <v>20171</v>
      </c>
      <c r="Q11" s="350" t="s">
        <v>291</v>
      </c>
      <c r="R11" s="350" t="s">
        <v>286</v>
      </c>
      <c r="S11" s="350" t="s">
        <v>287</v>
      </c>
      <c r="T11" s="342" t="s">
        <v>15</v>
      </c>
      <c r="U11" s="341">
        <f>VLOOKUP(C11,Map!$F$17:$K$38,6,0)</f>
        <v>51357755</v>
      </c>
      <c r="V11" s="350" t="s">
        <v>292</v>
      </c>
      <c r="W11" s="350" t="s">
        <v>293</v>
      </c>
      <c r="X11" s="350" t="s">
        <v>294</v>
      </c>
      <c r="Y11" s="350" t="s">
        <v>295</v>
      </c>
      <c r="Z11" s="350" t="s">
        <v>302</v>
      </c>
      <c r="AA11" s="350" t="s">
        <v>297</v>
      </c>
      <c r="AB11" s="350" t="s">
        <v>296</v>
      </c>
      <c r="AC11" s="350" t="s">
        <v>298</v>
      </c>
      <c r="AD11" s="342" t="str">
        <f t="shared" si="0"/>
        <v>CL004915</v>
      </c>
      <c r="AE11" s="342" t="str">
        <f t="shared" si="1"/>
        <v>CLIDD19</v>
      </c>
      <c r="AF11" s="350" t="s">
        <v>454</v>
      </c>
      <c r="AG11" s="350" t="s">
        <v>299</v>
      </c>
      <c r="AH11" s="350" t="s">
        <v>456</v>
      </c>
    </row>
    <row r="12" spans="2:34" s="539" customFormat="1" ht="39" customHeight="1" x14ac:dyDescent="0.35">
      <c r="C12" s="540" t="s">
        <v>146</v>
      </c>
      <c r="D12" s="540">
        <v>33</v>
      </c>
      <c r="E12" s="540" t="s">
        <v>83</v>
      </c>
      <c r="F12" s="540" t="s">
        <v>1</v>
      </c>
      <c r="G12" s="540" t="s">
        <v>17</v>
      </c>
      <c r="H12" s="541" t="s">
        <v>284</v>
      </c>
      <c r="I12" s="541" t="s">
        <v>452</v>
      </c>
      <c r="J12" s="540" t="str">
        <f>VLOOKUP(C12,Map!$F$16:$J$35,5,0)</f>
        <v>CL003010</v>
      </c>
      <c r="K12" s="542"/>
      <c r="L12" s="540" t="s">
        <v>474</v>
      </c>
      <c r="M12" s="540"/>
      <c r="N12" s="540"/>
      <c r="O12" s="540">
        <v>21117701</v>
      </c>
      <c r="P12" s="540">
        <f>VLOOKUP(C12,Map!$F$18:$I$30,4,0)</f>
        <v>20148</v>
      </c>
      <c r="Q12" s="542" t="s">
        <v>291</v>
      </c>
      <c r="R12" s="542" t="s">
        <v>286</v>
      </c>
      <c r="S12" s="542" t="s">
        <v>287</v>
      </c>
      <c r="T12" s="543" t="s">
        <v>15</v>
      </c>
      <c r="U12" s="540">
        <f>VLOOKUP(C12,Map!$F$17:$K$38,6,0)</f>
        <v>51357755</v>
      </c>
      <c r="V12" s="542" t="s">
        <v>292</v>
      </c>
      <c r="W12" s="542" t="s">
        <v>293</v>
      </c>
      <c r="X12" s="542" t="s">
        <v>294</v>
      </c>
      <c r="Y12" s="542" t="s">
        <v>295</v>
      </c>
      <c r="Z12" s="542" t="s">
        <v>302</v>
      </c>
      <c r="AA12" s="542" t="s">
        <v>297</v>
      </c>
      <c r="AB12" s="542" t="s">
        <v>296</v>
      </c>
      <c r="AC12" s="542" t="s">
        <v>298</v>
      </c>
      <c r="AD12" s="543" t="str">
        <f t="shared" si="0"/>
        <v>CL003010</v>
      </c>
      <c r="AE12" s="543" t="str">
        <f t="shared" si="1"/>
        <v>CLIDD19</v>
      </c>
      <c r="AF12" s="542" t="s">
        <v>454</v>
      </c>
      <c r="AG12" s="542" t="s">
        <v>299</v>
      </c>
      <c r="AH12" s="542" t="s">
        <v>456</v>
      </c>
    </row>
    <row r="13" spans="2:34" s="343" customFormat="1" ht="39" customHeight="1" x14ac:dyDescent="0.35">
      <c r="C13" s="341" t="s">
        <v>146</v>
      </c>
      <c r="D13" s="341">
        <v>61</v>
      </c>
      <c r="E13" s="341" t="s">
        <v>93</v>
      </c>
      <c r="F13" s="341" t="s">
        <v>1</v>
      </c>
      <c r="G13" s="341" t="s">
        <v>17</v>
      </c>
      <c r="H13" s="355" t="s">
        <v>284</v>
      </c>
      <c r="I13" s="355" t="s">
        <v>452</v>
      </c>
      <c r="J13" s="341" t="str">
        <f>VLOOKUP(C13,Map!$F$16:$J$35,5,0)</f>
        <v>CL003010</v>
      </c>
      <c r="K13" s="350"/>
      <c r="L13" s="341" t="s">
        <v>474</v>
      </c>
      <c r="M13" s="341"/>
      <c r="N13" s="341"/>
      <c r="O13" s="341">
        <v>21117701</v>
      </c>
      <c r="P13" s="341">
        <f>VLOOKUP(C13,Map!$F$18:$I$30,4,0)</f>
        <v>20148</v>
      </c>
      <c r="Q13" s="350" t="s">
        <v>323</v>
      </c>
      <c r="R13" s="350" t="s">
        <v>325</v>
      </c>
      <c r="S13" s="350" t="s">
        <v>287</v>
      </c>
      <c r="T13" s="342" t="s">
        <v>15</v>
      </c>
      <c r="U13" s="341">
        <f>VLOOKUP(C13,Map!$F$17:$K$38,6,0)</f>
        <v>51357755</v>
      </c>
      <c r="V13" s="350" t="s">
        <v>326</v>
      </c>
      <c r="W13" s="350" t="s">
        <v>293</v>
      </c>
      <c r="X13" s="350" t="s">
        <v>294</v>
      </c>
      <c r="Y13" s="350" t="s">
        <v>295</v>
      </c>
      <c r="Z13" s="350" t="s">
        <v>302</v>
      </c>
      <c r="AA13" s="350" t="s">
        <v>297</v>
      </c>
      <c r="AB13" s="350" t="s">
        <v>330</v>
      </c>
      <c r="AC13" s="350" t="s">
        <v>331</v>
      </c>
      <c r="AD13" s="342" t="str">
        <f t="shared" si="0"/>
        <v>CL003010</v>
      </c>
      <c r="AE13" s="342" t="str">
        <f t="shared" si="1"/>
        <v>CLIDD19</v>
      </c>
      <c r="AF13" s="350" t="s">
        <v>454</v>
      </c>
      <c r="AG13" s="350" t="s">
        <v>299</v>
      </c>
      <c r="AH13" s="350" t="s">
        <v>456</v>
      </c>
    </row>
    <row r="14" spans="2:34" s="505" customFormat="1" ht="39" customHeight="1" x14ac:dyDescent="0.35">
      <c r="C14" s="506" t="s">
        <v>180</v>
      </c>
      <c r="D14" s="506">
        <v>33</v>
      </c>
      <c r="E14" s="506" t="s">
        <v>83</v>
      </c>
      <c r="F14" s="506" t="s">
        <v>1</v>
      </c>
      <c r="G14" s="506" t="s">
        <v>17</v>
      </c>
      <c r="H14" s="507" t="s">
        <v>284</v>
      </c>
      <c r="I14" s="507" t="s">
        <v>452</v>
      </c>
      <c r="J14" s="506" t="str">
        <f>VLOOKUP(C14,Map!$F$16:$J$35,5,0)</f>
        <v>CL005108</v>
      </c>
      <c r="K14" s="508"/>
      <c r="L14" s="506" t="s">
        <v>469</v>
      </c>
      <c r="M14" s="506"/>
      <c r="N14" s="506"/>
      <c r="O14" s="506">
        <v>21117701</v>
      </c>
      <c r="P14" s="506">
        <f>VLOOKUP(C14,Map!$F$18:$I$30,4,0)</f>
        <v>20148</v>
      </c>
      <c r="Q14" s="508" t="s">
        <v>291</v>
      </c>
      <c r="R14" s="508" t="s">
        <v>286</v>
      </c>
      <c r="S14" s="508" t="s">
        <v>287</v>
      </c>
      <c r="T14" s="509" t="s">
        <v>15</v>
      </c>
      <c r="U14" s="506">
        <f>VLOOKUP(C14,Map!$F$17:$K$38,6,0)</f>
        <v>51357755</v>
      </c>
      <c r="V14" s="508" t="s">
        <v>292</v>
      </c>
      <c r="W14" s="508" t="s">
        <v>293</v>
      </c>
      <c r="X14" s="508" t="s">
        <v>294</v>
      </c>
      <c r="Y14" s="508" t="s">
        <v>295</v>
      </c>
      <c r="Z14" s="508" t="s">
        <v>302</v>
      </c>
      <c r="AA14" s="508" t="s">
        <v>297</v>
      </c>
      <c r="AB14" s="508" t="s">
        <v>296</v>
      </c>
      <c r="AC14" s="508" t="s">
        <v>298</v>
      </c>
      <c r="AD14" s="509" t="str">
        <f t="shared" si="0"/>
        <v>CL005108</v>
      </c>
      <c r="AE14" s="509" t="str">
        <f t="shared" si="1"/>
        <v>CLIDD19</v>
      </c>
      <c r="AF14" s="508" t="s">
        <v>454</v>
      </c>
      <c r="AG14" s="508" t="s">
        <v>299</v>
      </c>
      <c r="AH14" s="508" t="s">
        <v>456</v>
      </c>
    </row>
    <row r="15" spans="2:34" s="343" customFormat="1" ht="39" customHeight="1" x14ac:dyDescent="0.35">
      <c r="C15" s="341" t="s">
        <v>180</v>
      </c>
      <c r="D15" s="341">
        <v>61</v>
      </c>
      <c r="E15" s="341" t="s">
        <v>93</v>
      </c>
      <c r="F15" s="341" t="s">
        <v>1</v>
      </c>
      <c r="G15" s="341" t="s">
        <v>17</v>
      </c>
      <c r="H15" s="355" t="s">
        <v>284</v>
      </c>
      <c r="I15" s="355" t="s">
        <v>452</v>
      </c>
      <c r="J15" s="341" t="str">
        <f>VLOOKUP(C15,Map!$F$16:$J$35,5,0)</f>
        <v>CL005108</v>
      </c>
      <c r="K15" s="350"/>
      <c r="L15" s="341" t="s">
        <v>469</v>
      </c>
      <c r="M15" s="341"/>
      <c r="N15" s="341"/>
      <c r="O15" s="341">
        <v>21117701</v>
      </c>
      <c r="P15" s="341">
        <f>VLOOKUP(C15,Map!$F$18:$I$30,4,0)</f>
        <v>20148</v>
      </c>
      <c r="Q15" s="350" t="s">
        <v>323</v>
      </c>
      <c r="R15" s="350" t="s">
        <v>325</v>
      </c>
      <c r="S15" s="350" t="s">
        <v>287</v>
      </c>
      <c r="T15" s="342" t="s">
        <v>15</v>
      </c>
      <c r="U15" s="341">
        <f>VLOOKUP(C15,Map!$F$17:$K$38,6,0)</f>
        <v>51357755</v>
      </c>
      <c r="V15" s="350" t="s">
        <v>326</v>
      </c>
      <c r="W15" s="350" t="s">
        <v>293</v>
      </c>
      <c r="X15" s="350" t="s">
        <v>294</v>
      </c>
      <c r="Y15" s="350" t="s">
        <v>295</v>
      </c>
      <c r="Z15" s="350" t="s">
        <v>302</v>
      </c>
      <c r="AA15" s="350" t="s">
        <v>297</v>
      </c>
      <c r="AB15" s="350" t="s">
        <v>330</v>
      </c>
      <c r="AC15" s="350" t="s">
        <v>331</v>
      </c>
      <c r="AD15" s="342" t="str">
        <f t="shared" si="0"/>
        <v>CL005108</v>
      </c>
      <c r="AE15" s="342" t="str">
        <f t="shared" si="1"/>
        <v>CLIDD19</v>
      </c>
      <c r="AF15" s="350" t="s">
        <v>454</v>
      </c>
      <c r="AG15" s="350" t="s">
        <v>299</v>
      </c>
      <c r="AH15" s="350" t="s">
        <v>456</v>
      </c>
    </row>
    <row r="16" spans="2:34" s="343" customFormat="1" ht="39" customHeight="1" x14ac:dyDescent="0.35">
      <c r="C16" s="341" t="s">
        <v>315</v>
      </c>
      <c r="D16" s="341">
        <v>33</v>
      </c>
      <c r="E16" s="341" t="s">
        <v>83</v>
      </c>
      <c r="F16" s="341" t="s">
        <v>304</v>
      </c>
      <c r="G16" s="341" t="s">
        <v>17</v>
      </c>
      <c r="H16" s="355" t="s">
        <v>284</v>
      </c>
      <c r="I16" s="355" t="s">
        <v>452</v>
      </c>
      <c r="J16" s="341" t="str">
        <f>VLOOKUP(C16,Map!$F$16:$J$35,5,0)</f>
        <v>CL004879</v>
      </c>
      <c r="K16" s="350" t="s">
        <v>305</v>
      </c>
      <c r="L16" s="341" t="s">
        <v>475</v>
      </c>
      <c r="M16" s="341" t="s">
        <v>307</v>
      </c>
      <c r="N16" s="341" t="s">
        <v>309</v>
      </c>
      <c r="O16" s="341"/>
      <c r="P16" s="341">
        <f>VLOOKUP(C16,Map!$F$18:$I$30,4,0)</f>
        <v>20148</v>
      </c>
      <c r="Q16" s="350" t="s">
        <v>291</v>
      </c>
      <c r="R16" s="350" t="s">
        <v>310</v>
      </c>
      <c r="S16" s="350"/>
      <c r="T16" s="342"/>
      <c r="U16" s="341">
        <f>VLOOKUP(C16,Map!$F$17:$K$38,6,0)</f>
        <v>51357755</v>
      </c>
      <c r="V16" s="350" t="s">
        <v>327</v>
      </c>
      <c r="W16" s="350" t="s">
        <v>328</v>
      </c>
      <c r="X16" s="350" t="s">
        <v>329</v>
      </c>
      <c r="Y16" s="350"/>
      <c r="Z16" s="350" t="s">
        <v>311</v>
      </c>
      <c r="AA16" s="357"/>
      <c r="AB16" s="357"/>
      <c r="AC16" s="357"/>
      <c r="AD16" s="344"/>
      <c r="AE16" s="344"/>
      <c r="AF16" s="350" t="s">
        <v>454</v>
      </c>
      <c r="AG16" s="350" t="s">
        <v>299</v>
      </c>
      <c r="AH16" s="350" t="s">
        <v>456</v>
      </c>
    </row>
    <row r="17" spans="3:34" s="343" customFormat="1" ht="39" customHeight="1" x14ac:dyDescent="0.35">
      <c r="C17" s="341" t="s">
        <v>317</v>
      </c>
      <c r="D17" s="341">
        <v>33</v>
      </c>
      <c r="E17" s="341" t="s">
        <v>83</v>
      </c>
      <c r="F17" s="341" t="s">
        <v>316</v>
      </c>
      <c r="G17" s="341" t="s">
        <v>17</v>
      </c>
      <c r="H17" s="355" t="s">
        <v>284</v>
      </c>
      <c r="I17" s="355" t="s">
        <v>452</v>
      </c>
      <c r="J17" s="341" t="str">
        <f>VLOOKUP(C17,Map!$F$16:$J$50,5,0)</f>
        <v>CL004879</v>
      </c>
      <c r="K17" s="350" t="s">
        <v>305</v>
      </c>
      <c r="L17" s="341" t="s">
        <v>476</v>
      </c>
      <c r="M17" s="341" t="s">
        <v>2</v>
      </c>
      <c r="N17" s="341" t="s">
        <v>309</v>
      </c>
      <c r="O17" s="341"/>
      <c r="P17" s="341">
        <f>VLOOKUP(C17,Map!$F$18:$I$30,4,0)</f>
        <v>20148</v>
      </c>
      <c r="Q17" s="350" t="s">
        <v>291</v>
      </c>
      <c r="R17" s="350" t="s">
        <v>319</v>
      </c>
      <c r="S17" s="350"/>
      <c r="T17" s="342"/>
      <c r="U17" s="341">
        <f>VLOOKUP(C17,Map!$F$17:$K$38,6,0)</f>
        <v>51351103</v>
      </c>
      <c r="V17" s="350" t="s">
        <v>327</v>
      </c>
      <c r="W17" s="350" t="s">
        <v>328</v>
      </c>
      <c r="X17" s="350" t="s">
        <v>329</v>
      </c>
      <c r="Y17" s="350"/>
      <c r="Z17" s="350" t="s">
        <v>311</v>
      </c>
      <c r="AA17" s="357"/>
      <c r="AB17" s="357"/>
      <c r="AC17" s="357"/>
      <c r="AD17" s="344"/>
      <c r="AE17" s="344"/>
      <c r="AF17" s="350" t="s">
        <v>454</v>
      </c>
      <c r="AG17" s="350" t="s">
        <v>299</v>
      </c>
      <c r="AH17" s="350" t="s">
        <v>456</v>
      </c>
    </row>
    <row r="18" spans="3:34" s="343" customFormat="1" ht="39" customHeight="1" x14ac:dyDescent="0.35">
      <c r="C18" s="341" t="s">
        <v>312</v>
      </c>
      <c r="D18" s="341">
        <v>33</v>
      </c>
      <c r="E18" s="341" t="s">
        <v>83</v>
      </c>
      <c r="F18" s="341" t="s">
        <v>304</v>
      </c>
      <c r="G18" s="341" t="s">
        <v>17</v>
      </c>
      <c r="H18" s="355" t="s">
        <v>284</v>
      </c>
      <c r="I18" s="355" t="s">
        <v>452</v>
      </c>
      <c r="J18" s="341" t="str">
        <f>VLOOKUP(C18,Map!$F$16:$J$50,5,0)</f>
        <v>CL004879</v>
      </c>
      <c r="K18" s="350" t="s">
        <v>305</v>
      </c>
      <c r="L18" s="341" t="s">
        <v>477</v>
      </c>
      <c r="M18" s="341" t="s">
        <v>307</v>
      </c>
      <c r="N18" s="341" t="s">
        <v>309</v>
      </c>
      <c r="O18" s="341"/>
      <c r="P18" s="341">
        <f>VLOOKUP(C18,Map!$F$18:$I$30,4,0)</f>
        <v>20148</v>
      </c>
      <c r="Q18" s="350" t="s">
        <v>291</v>
      </c>
      <c r="R18" s="350" t="s">
        <v>319</v>
      </c>
      <c r="S18" s="350"/>
      <c r="T18" s="342"/>
      <c r="U18" s="341">
        <f>VLOOKUP(C18,Map!$F$17:$K$38,6,0)</f>
        <v>51351105</v>
      </c>
      <c r="V18" s="350" t="s">
        <v>327</v>
      </c>
      <c r="W18" s="350" t="s">
        <v>328</v>
      </c>
      <c r="X18" s="350" t="s">
        <v>329</v>
      </c>
      <c r="Y18" s="350"/>
      <c r="Z18" s="350" t="s">
        <v>311</v>
      </c>
      <c r="AA18" s="357"/>
      <c r="AB18" s="357"/>
      <c r="AC18" s="357"/>
      <c r="AD18" s="344"/>
      <c r="AE18" s="344"/>
      <c r="AF18" s="350" t="s">
        <v>454</v>
      </c>
      <c r="AG18" s="350" t="s">
        <v>299</v>
      </c>
      <c r="AH18" s="350" t="s">
        <v>456</v>
      </c>
    </row>
    <row r="19" spans="3:34" s="343" customFormat="1" ht="39" customHeight="1" x14ac:dyDescent="0.35">
      <c r="C19" s="341" t="s">
        <v>313</v>
      </c>
      <c r="D19" s="341">
        <v>33</v>
      </c>
      <c r="E19" s="341" t="s">
        <v>83</v>
      </c>
      <c r="F19" s="341" t="s">
        <v>316</v>
      </c>
      <c r="G19" s="341" t="s">
        <v>17</v>
      </c>
      <c r="H19" s="355" t="s">
        <v>284</v>
      </c>
      <c r="I19" s="355" t="s">
        <v>452</v>
      </c>
      <c r="J19" s="341" t="str">
        <f>VLOOKUP(C19,Map!$F$16:$J$50,5,0)</f>
        <v>CL004915</v>
      </c>
      <c r="K19" s="350" t="s">
        <v>305</v>
      </c>
      <c r="L19" s="341" t="s">
        <v>478</v>
      </c>
      <c r="M19" s="341" t="s">
        <v>3</v>
      </c>
      <c r="N19" s="341" t="s">
        <v>309</v>
      </c>
      <c r="O19" s="341"/>
      <c r="P19" s="341">
        <f>VLOOKUP(C19,Map!$F$18:$I$30,4,0)</f>
        <v>20167</v>
      </c>
      <c r="Q19" s="350" t="s">
        <v>291</v>
      </c>
      <c r="R19" s="350" t="s">
        <v>319</v>
      </c>
      <c r="S19" s="350"/>
      <c r="T19" s="342"/>
      <c r="U19" s="341">
        <f>VLOOKUP(C19,Map!$F$17:$K$38,6,0)</f>
        <v>51351105</v>
      </c>
      <c r="V19" s="350" t="s">
        <v>327</v>
      </c>
      <c r="W19" s="350" t="s">
        <v>328</v>
      </c>
      <c r="X19" s="350" t="s">
        <v>329</v>
      </c>
      <c r="Y19" s="350"/>
      <c r="Z19" s="350" t="s">
        <v>311</v>
      </c>
      <c r="AA19" s="357"/>
      <c r="AB19" s="357"/>
      <c r="AC19" s="357"/>
      <c r="AD19" s="344"/>
      <c r="AE19" s="344"/>
      <c r="AF19" s="350" t="s">
        <v>454</v>
      </c>
      <c r="AG19" s="350" t="s">
        <v>299</v>
      </c>
      <c r="AH19" s="350" t="s">
        <v>456</v>
      </c>
    </row>
    <row r="21" spans="3:34" x14ac:dyDescent="0.25">
      <c r="L21" s="346"/>
      <c r="M21" s="346"/>
      <c r="N21" s="346"/>
    </row>
    <row r="25" spans="3:34" x14ac:dyDescent="0.25">
      <c r="F25" s="345" t="s">
        <v>358</v>
      </c>
    </row>
  </sheetData>
  <pageMargins left="0.7" right="0.7" top="0.75" bottom="0.75" header="0.3" footer="0.3"/>
  <headerFooter>
    <oddHeader>&amp;C&amp;"Aptos"&amp;12&amp;K000000 LGE Internal Use Only&amp;1#_x000D_</oddHeader>
  </headerFooter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A94A-D5CF-42F3-9B3E-846CD5835CC6}">
  <sheetPr>
    <tabColor theme="1" tint="4.9989318521683403E-2"/>
  </sheetPr>
  <dimension ref="A1:AB203"/>
  <sheetViews>
    <sheetView showGridLines="0" zoomScaleNormal="100" workbookViewId="0">
      <pane xSplit="4" ySplit="5" topLeftCell="E6" activePane="bottomRight" state="frozen"/>
      <selection pane="topRight" activeCell="D1" sqref="D1"/>
      <selection pane="bottomLeft" activeCell="A7" sqref="A7"/>
      <selection pane="bottomRight" activeCell="F24" sqref="F24:F34"/>
    </sheetView>
  </sheetViews>
  <sheetFormatPr defaultColWidth="8.7265625" defaultRowHeight="11.5" outlineLevelRow="1" x14ac:dyDescent="0.25"/>
  <cols>
    <col min="1" max="1" width="3.6328125" style="8" customWidth="1"/>
    <col min="2" max="2" width="4.1796875" style="8" customWidth="1"/>
    <col min="3" max="3" width="8.08984375" style="8" customWidth="1"/>
    <col min="4" max="4" width="11.54296875" style="8" bestFit="1" customWidth="1"/>
    <col min="5" max="21" width="9.90625" style="8" customWidth="1"/>
    <col min="22" max="22" width="9.90625" style="132" customWidth="1"/>
    <col min="23" max="23" width="9.90625" style="8" customWidth="1"/>
    <col min="24" max="24" width="9.90625" style="132" customWidth="1"/>
    <col min="25" max="25" width="9.90625" style="8" customWidth="1"/>
    <col min="26" max="26" width="13.6328125" style="8" bestFit="1" customWidth="1"/>
    <col min="27" max="28" width="9" style="8" customWidth="1"/>
    <col min="29" max="29" width="11.453125" style="8" bestFit="1" customWidth="1"/>
    <col min="30" max="30" width="9" style="8" bestFit="1" customWidth="1"/>
    <col min="31" max="31" width="8.81640625" style="8" bestFit="1" customWidth="1"/>
    <col min="32" max="16384" width="8.7265625" style="8"/>
  </cols>
  <sheetData>
    <row r="1" spans="1:28" x14ac:dyDescent="0.25">
      <c r="A1" s="95" t="s">
        <v>387</v>
      </c>
    </row>
    <row r="2" spans="1:28" x14ac:dyDescent="0.25">
      <c r="C2" s="95"/>
      <c r="G2" s="287"/>
    </row>
    <row r="3" spans="1:28" ht="13" x14ac:dyDescent="0.3">
      <c r="C3" s="426" t="s">
        <v>255</v>
      </c>
      <c r="D3" s="426"/>
      <c r="E3" s="426" t="s">
        <v>69</v>
      </c>
      <c r="F3" s="427" t="s">
        <v>368</v>
      </c>
    </row>
    <row r="4" spans="1:28" ht="13.5" thickBot="1" x14ac:dyDescent="0.35">
      <c r="C4" s="426" t="s">
        <v>187</v>
      </c>
      <c r="D4" s="426"/>
      <c r="E4" s="426"/>
      <c r="F4" s="428"/>
      <c r="G4" s="95" t="s">
        <v>386</v>
      </c>
    </row>
    <row r="5" spans="1:28" ht="23.15" customHeight="1" thickTop="1" thickBot="1" x14ac:dyDescent="0.3">
      <c r="C5" s="133" t="s">
        <v>23</v>
      </c>
      <c r="D5" s="134" t="s">
        <v>188</v>
      </c>
      <c r="E5" s="135" t="s">
        <v>189</v>
      </c>
      <c r="F5" s="136" t="s">
        <v>190</v>
      </c>
      <c r="G5" s="137" t="s">
        <v>191</v>
      </c>
      <c r="H5" s="137" t="s">
        <v>192</v>
      </c>
      <c r="I5" s="137" t="s">
        <v>193</v>
      </c>
      <c r="J5" s="137" t="s">
        <v>194</v>
      </c>
      <c r="K5" s="137" t="s">
        <v>195</v>
      </c>
      <c r="L5" s="137" t="s">
        <v>196</v>
      </c>
      <c r="M5" s="137" t="s">
        <v>197</v>
      </c>
      <c r="N5" s="137" t="s">
        <v>198</v>
      </c>
      <c r="O5" s="137" t="s">
        <v>199</v>
      </c>
      <c r="P5" s="137" t="s">
        <v>200</v>
      </c>
      <c r="Q5" s="137" t="s">
        <v>201</v>
      </c>
      <c r="R5" s="138" t="s">
        <v>202</v>
      </c>
      <c r="S5" s="133" t="s">
        <v>203</v>
      </c>
      <c r="T5" s="135" t="s">
        <v>204</v>
      </c>
      <c r="U5" s="140" t="s">
        <v>205</v>
      </c>
      <c r="V5" s="137" t="s">
        <v>206</v>
      </c>
      <c r="W5" s="141" t="s">
        <v>207</v>
      </c>
      <c r="X5" s="133" t="s">
        <v>208</v>
      </c>
      <c r="Y5" s="133" t="s">
        <v>209</v>
      </c>
      <c r="AA5" s="142"/>
      <c r="AB5" s="142"/>
    </row>
    <row r="6" spans="1:28" ht="11.5" customHeight="1" outlineLevel="1" thickTop="1" x14ac:dyDescent="0.25">
      <c r="C6" s="529" t="s">
        <v>210</v>
      </c>
      <c r="D6" s="530"/>
      <c r="E6" s="143">
        <v>1171.8059512</v>
      </c>
      <c r="F6" s="144">
        <v>1489.9217214</v>
      </c>
      <c r="G6" s="145">
        <v>1438.0286193877585</v>
      </c>
      <c r="H6" s="145">
        <v>-43.19116836734689</v>
      </c>
      <c r="I6" s="145">
        <v>760.96541316039884</v>
      </c>
      <c r="J6" s="145">
        <v>1394.837451020411</v>
      </c>
      <c r="K6" s="145">
        <v>187.71708061224487</v>
      </c>
      <c r="L6" s="145">
        <v>94.078271428571469</v>
      </c>
      <c r="M6" s="145">
        <v>75.284214285714313</v>
      </c>
      <c r="N6" s="145">
        <v>18.354594897959188</v>
      </c>
      <c r="O6" s="145">
        <v>0.39443469387755098</v>
      </c>
      <c r="P6" s="145">
        <v>0</v>
      </c>
      <c r="Q6" s="145">
        <v>188.11151530612287</v>
      </c>
      <c r="R6" s="146">
        <v>1582.9489663265306</v>
      </c>
      <c r="S6" s="147">
        <v>1.062437672792043</v>
      </c>
      <c r="T6" s="149">
        <v>597.21833265306157</v>
      </c>
      <c r="U6" s="150">
        <v>985.73063367347004</v>
      </c>
      <c r="V6" s="151">
        <v>589.31551734693926</v>
      </c>
      <c r="W6" s="152">
        <v>184.3383357142859</v>
      </c>
      <c r="X6" s="151">
        <v>133.40434693877549</v>
      </c>
      <c r="Y6" s="151">
        <v>78.672433673469357</v>
      </c>
      <c r="AA6" s="153"/>
      <c r="AB6" s="153"/>
    </row>
    <row r="7" spans="1:28" ht="11.5" customHeight="1" outlineLevel="1" x14ac:dyDescent="0.25">
      <c r="B7" s="8" t="s">
        <v>30</v>
      </c>
      <c r="D7" s="167" t="s">
        <v>31</v>
      </c>
      <c r="E7" s="156">
        <v>408.23798770000002</v>
      </c>
      <c r="F7" s="157">
        <v>462.7770969</v>
      </c>
      <c r="G7" s="158">
        <v>439.46042755102098</v>
      </c>
      <c r="H7" s="158">
        <v>-15.7496102040816</v>
      </c>
      <c r="I7" s="158">
        <v>301.74275713297698</v>
      </c>
      <c r="J7" s="158">
        <v>423.710817346939</v>
      </c>
      <c r="K7" s="158">
        <v>65.083082653061197</v>
      </c>
      <c r="L7" s="158">
        <v>32.208878571428599</v>
      </c>
      <c r="M7" s="158">
        <v>25.0763510204082</v>
      </c>
      <c r="N7" s="158">
        <v>7.7978530612244903</v>
      </c>
      <c r="O7" s="158">
        <v>0</v>
      </c>
      <c r="P7" s="158">
        <v>0</v>
      </c>
      <c r="Q7" s="158">
        <v>65.083082653061197</v>
      </c>
      <c r="R7" s="159">
        <v>488.79390000000097</v>
      </c>
      <c r="S7" s="160">
        <v>1.056218864922831</v>
      </c>
      <c r="T7" s="162">
        <v>190.64126836734701</v>
      </c>
      <c r="U7" s="163">
        <v>298.15263163265325</v>
      </c>
      <c r="V7" s="164">
        <v>176.811879591837</v>
      </c>
      <c r="W7" s="165">
        <v>57.313382653061197</v>
      </c>
      <c r="X7" s="164">
        <v>39.306454081632701</v>
      </c>
      <c r="Y7" s="164">
        <v>24.7209153061224</v>
      </c>
      <c r="AA7" s="166"/>
      <c r="AB7" s="166"/>
    </row>
    <row r="8" spans="1:28" ht="11.5" customHeight="1" outlineLevel="1" x14ac:dyDescent="0.25">
      <c r="B8" s="8" t="s">
        <v>35</v>
      </c>
      <c r="D8" s="167" t="s">
        <v>36</v>
      </c>
      <c r="E8" s="156">
        <v>5.6193144999999998</v>
      </c>
      <c r="F8" s="157">
        <v>0</v>
      </c>
      <c r="G8" s="158">
        <v>6.9448979591836699E-2</v>
      </c>
      <c r="H8" s="158">
        <v>-8.1453061224489795E-2</v>
      </c>
      <c r="I8" s="158">
        <v>5.9381576207351401</v>
      </c>
      <c r="J8" s="158">
        <v>-1.20040816326531E-2</v>
      </c>
      <c r="K8" s="158">
        <v>0</v>
      </c>
      <c r="L8" s="158">
        <v>0</v>
      </c>
      <c r="M8" s="158">
        <v>0</v>
      </c>
      <c r="N8" s="158">
        <v>0</v>
      </c>
      <c r="O8" s="158">
        <v>0</v>
      </c>
      <c r="P8" s="158">
        <v>0</v>
      </c>
      <c r="Q8" s="158">
        <v>0</v>
      </c>
      <c r="R8" s="159">
        <v>-1.20040816326531E-2</v>
      </c>
      <c r="S8" s="160">
        <v>0</v>
      </c>
      <c r="T8" s="162">
        <v>6.9448979591836699E-2</v>
      </c>
      <c r="U8" s="163">
        <v>-8.1453061224489795E-2</v>
      </c>
      <c r="V8" s="164"/>
      <c r="W8" s="165">
        <v>0</v>
      </c>
      <c r="X8" s="164">
        <v>0</v>
      </c>
      <c r="Y8" s="164">
        <v>0</v>
      </c>
      <c r="AA8" s="166"/>
      <c r="AB8" s="166"/>
    </row>
    <row r="9" spans="1:28" ht="11.5" customHeight="1" outlineLevel="1" x14ac:dyDescent="0.25">
      <c r="B9" s="8" t="s">
        <v>37</v>
      </c>
      <c r="D9" s="167" t="s">
        <v>38</v>
      </c>
      <c r="E9" s="156">
        <v>20.2330364</v>
      </c>
      <c r="F9" s="157">
        <v>10.999999999999998</v>
      </c>
      <c r="G9" s="158">
        <v>12.3523285714286</v>
      </c>
      <c r="H9" s="158">
        <v>0</v>
      </c>
      <c r="I9" s="158">
        <v>12.4154635416667</v>
      </c>
      <c r="J9" s="158">
        <v>12.3523285714286</v>
      </c>
      <c r="K9" s="158">
        <v>2.2744479591836702</v>
      </c>
      <c r="L9" s="158">
        <v>0.60023163265306101</v>
      </c>
      <c r="M9" s="158">
        <v>1.67421632653061</v>
      </c>
      <c r="N9" s="158">
        <v>0</v>
      </c>
      <c r="O9" s="158">
        <v>0</v>
      </c>
      <c r="P9" s="158">
        <v>0</v>
      </c>
      <c r="Q9" s="158">
        <v>2.2744479591836702</v>
      </c>
      <c r="R9" s="159">
        <v>14.626776530612201</v>
      </c>
      <c r="S9" s="160">
        <v>1.3297069573283822</v>
      </c>
      <c r="T9" s="162">
        <v>8.1099795918367299</v>
      </c>
      <c r="U9" s="163">
        <v>6.5167969387755118</v>
      </c>
      <c r="V9" s="164">
        <v>2.14367959183673</v>
      </c>
      <c r="W9" s="165">
        <v>3.7728857142857199</v>
      </c>
      <c r="X9" s="164">
        <v>0</v>
      </c>
      <c r="Y9" s="164">
        <v>0.60023163265306101</v>
      </c>
      <c r="AA9" s="166"/>
      <c r="AB9" s="166"/>
    </row>
    <row r="10" spans="1:28" ht="11.5" customHeight="1" outlineLevel="1" x14ac:dyDescent="0.25">
      <c r="B10" s="8" t="s">
        <v>39</v>
      </c>
      <c r="D10" s="167" t="s">
        <v>40</v>
      </c>
      <c r="E10" s="156">
        <v>735.42294500000003</v>
      </c>
      <c r="F10" s="157">
        <v>1016.1446245</v>
      </c>
      <c r="G10" s="158">
        <v>986.14641428571701</v>
      </c>
      <c r="H10" s="158">
        <v>-27.360105102040801</v>
      </c>
      <c r="I10" s="158">
        <v>440.86903486502001</v>
      </c>
      <c r="J10" s="158">
        <v>958.78630918367605</v>
      </c>
      <c r="K10" s="158">
        <v>120.35955</v>
      </c>
      <c r="L10" s="158">
        <v>61.2691612244898</v>
      </c>
      <c r="M10" s="158">
        <v>48.533646938775497</v>
      </c>
      <c r="N10" s="158">
        <v>10.5567418367347</v>
      </c>
      <c r="O10" s="158">
        <v>0.39443469387755098</v>
      </c>
      <c r="P10" s="158">
        <v>0</v>
      </c>
      <c r="Q10" s="158">
        <v>120.753984693878</v>
      </c>
      <c r="R10" s="159">
        <v>1079.5402938775501</v>
      </c>
      <c r="S10" s="160">
        <v>1.0623884315766019</v>
      </c>
      <c r="T10" s="162">
        <v>398.39763571428603</v>
      </c>
      <c r="U10" s="163">
        <v>681.14265816326576</v>
      </c>
      <c r="V10" s="164">
        <v>410.52286428571449</v>
      </c>
      <c r="W10" s="165">
        <v>123.252067346939</v>
      </c>
      <c r="X10" s="164">
        <v>94.097892857142796</v>
      </c>
      <c r="Y10" s="164">
        <v>53.3512867346939</v>
      </c>
      <c r="AA10" s="166"/>
      <c r="AB10" s="166"/>
    </row>
    <row r="11" spans="1:28" ht="11.5" customHeight="1" outlineLevel="1" x14ac:dyDescent="0.25">
      <c r="B11" s="8" t="s">
        <v>41</v>
      </c>
      <c r="D11" s="167" t="s">
        <v>211</v>
      </c>
      <c r="E11" s="156">
        <v>2.2926676000000001</v>
      </c>
      <c r="F11" s="157">
        <v>0</v>
      </c>
      <c r="G11" s="158">
        <v>0</v>
      </c>
      <c r="H11" s="158">
        <v>0</v>
      </c>
      <c r="I11" s="158">
        <v>0</v>
      </c>
      <c r="J11" s="158">
        <v>0</v>
      </c>
      <c r="K11" s="158">
        <v>0</v>
      </c>
      <c r="L11" s="158">
        <v>0</v>
      </c>
      <c r="M11" s="158">
        <v>0</v>
      </c>
      <c r="N11" s="158">
        <v>0</v>
      </c>
      <c r="O11" s="158">
        <v>0</v>
      </c>
      <c r="P11" s="158">
        <v>0</v>
      </c>
      <c r="Q11" s="158">
        <v>0</v>
      </c>
      <c r="R11" s="159">
        <v>0</v>
      </c>
      <c r="S11" s="160">
        <v>0</v>
      </c>
      <c r="T11" s="162">
        <v>0</v>
      </c>
      <c r="U11" s="163">
        <v>0</v>
      </c>
      <c r="V11" s="164">
        <v>0</v>
      </c>
      <c r="W11" s="165">
        <v>0</v>
      </c>
      <c r="X11" s="164">
        <v>0</v>
      </c>
      <c r="Y11" s="164">
        <v>0</v>
      </c>
      <c r="AA11" s="166"/>
      <c r="AB11" s="166"/>
    </row>
    <row r="12" spans="1:28" ht="11.5" customHeight="1" outlineLevel="1" x14ac:dyDescent="0.25">
      <c r="C12" s="529" t="s">
        <v>212</v>
      </c>
      <c r="D12" s="530"/>
      <c r="E12" s="168">
        <v>825.04072039999994</v>
      </c>
      <c r="F12" s="169">
        <v>756.41274469999996</v>
      </c>
      <c r="G12" s="145">
        <v>751.42361938775582</v>
      </c>
      <c r="H12" s="145">
        <v>-23.634746938775539</v>
      </c>
      <c r="I12" s="145">
        <v>445.08928844052622</v>
      </c>
      <c r="J12" s="145">
        <v>727.78887244898067</v>
      </c>
      <c r="K12" s="145">
        <v>53.993576530612195</v>
      </c>
      <c r="L12" s="145">
        <v>27.488377551020463</v>
      </c>
      <c r="M12" s="145">
        <v>15.52916020408167</v>
      </c>
      <c r="N12" s="145">
        <v>10.976038775510204</v>
      </c>
      <c r="O12" s="145">
        <v>5.8024081632653113</v>
      </c>
      <c r="P12" s="145">
        <v>0</v>
      </c>
      <c r="Q12" s="145">
        <v>59.795984693877585</v>
      </c>
      <c r="R12" s="146">
        <v>787.58485714285769</v>
      </c>
      <c r="S12" s="147">
        <v>1.0412104537651872</v>
      </c>
      <c r="T12" s="149">
        <v>299.42854897959188</v>
      </c>
      <c r="U12" s="150">
        <v>488.15630816326575</v>
      </c>
      <c r="V12" s="151">
        <v>328.25734693877587</v>
      </c>
      <c r="W12" s="152">
        <v>59.936302040816386</v>
      </c>
      <c r="X12" s="151">
        <v>74.080228571428563</v>
      </c>
      <c r="Y12" s="151">
        <v>25.882430612244931</v>
      </c>
      <c r="AA12" s="153"/>
      <c r="AB12" s="153"/>
    </row>
    <row r="13" spans="1:28" ht="11.5" customHeight="1" outlineLevel="1" x14ac:dyDescent="0.25">
      <c r="B13" s="8" t="s">
        <v>43</v>
      </c>
      <c r="D13" s="167" t="s">
        <v>44</v>
      </c>
      <c r="E13" s="156">
        <v>742.45329979999997</v>
      </c>
      <c r="F13" s="157">
        <v>632.59048859999996</v>
      </c>
      <c r="G13" s="158">
        <v>629.46126530612298</v>
      </c>
      <c r="H13" s="158">
        <v>-20.7078397959184</v>
      </c>
      <c r="I13" s="158">
        <v>407.61833565972103</v>
      </c>
      <c r="J13" s="158">
        <v>608.75342551020503</v>
      </c>
      <c r="K13" s="158">
        <v>41.695237755101999</v>
      </c>
      <c r="L13" s="158">
        <v>19.895315306122502</v>
      </c>
      <c r="M13" s="158">
        <v>13.0494204081633</v>
      </c>
      <c r="N13" s="158">
        <v>8.7505020408163308</v>
      </c>
      <c r="O13" s="158">
        <v>3.9507714285714299</v>
      </c>
      <c r="P13" s="158">
        <v>0</v>
      </c>
      <c r="Q13" s="158">
        <v>45.646009183673499</v>
      </c>
      <c r="R13" s="159">
        <v>654.39943469387799</v>
      </c>
      <c r="S13" s="160">
        <v>1.0344756149308281</v>
      </c>
      <c r="T13" s="162">
        <v>252.60155612244901</v>
      </c>
      <c r="U13" s="163">
        <v>401.79787857142895</v>
      </c>
      <c r="V13" s="164">
        <v>262.37028265306157</v>
      </c>
      <c r="W13" s="165">
        <v>49.501254081632702</v>
      </c>
      <c r="X13" s="164">
        <v>66.556269387755094</v>
      </c>
      <c r="Y13" s="164">
        <v>22.8127510204082</v>
      </c>
      <c r="AA13" s="166"/>
      <c r="AB13" s="166"/>
    </row>
    <row r="14" spans="1:28" ht="11.5" customHeight="1" outlineLevel="1" x14ac:dyDescent="0.25">
      <c r="B14" s="8" t="s">
        <v>45</v>
      </c>
      <c r="D14" s="167" t="s">
        <v>46</v>
      </c>
      <c r="E14" s="156">
        <v>26.043029900000001</v>
      </c>
      <c r="F14" s="157">
        <v>58.8</v>
      </c>
      <c r="G14" s="158">
        <v>51.238556122448998</v>
      </c>
      <c r="H14" s="158">
        <v>-0.90886632653061195</v>
      </c>
      <c r="I14" s="158">
        <v>14.808949999999999</v>
      </c>
      <c r="J14" s="158">
        <v>50.329689795918398</v>
      </c>
      <c r="K14" s="158">
        <v>5.0670326530612204</v>
      </c>
      <c r="L14" s="158">
        <v>3.3821408163265301</v>
      </c>
      <c r="M14" s="158">
        <v>0.79099693877551003</v>
      </c>
      <c r="N14" s="158">
        <v>0.89389489795918398</v>
      </c>
      <c r="O14" s="158">
        <v>1.7594642857142899</v>
      </c>
      <c r="P14" s="158">
        <v>0</v>
      </c>
      <c r="Q14" s="158">
        <v>6.8264969387755103</v>
      </c>
      <c r="R14" s="159">
        <v>57.156186734693897</v>
      </c>
      <c r="S14" s="160">
        <v>0.97204399208663095</v>
      </c>
      <c r="T14" s="162">
        <v>20.153694897959198</v>
      </c>
      <c r="U14" s="163">
        <v>37.002491836734684</v>
      </c>
      <c r="V14" s="164">
        <v>25.3028051020408</v>
      </c>
      <c r="W14" s="165">
        <v>6.8766704081632701</v>
      </c>
      <c r="X14" s="164">
        <v>3.5282816326530599</v>
      </c>
      <c r="Y14" s="164">
        <v>1.2947346938775499</v>
      </c>
      <c r="AA14" s="166"/>
      <c r="AB14" s="166"/>
    </row>
    <row r="15" spans="1:28" ht="11.5" customHeight="1" outlineLevel="1" x14ac:dyDescent="0.25">
      <c r="B15" s="8" t="s">
        <v>47</v>
      </c>
      <c r="D15" s="167" t="s">
        <v>48</v>
      </c>
      <c r="E15" s="156">
        <v>56.544390700000001</v>
      </c>
      <c r="F15" s="157">
        <v>65.022256100000007</v>
      </c>
      <c r="G15" s="158">
        <v>70.723797959183798</v>
      </c>
      <c r="H15" s="158">
        <v>-2.01804081632653</v>
      </c>
      <c r="I15" s="158">
        <v>22.662002780805199</v>
      </c>
      <c r="J15" s="158">
        <v>68.705757142857195</v>
      </c>
      <c r="K15" s="158">
        <v>7.2313061224489799</v>
      </c>
      <c r="L15" s="158">
        <v>4.2109214285714298</v>
      </c>
      <c r="M15" s="158">
        <v>1.68874285714286</v>
      </c>
      <c r="N15" s="158">
        <v>1.3316418367346901</v>
      </c>
      <c r="O15" s="158">
        <v>9.2172448979591801E-2</v>
      </c>
      <c r="P15" s="158">
        <v>0</v>
      </c>
      <c r="Q15" s="158">
        <v>7.3234785714285699</v>
      </c>
      <c r="R15" s="159">
        <v>76.029235714285804</v>
      </c>
      <c r="S15" s="160">
        <v>1.1692801861159321</v>
      </c>
      <c r="T15" s="162">
        <v>26.673297959183699</v>
      </c>
      <c r="U15" s="163">
        <v>49.355937755102097</v>
      </c>
      <c r="V15" s="164">
        <v>40.026937755102097</v>
      </c>
      <c r="W15" s="165">
        <v>3.5583775510204099</v>
      </c>
      <c r="X15" s="164">
        <v>3.9956775510204099</v>
      </c>
      <c r="Y15" s="164">
        <v>1.77494489795918</v>
      </c>
      <c r="AA15" s="166"/>
      <c r="AB15" s="166"/>
    </row>
    <row r="16" spans="1:28" ht="11.5" customHeight="1" outlineLevel="1" x14ac:dyDescent="0.25">
      <c r="C16" s="464" t="s">
        <v>213</v>
      </c>
      <c r="D16" s="465"/>
      <c r="E16" s="168">
        <v>43.373152599999997</v>
      </c>
      <c r="F16" s="169">
        <v>28.000000000000004</v>
      </c>
      <c r="G16" s="145">
        <v>29.495290816326541</v>
      </c>
      <c r="H16" s="145">
        <v>-1.131638775510204</v>
      </c>
      <c r="I16" s="145">
        <v>22.203605767279001</v>
      </c>
      <c r="J16" s="145">
        <v>28.363652040816309</v>
      </c>
      <c r="K16" s="145">
        <v>1.0825412551020399</v>
      </c>
      <c r="L16" s="145">
        <v>0</v>
      </c>
      <c r="M16" s="145">
        <v>0.732267</v>
      </c>
      <c r="N16" s="145">
        <v>0.35027425510204102</v>
      </c>
      <c r="O16" s="145">
        <v>0</v>
      </c>
      <c r="P16" s="145">
        <v>0</v>
      </c>
      <c r="Q16" s="145">
        <v>1.0825412551020399</v>
      </c>
      <c r="R16" s="146">
        <v>29.446193295918381</v>
      </c>
      <c r="S16" s="147">
        <v>1.0516497605685136</v>
      </c>
      <c r="T16" s="149">
        <v>20.116704520408213</v>
      </c>
      <c r="U16" s="150">
        <v>9.3294887755102103</v>
      </c>
      <c r="V16" s="151">
        <v>3.6616122448979613</v>
      </c>
      <c r="W16" s="152">
        <v>4.6389112244898003</v>
      </c>
      <c r="X16" s="151">
        <v>1.02896530612245</v>
      </c>
      <c r="Y16" s="151">
        <v>0</v>
      </c>
      <c r="AA16" s="153"/>
      <c r="AB16" s="153"/>
    </row>
    <row r="17" spans="2:28" ht="11.5" customHeight="1" outlineLevel="1" x14ac:dyDescent="0.25">
      <c r="B17" s="8" t="s">
        <v>49</v>
      </c>
      <c r="D17" s="167" t="s">
        <v>50</v>
      </c>
      <c r="E17" s="156">
        <v>43.373152599999997</v>
      </c>
      <c r="F17" s="157">
        <v>28.000000000000004</v>
      </c>
      <c r="G17" s="158">
        <v>28.805072448979601</v>
      </c>
      <c r="H17" s="158">
        <v>-0.57431734693877501</v>
      </c>
      <c r="I17" s="158">
        <v>22.203605767279001</v>
      </c>
      <c r="J17" s="158">
        <v>28.230755102040799</v>
      </c>
      <c r="K17" s="158">
        <v>0.85961268367346899</v>
      </c>
      <c r="L17" s="158">
        <v>0</v>
      </c>
      <c r="M17" s="158">
        <v>0.50933842857142897</v>
      </c>
      <c r="N17" s="158">
        <v>0.35027425510204102</v>
      </c>
      <c r="O17" s="158">
        <v>0</v>
      </c>
      <c r="P17" s="158">
        <v>0</v>
      </c>
      <c r="Q17" s="158">
        <v>0.85961268367346899</v>
      </c>
      <c r="R17" s="159">
        <v>29.090367785714299</v>
      </c>
      <c r="S17" s="160">
        <v>1.0389417066326534</v>
      </c>
      <c r="T17" s="162">
        <v>19.203557581632701</v>
      </c>
      <c r="U17" s="163">
        <v>9.8868102040816392</v>
      </c>
      <c r="V17" s="164">
        <v>4.0189336734693901</v>
      </c>
      <c r="W17" s="165">
        <v>4.6389112244898003</v>
      </c>
      <c r="X17" s="164">
        <v>1.02896530612245</v>
      </c>
      <c r="Y17" s="164">
        <v>0</v>
      </c>
      <c r="AA17" s="166"/>
      <c r="AB17" s="166"/>
    </row>
    <row r="18" spans="2:28" ht="11.5" customHeight="1" outlineLevel="1" x14ac:dyDescent="0.25">
      <c r="B18" s="8" t="s">
        <v>51</v>
      </c>
      <c r="D18" s="167" t="s">
        <v>214</v>
      </c>
      <c r="E18" s="156">
        <v>0</v>
      </c>
      <c r="F18" s="157">
        <v>0</v>
      </c>
      <c r="G18" s="158">
        <v>0.69021836734693898</v>
      </c>
      <c r="H18" s="158">
        <v>-0.55732142857142897</v>
      </c>
      <c r="I18" s="158">
        <v>0</v>
      </c>
      <c r="J18" s="158">
        <v>0.13289693877551001</v>
      </c>
      <c r="K18" s="158">
        <v>0.222928571428571</v>
      </c>
      <c r="L18" s="158">
        <v>0</v>
      </c>
      <c r="M18" s="158">
        <v>0.222928571428571</v>
      </c>
      <c r="N18" s="158">
        <v>0</v>
      </c>
      <c r="O18" s="158">
        <v>0</v>
      </c>
      <c r="P18" s="158">
        <v>0</v>
      </c>
      <c r="Q18" s="158">
        <v>0.222928571428571</v>
      </c>
      <c r="R18" s="159">
        <v>0.35582551020408199</v>
      </c>
      <c r="S18" s="160">
        <v>0</v>
      </c>
      <c r="T18" s="162">
        <v>0.91314693877551001</v>
      </c>
      <c r="U18" s="163">
        <v>-0.55732142857142897</v>
      </c>
      <c r="V18" s="164"/>
      <c r="W18" s="165">
        <v>0</v>
      </c>
      <c r="X18" s="164">
        <v>0</v>
      </c>
      <c r="Y18" s="164">
        <v>0</v>
      </c>
      <c r="AA18" s="166"/>
      <c r="AB18" s="166"/>
    </row>
    <row r="19" spans="2:28" ht="11.5" customHeight="1" outlineLevel="1" x14ac:dyDescent="0.25">
      <c r="B19" s="8" t="s">
        <v>53</v>
      </c>
      <c r="D19" s="167" t="s">
        <v>54</v>
      </c>
      <c r="E19" s="156">
        <v>0</v>
      </c>
      <c r="F19" s="157">
        <v>0</v>
      </c>
      <c r="G19" s="158">
        <v>0</v>
      </c>
      <c r="H19" s="158">
        <v>0</v>
      </c>
      <c r="I19" s="158">
        <v>0</v>
      </c>
      <c r="J19" s="158">
        <v>0</v>
      </c>
      <c r="K19" s="158">
        <v>0</v>
      </c>
      <c r="L19" s="158">
        <v>0</v>
      </c>
      <c r="M19" s="158">
        <v>0</v>
      </c>
      <c r="N19" s="158">
        <v>0</v>
      </c>
      <c r="O19" s="158">
        <v>0</v>
      </c>
      <c r="P19" s="158">
        <v>0</v>
      </c>
      <c r="Q19" s="158">
        <v>0</v>
      </c>
      <c r="R19" s="159">
        <v>0</v>
      </c>
      <c r="S19" s="160">
        <v>0</v>
      </c>
      <c r="T19" s="162">
        <v>0</v>
      </c>
      <c r="U19" s="163">
        <v>0</v>
      </c>
      <c r="V19" s="164">
        <v>0</v>
      </c>
      <c r="W19" s="165">
        <v>0</v>
      </c>
      <c r="X19" s="164">
        <v>0</v>
      </c>
      <c r="Y19" s="164">
        <v>0</v>
      </c>
      <c r="AA19" s="166"/>
      <c r="AB19" s="166"/>
    </row>
    <row r="20" spans="2:28" ht="11.5" customHeight="1" thickBot="1" x14ac:dyDescent="0.3">
      <c r="C20" s="531" t="s">
        <v>55</v>
      </c>
      <c r="D20" s="532"/>
      <c r="E20" s="171">
        <v>2040.2198241999999</v>
      </c>
      <c r="F20" s="172">
        <v>2274.3344661000001</v>
      </c>
      <c r="G20" s="173">
        <v>2218.947529591841</v>
      </c>
      <c r="H20" s="173">
        <v>-67.957554081632637</v>
      </c>
      <c r="I20" s="173">
        <v>1228.258307368204</v>
      </c>
      <c r="J20" s="173">
        <v>2150.9899755102078</v>
      </c>
      <c r="K20" s="173">
        <v>242.79319839795909</v>
      </c>
      <c r="L20" s="173">
        <v>121.56664897959193</v>
      </c>
      <c r="M20" s="173">
        <v>91.545641489795983</v>
      </c>
      <c r="N20" s="173">
        <v>29.680907928571436</v>
      </c>
      <c r="O20" s="173">
        <v>6.1968428571428626</v>
      </c>
      <c r="P20" s="173">
        <v>0</v>
      </c>
      <c r="Q20" s="173">
        <v>248.99004125510248</v>
      </c>
      <c r="R20" s="174">
        <v>2399.9800167653066</v>
      </c>
      <c r="S20" s="175">
        <v>1.0552449749753658</v>
      </c>
      <c r="T20" s="176">
        <v>916.76358615306162</v>
      </c>
      <c r="U20" s="177">
        <v>1483.2164306122459</v>
      </c>
      <c r="V20" s="178">
        <v>921.23447653061316</v>
      </c>
      <c r="W20" s="179">
        <v>248.91354897959209</v>
      </c>
      <c r="X20" s="178">
        <v>208.5135408163265</v>
      </c>
      <c r="Y20" s="178">
        <v>104.55486428571429</v>
      </c>
      <c r="AA20" s="153"/>
      <c r="AB20" s="153"/>
    </row>
    <row r="21" spans="2:28" ht="11.5" customHeight="1" thickTop="1" x14ac:dyDescent="0.25">
      <c r="C21" s="358"/>
      <c r="D21" s="358"/>
      <c r="E21" s="429"/>
      <c r="F21" s="429"/>
      <c r="G21" s="429"/>
      <c r="H21" s="429"/>
      <c r="I21" s="429"/>
      <c r="J21" s="429"/>
      <c r="K21" s="429"/>
      <c r="L21" s="429"/>
      <c r="M21" s="429"/>
      <c r="N21" s="429"/>
      <c r="O21" s="429"/>
      <c r="P21" s="429"/>
      <c r="Q21" s="429"/>
      <c r="R21" s="429"/>
      <c r="S21" s="148"/>
      <c r="T21" s="148"/>
      <c r="U21" s="153"/>
      <c r="V21" s="430"/>
      <c r="W21" s="153"/>
      <c r="X21" s="430"/>
      <c r="Y21" s="153"/>
      <c r="Z21" s="153"/>
      <c r="AA21" s="153"/>
      <c r="AB21" s="153"/>
    </row>
    <row r="22" spans="2:28" ht="13" x14ac:dyDescent="0.3">
      <c r="C22" s="426" t="s">
        <v>367</v>
      </c>
      <c r="D22" s="426"/>
      <c r="E22" s="426" t="str">
        <f>E3</f>
        <v>Sep</v>
      </c>
      <c r="F22" s="428" t="str">
        <f>F3</f>
        <v>1 to 4</v>
      </c>
    </row>
    <row r="23" spans="2:28" ht="23.15" customHeight="1" thickBot="1" x14ac:dyDescent="0.3">
      <c r="C23" s="457" t="s">
        <v>23</v>
      </c>
      <c r="D23" s="458" t="s">
        <v>188</v>
      </c>
      <c r="E23" s="459" t="s">
        <v>360</v>
      </c>
      <c r="F23" s="459" t="s">
        <v>361</v>
      </c>
      <c r="G23" s="459" t="s">
        <v>362</v>
      </c>
      <c r="H23" s="459" t="s">
        <v>363</v>
      </c>
      <c r="I23" s="459" t="s">
        <v>364</v>
      </c>
      <c r="J23" s="459" t="s">
        <v>365</v>
      </c>
      <c r="K23" s="460" t="s">
        <v>366</v>
      </c>
    </row>
    <row r="24" spans="2:28" ht="11.5" customHeight="1" thickTop="1" x14ac:dyDescent="0.25">
      <c r="B24" s="8" t="s">
        <v>30</v>
      </c>
      <c r="C24" s="237" t="s">
        <v>210</v>
      </c>
      <c r="D24" s="8" t="s">
        <v>31</v>
      </c>
      <c r="E24" s="455">
        <f>R7/$R$20</f>
        <v>0.20366582079245704</v>
      </c>
      <c r="F24" s="456">
        <f>T7/$T$20</f>
        <v>0.20795030610598206</v>
      </c>
      <c r="G24" s="455">
        <f>U7/$U$20</f>
        <v>0.20101761649820793</v>
      </c>
      <c r="H24" s="456">
        <f>V7/$V$20</f>
        <v>0.1919292906380512</v>
      </c>
      <c r="I24" s="456">
        <f>W7/$W$20</f>
        <v>0.23025417012458491</v>
      </c>
      <c r="J24" s="456">
        <f>X7/$X$20</f>
        <v>0.1885079210095838</v>
      </c>
      <c r="K24" s="461">
        <f>Y7/$Y$20</f>
        <v>0.23643964797819655</v>
      </c>
    </row>
    <row r="25" spans="2:28" ht="11.5" customHeight="1" x14ac:dyDescent="0.25">
      <c r="B25" s="8" t="s">
        <v>35</v>
      </c>
      <c r="C25" s="237" t="s">
        <v>210</v>
      </c>
      <c r="D25" s="8" t="s">
        <v>36</v>
      </c>
      <c r="E25" s="455">
        <f>R8/$R$20</f>
        <v>-5.0017423265182862E-6</v>
      </c>
      <c r="F25" s="456">
        <f>T8/$T$20</f>
        <v>7.5754513639944671E-5</v>
      </c>
      <c r="G25" s="455">
        <f>U8/$U$20</f>
        <v>-5.4916504121294955E-5</v>
      </c>
      <c r="H25" s="456">
        <f>V8/$V$20</f>
        <v>0</v>
      </c>
      <c r="I25" s="456">
        <f>W8/$W$20</f>
        <v>0</v>
      </c>
      <c r="J25" s="456">
        <f>X8/$X$20</f>
        <v>0</v>
      </c>
      <c r="K25" s="461">
        <f>Y8/$Y$20</f>
        <v>0</v>
      </c>
    </row>
    <row r="26" spans="2:28" ht="11.5" customHeight="1" x14ac:dyDescent="0.25">
      <c r="B26" s="8" t="s">
        <v>37</v>
      </c>
      <c r="C26" s="237" t="s">
        <v>210</v>
      </c>
      <c r="D26" s="8" t="s">
        <v>38</v>
      </c>
      <c r="E26" s="455">
        <f>R9/$R$20</f>
        <v>6.0945409663561165E-3</v>
      </c>
      <c r="F26" s="456">
        <f>T9/$T$20</f>
        <v>8.8463151398366063E-3</v>
      </c>
      <c r="G26" s="455">
        <f>U9/$U$20</f>
        <v>4.3936925213844159E-3</v>
      </c>
      <c r="H26" s="456">
        <f>V9/$V$20</f>
        <v>2.326964140454088E-3</v>
      </c>
      <c r="I26" s="456">
        <f>W9/$W$20</f>
        <v>1.5157414008809343E-2</v>
      </c>
      <c r="J26" s="456">
        <f>X9/$X$20</f>
        <v>0</v>
      </c>
      <c r="K26" s="461">
        <f>Y9/$Y$20</f>
        <v>5.7408293411660314E-3</v>
      </c>
    </row>
    <row r="27" spans="2:28" ht="11.5" customHeight="1" x14ac:dyDescent="0.25">
      <c r="B27" s="8" t="s">
        <v>39</v>
      </c>
      <c r="C27" s="237" t="s">
        <v>210</v>
      </c>
      <c r="D27" s="8" t="s">
        <v>40</v>
      </c>
      <c r="E27" s="455">
        <f>R10/$R$20</f>
        <v>0.44981220107513836</v>
      </c>
      <c r="F27" s="456">
        <f>T10/$T$20</f>
        <v>0.43456965539616238</v>
      </c>
      <c r="G27" s="455">
        <f>U10/$U$20</f>
        <v>0.45923349020756327</v>
      </c>
      <c r="H27" s="456">
        <f>V10/$V$20</f>
        <v>0.44562255836510972</v>
      </c>
      <c r="I27" s="456">
        <f>W10/$W$20</f>
        <v>0.49516013833800659</v>
      </c>
      <c r="J27" s="456">
        <f>X10/$X$20</f>
        <v>0.45127953076213351</v>
      </c>
      <c r="K27" s="461">
        <f>Y10/$Y$20</f>
        <v>0.51027072818823871</v>
      </c>
    </row>
    <row r="28" spans="2:28" ht="11.5" customHeight="1" x14ac:dyDescent="0.25">
      <c r="B28" s="8" t="s">
        <v>41</v>
      </c>
      <c r="C28" s="237" t="s">
        <v>210</v>
      </c>
      <c r="D28" s="8" t="s">
        <v>211</v>
      </c>
      <c r="E28" s="455">
        <f>R11/$R$20</f>
        <v>0</v>
      </c>
      <c r="F28" s="456">
        <f>T11/$T$20</f>
        <v>0</v>
      </c>
      <c r="G28" s="455">
        <f>U11/$U$20</f>
        <v>0</v>
      </c>
      <c r="H28" s="456">
        <f>V11/$V$20</f>
        <v>0</v>
      </c>
      <c r="I28" s="456">
        <f>W11/$W$20</f>
        <v>0</v>
      </c>
      <c r="J28" s="456">
        <f>X11/$X$20</f>
        <v>0</v>
      </c>
      <c r="K28" s="461">
        <f>Y11/$Y$20</f>
        <v>0</v>
      </c>
    </row>
    <row r="29" spans="2:28" ht="11.5" customHeight="1" x14ac:dyDescent="0.25">
      <c r="B29" s="8" t="s">
        <v>43</v>
      </c>
      <c r="C29" s="237" t="s">
        <v>212</v>
      </c>
      <c r="D29" s="8" t="s">
        <v>44</v>
      </c>
      <c r="E29" s="455">
        <f>R13/$R$20</f>
        <v>0.27266870145688865</v>
      </c>
      <c r="F29" s="456">
        <f>T13/$T$20</f>
        <v>0.27553620141308166</v>
      </c>
      <c r="G29" s="455">
        <f>U13/$U$20</f>
        <v>0.27089632388010548</v>
      </c>
      <c r="H29" s="456">
        <f>V13/$V$20</f>
        <v>0.28480293490659742</v>
      </c>
      <c r="I29" s="456">
        <f>W13/$W$20</f>
        <v>0.19886926318217898</v>
      </c>
      <c r="J29" s="456">
        <f>X13/$X$20</f>
        <v>0.31919399156135653</v>
      </c>
      <c r="K29" s="461">
        <f>Y13/$Y$20</f>
        <v>0.2181892844130944</v>
      </c>
    </row>
    <row r="30" spans="2:28" ht="11.5" customHeight="1" x14ac:dyDescent="0.25">
      <c r="B30" s="8" t="s">
        <v>45</v>
      </c>
      <c r="C30" s="237" t="s">
        <v>212</v>
      </c>
      <c r="D30" s="8" t="s">
        <v>46</v>
      </c>
      <c r="E30" s="455">
        <f>R14/$R$20</f>
        <v>2.3815276100393957E-2</v>
      </c>
      <c r="F30" s="456">
        <f>T14/$T$20</f>
        <v>2.1983524653862468E-2</v>
      </c>
      <c r="G30" s="455">
        <f>U14/$U$20</f>
        <v>2.4947466245004244E-2</v>
      </c>
      <c r="H30" s="456">
        <f>V14/$V$20</f>
        <v>2.7466194271551423E-2</v>
      </c>
      <c r="I30" s="456">
        <f>W14/$W$20</f>
        <v>2.7626742040976943E-2</v>
      </c>
      <c r="J30" s="456">
        <f>X14/$X$20</f>
        <v>1.6921115141203327E-2</v>
      </c>
      <c r="K30" s="461">
        <f>Y14/$Y$20</f>
        <v>1.2383304236706414E-2</v>
      </c>
    </row>
    <row r="31" spans="2:28" ht="11.5" customHeight="1" x14ac:dyDescent="0.25">
      <c r="B31" s="8" t="s">
        <v>47</v>
      </c>
      <c r="C31" s="237" t="s">
        <v>212</v>
      </c>
      <c r="D31" s="8" t="s">
        <v>48</v>
      </c>
      <c r="E31" s="455">
        <f>R15/$R$20</f>
        <v>3.1679111985589786E-2</v>
      </c>
      <c r="F31" s="456">
        <f>T15/$T$20</f>
        <v>2.9095066996618648E-2</v>
      </c>
      <c r="G31" s="455">
        <f>U15/$U$20</f>
        <v>3.3276288434000711E-2</v>
      </c>
      <c r="H31" s="456">
        <f>V15/$V$20</f>
        <v>4.3449239878477319E-2</v>
      </c>
      <c r="I31" s="456">
        <f>W15/$W$20</f>
        <v>1.4295636238395982E-2</v>
      </c>
      <c r="J31" s="456">
        <f>X15/$X$20</f>
        <v>1.9162676607847189E-2</v>
      </c>
      <c r="K31" s="461">
        <f>Y15/$Y$20</f>
        <v>1.6976205842597961E-2</v>
      </c>
    </row>
    <row r="32" spans="2:28" ht="11.5" customHeight="1" x14ac:dyDescent="0.25">
      <c r="B32" s="8" t="s">
        <v>49</v>
      </c>
      <c r="C32" s="237" t="s">
        <v>213</v>
      </c>
      <c r="D32" s="8" t="s">
        <v>50</v>
      </c>
      <c r="E32" s="455">
        <f>R17/$R$20</f>
        <v>1.2121087501771079E-2</v>
      </c>
      <c r="F32" s="456">
        <f>T17/$T$20</f>
        <v>2.0947120797211182E-2</v>
      </c>
      <c r="G32" s="455">
        <f>U17/$U$20</f>
        <v>6.6657906425703064E-3</v>
      </c>
      <c r="H32" s="456">
        <f>V17/$V$20</f>
        <v>4.3625523966545109E-3</v>
      </c>
      <c r="I32" s="456">
        <f>W17/$W$20</f>
        <v>1.8636636067047258E-2</v>
      </c>
      <c r="J32" s="456">
        <f>X17/$X$20</f>
        <v>4.9347649178756959E-3</v>
      </c>
      <c r="K32" s="461">
        <f>Y17/$Y$20</f>
        <v>0</v>
      </c>
    </row>
    <row r="33" spans="2:24" ht="11.5" customHeight="1" x14ac:dyDescent="0.25">
      <c r="B33" s="8" t="s">
        <v>51</v>
      </c>
      <c r="C33" s="237" t="s">
        <v>213</v>
      </c>
      <c r="D33" s="8" t="s">
        <v>214</v>
      </c>
      <c r="E33" s="455">
        <f>R18/$R$20</f>
        <v>1.4826186373154208E-4</v>
      </c>
      <c r="F33" s="456">
        <f>T18/$T$20</f>
        <v>9.9605498360517595E-4</v>
      </c>
      <c r="G33" s="455">
        <f>U18/$U$20</f>
        <v>-3.7575192471497664E-4</v>
      </c>
      <c r="H33" s="456">
        <f>V18/$V$20</f>
        <v>0</v>
      </c>
      <c r="I33" s="456">
        <f>W18/$W$20</f>
        <v>0</v>
      </c>
      <c r="J33" s="456">
        <f>X18/$X$20</f>
        <v>0</v>
      </c>
      <c r="K33" s="461">
        <f>Y18/$Y$20</f>
        <v>0</v>
      </c>
    </row>
    <row r="34" spans="2:24" ht="11.5" customHeight="1" x14ac:dyDescent="0.25">
      <c r="B34" s="8" t="s">
        <v>53</v>
      </c>
      <c r="C34" s="237" t="s">
        <v>213</v>
      </c>
      <c r="D34" s="8" t="s">
        <v>54</v>
      </c>
      <c r="E34" s="455">
        <f>R19/$R$20</f>
        <v>0</v>
      </c>
      <c r="F34" s="456">
        <f>T19/$T$20</f>
        <v>0</v>
      </c>
      <c r="G34" s="455">
        <f>U19/$U$20</f>
        <v>0</v>
      </c>
      <c r="H34" s="456">
        <f>V19/$V$20</f>
        <v>0</v>
      </c>
      <c r="I34" s="456">
        <f>W19/$W$20</f>
        <v>0</v>
      </c>
      <c r="J34" s="456">
        <f>X19/$X$20</f>
        <v>0</v>
      </c>
      <c r="K34" s="461">
        <f>Y19/$Y$20</f>
        <v>0</v>
      </c>
    </row>
    <row r="35" spans="2:24" ht="11.5" customHeight="1" x14ac:dyDescent="0.25">
      <c r="C35" s="533" t="s">
        <v>55</v>
      </c>
      <c r="D35" s="534"/>
      <c r="E35" s="462">
        <f>R20/$R$20</f>
        <v>1</v>
      </c>
      <c r="F35" s="462">
        <f>T20/$T$20</f>
        <v>1</v>
      </c>
      <c r="G35" s="462">
        <f>U20/$U$20</f>
        <v>1</v>
      </c>
      <c r="H35" s="462">
        <f>V20/$V$20</f>
        <v>1</v>
      </c>
      <c r="I35" s="462">
        <f>W20/$W$20</f>
        <v>1</v>
      </c>
      <c r="J35" s="462">
        <f>X20/$X$20</f>
        <v>1</v>
      </c>
      <c r="K35" s="463">
        <f>Y20/$Y$20</f>
        <v>1</v>
      </c>
    </row>
    <row r="36" spans="2:24" ht="11.5" customHeight="1" x14ac:dyDescent="0.25">
      <c r="M36" s="498" t="s">
        <v>461</v>
      </c>
      <c r="N36" s="498" t="s">
        <v>461</v>
      </c>
      <c r="O36" s="498" t="s">
        <v>461</v>
      </c>
      <c r="P36" s="498" t="s">
        <v>461</v>
      </c>
      <c r="Q36" s="498" t="s">
        <v>461</v>
      </c>
      <c r="R36" s="498" t="s">
        <v>461</v>
      </c>
      <c r="S36" s="498" t="s">
        <v>462</v>
      </c>
      <c r="T36" s="498" t="s">
        <v>462</v>
      </c>
      <c r="U36" s="498" t="s">
        <v>462</v>
      </c>
      <c r="V36" s="498" t="s">
        <v>462</v>
      </c>
    </row>
    <row r="37" spans="2:24" ht="13.5" thickBot="1" x14ac:dyDescent="0.35">
      <c r="C37" s="466" t="s">
        <v>216</v>
      </c>
      <c r="D37" s="466"/>
      <c r="E37" s="466" t="str">
        <f>E22</f>
        <v>Sep</v>
      </c>
      <c r="F37" s="467" t="s">
        <v>370</v>
      </c>
      <c r="G37" s="95" t="s">
        <v>386</v>
      </c>
      <c r="M37" s="498" t="s">
        <v>65</v>
      </c>
      <c r="N37" s="498" t="s">
        <v>66</v>
      </c>
      <c r="O37" s="498" t="s">
        <v>63</v>
      </c>
      <c r="P37" s="498" t="s">
        <v>417</v>
      </c>
      <c r="Q37" s="498" t="s">
        <v>65</v>
      </c>
      <c r="R37" s="498" t="s">
        <v>66</v>
      </c>
      <c r="S37" s="498" t="s">
        <v>460</v>
      </c>
      <c r="T37" s="498" t="s">
        <v>460</v>
      </c>
      <c r="U37" s="498" t="s">
        <v>460</v>
      </c>
      <c r="V37" s="498" t="s">
        <v>460</v>
      </c>
    </row>
    <row r="38" spans="2:24" s="38" customFormat="1" ht="23.15" customHeight="1" thickTop="1" thickBot="1" x14ac:dyDescent="0.3">
      <c r="C38" s="511" t="s">
        <v>23</v>
      </c>
      <c r="D38" s="511" t="s">
        <v>188</v>
      </c>
      <c r="E38" s="512" t="s">
        <v>55</v>
      </c>
      <c r="F38" s="512" t="s">
        <v>369</v>
      </c>
      <c r="G38" s="512" t="s">
        <v>205</v>
      </c>
      <c r="H38" s="512" t="s">
        <v>206</v>
      </c>
      <c r="I38" s="512" t="s">
        <v>207</v>
      </c>
      <c r="J38" s="512" t="s">
        <v>208</v>
      </c>
      <c r="K38" s="512" t="s">
        <v>209</v>
      </c>
      <c r="L38" s="513" t="s">
        <v>217</v>
      </c>
      <c r="M38" s="514" t="s">
        <v>364</v>
      </c>
      <c r="N38" s="514" t="s">
        <v>364</v>
      </c>
      <c r="O38" s="514" t="s">
        <v>463</v>
      </c>
      <c r="P38" s="514" t="s">
        <v>463</v>
      </c>
      <c r="Q38" s="514" t="s">
        <v>463</v>
      </c>
      <c r="R38" s="514" t="s">
        <v>463</v>
      </c>
      <c r="S38" s="514" t="s">
        <v>364</v>
      </c>
      <c r="T38" s="514" t="s">
        <v>366</v>
      </c>
      <c r="U38" s="514" t="s">
        <v>463</v>
      </c>
      <c r="V38" s="514" t="s">
        <v>371</v>
      </c>
      <c r="X38" s="267"/>
    </row>
    <row r="39" spans="2:24" ht="11.5" customHeight="1" outlineLevel="1" thickTop="1" x14ac:dyDescent="0.25">
      <c r="B39" s="8" t="s">
        <v>30</v>
      </c>
      <c r="C39" s="30" t="s">
        <v>210</v>
      </c>
      <c r="D39" s="31" t="s">
        <v>31</v>
      </c>
      <c r="E39" s="451"/>
      <c r="F39" s="452"/>
      <c r="G39" s="452">
        <f t="shared" ref="G39:G49" si="0">SUM(H39:K39)</f>
        <v>0</v>
      </c>
      <c r="H39" s="452">
        <f t="shared" ref="H39:H49" si="1">H24*$H$50</f>
        <v>0</v>
      </c>
      <c r="I39" s="452">
        <f t="shared" ref="I39:K49" si="2">I24*I$50</f>
        <v>0</v>
      </c>
      <c r="J39" s="452">
        <f t="shared" si="2"/>
        <v>0</v>
      </c>
      <c r="K39" s="452">
        <f t="shared" si="2"/>
        <v>0</v>
      </c>
      <c r="L39" s="453">
        <f t="shared" ref="L39:L49" si="3">H24*$L$50</f>
        <v>0</v>
      </c>
      <c r="M39" s="454">
        <f>$I24*M$50</f>
        <v>1638147.8984347619</v>
      </c>
      <c r="N39" s="454">
        <f>$I24*N$50</f>
        <v>6722450.785802464</v>
      </c>
      <c r="O39" s="454">
        <f>$J24*O$50</f>
        <v>0</v>
      </c>
      <c r="P39" s="454">
        <f t="shared" ref="P39:Q39" si="4">$J24*P$50</f>
        <v>0</v>
      </c>
      <c r="Q39" s="454">
        <f t="shared" si="4"/>
        <v>0</v>
      </c>
      <c r="R39" s="454">
        <f t="shared" ref="R39" si="5">$J24*R$50</f>
        <v>0</v>
      </c>
      <c r="S39" s="454">
        <f t="shared" ref="S39:T49" si="6">$K24*S$50</f>
        <v>0</v>
      </c>
      <c r="T39" s="454">
        <f t="shared" si="6"/>
        <v>2112033.3308313815</v>
      </c>
      <c r="U39" s="454">
        <f>$J24*U$50</f>
        <v>3027780.2958301534</v>
      </c>
      <c r="V39" s="454">
        <f>$F24*V$50</f>
        <v>1314770.385261806</v>
      </c>
    </row>
    <row r="40" spans="2:24" ht="11.5" customHeight="1" outlineLevel="1" x14ac:dyDescent="0.25">
      <c r="B40" s="8" t="s">
        <v>35</v>
      </c>
      <c r="C40" s="30" t="s">
        <v>210</v>
      </c>
      <c r="D40" s="31" t="s">
        <v>36</v>
      </c>
      <c r="E40" s="451"/>
      <c r="F40" s="452"/>
      <c r="G40" s="452">
        <f t="shared" si="0"/>
        <v>0</v>
      </c>
      <c r="H40" s="452">
        <f t="shared" si="1"/>
        <v>0</v>
      </c>
      <c r="I40" s="452">
        <f t="shared" si="2"/>
        <v>0</v>
      </c>
      <c r="J40" s="452">
        <f t="shared" si="2"/>
        <v>0</v>
      </c>
      <c r="K40" s="452">
        <f t="shared" si="2"/>
        <v>0</v>
      </c>
      <c r="L40" s="453">
        <f t="shared" si="3"/>
        <v>0</v>
      </c>
      <c r="M40" s="454">
        <f t="shared" ref="M40:N49" si="7">I25*M$50</f>
        <v>0</v>
      </c>
      <c r="N40" s="454">
        <f t="shared" si="7"/>
        <v>0</v>
      </c>
      <c r="O40" s="454">
        <f t="shared" ref="O40:R40" si="8">$J25*O$50</f>
        <v>0</v>
      </c>
      <c r="P40" s="454">
        <f t="shared" si="8"/>
        <v>0</v>
      </c>
      <c r="Q40" s="454">
        <f t="shared" si="8"/>
        <v>0</v>
      </c>
      <c r="R40" s="454">
        <f t="shared" si="8"/>
        <v>0</v>
      </c>
      <c r="S40" s="454">
        <f t="shared" si="6"/>
        <v>0</v>
      </c>
      <c r="T40" s="454">
        <f t="shared" si="6"/>
        <v>0</v>
      </c>
      <c r="U40" s="454">
        <f t="shared" ref="U40:U49" si="9">$J25*U$50</f>
        <v>0</v>
      </c>
      <c r="V40" s="454">
        <f t="shared" ref="V40:V49" si="10">$F25*V$50</f>
        <v>478.95957908785027</v>
      </c>
    </row>
    <row r="41" spans="2:24" ht="11.5" customHeight="1" outlineLevel="1" x14ac:dyDescent="0.25">
      <c r="B41" s="8" t="s">
        <v>37</v>
      </c>
      <c r="C41" s="30" t="s">
        <v>210</v>
      </c>
      <c r="D41" s="31" t="s">
        <v>38</v>
      </c>
      <c r="E41" s="451"/>
      <c r="F41" s="452"/>
      <c r="G41" s="452">
        <f t="shared" si="0"/>
        <v>0</v>
      </c>
      <c r="H41" s="452">
        <f t="shared" si="1"/>
        <v>0</v>
      </c>
      <c r="I41" s="452">
        <f t="shared" si="2"/>
        <v>0</v>
      </c>
      <c r="J41" s="452">
        <f t="shared" si="2"/>
        <v>0</v>
      </c>
      <c r="K41" s="452">
        <f t="shared" si="2"/>
        <v>0</v>
      </c>
      <c r="L41" s="453">
        <f t="shared" si="3"/>
        <v>0</v>
      </c>
      <c r="M41" s="454">
        <f t="shared" si="7"/>
        <v>107837.72511395425</v>
      </c>
      <c r="N41" s="454">
        <f t="shared" si="7"/>
        <v>0</v>
      </c>
      <c r="O41" s="454">
        <f t="shared" ref="O41:R41" si="11">$J26*O$50</f>
        <v>0</v>
      </c>
      <c r="P41" s="454">
        <f t="shared" si="11"/>
        <v>0</v>
      </c>
      <c r="Q41" s="454">
        <f t="shared" si="11"/>
        <v>0</v>
      </c>
      <c r="R41" s="454">
        <f t="shared" si="11"/>
        <v>0</v>
      </c>
      <c r="S41" s="454">
        <f t="shared" si="6"/>
        <v>0</v>
      </c>
      <c r="T41" s="454">
        <f t="shared" si="6"/>
        <v>51280.836436854777</v>
      </c>
      <c r="U41" s="454">
        <f t="shared" si="9"/>
        <v>0</v>
      </c>
      <c r="V41" s="454">
        <f t="shared" si="10"/>
        <v>55931.022090550017</v>
      </c>
    </row>
    <row r="42" spans="2:24" ht="11.5" customHeight="1" outlineLevel="1" x14ac:dyDescent="0.25">
      <c r="B42" s="8" t="s">
        <v>39</v>
      </c>
      <c r="C42" s="30" t="s">
        <v>210</v>
      </c>
      <c r="D42" s="31" t="s">
        <v>40</v>
      </c>
      <c r="E42" s="451"/>
      <c r="F42" s="452"/>
      <c r="G42" s="452">
        <f t="shared" si="0"/>
        <v>0</v>
      </c>
      <c r="H42" s="452">
        <f t="shared" si="1"/>
        <v>0</v>
      </c>
      <c r="I42" s="452">
        <f t="shared" si="2"/>
        <v>0</v>
      </c>
      <c r="J42" s="452">
        <f t="shared" si="2"/>
        <v>0</v>
      </c>
      <c r="K42" s="452">
        <f t="shared" si="2"/>
        <v>0</v>
      </c>
      <c r="L42" s="453">
        <f t="shared" si="3"/>
        <v>0</v>
      </c>
      <c r="M42" s="454">
        <f t="shared" si="7"/>
        <v>3522826.7074085148</v>
      </c>
      <c r="N42" s="454">
        <f t="shared" si="7"/>
        <v>13175459.252473075</v>
      </c>
      <c r="O42" s="454">
        <f t="shared" ref="O42:R42" si="12">$J27*O$50</f>
        <v>0</v>
      </c>
      <c r="P42" s="454">
        <f t="shared" si="12"/>
        <v>0</v>
      </c>
      <c r="Q42" s="454">
        <f t="shared" si="12"/>
        <v>0</v>
      </c>
      <c r="R42" s="454">
        <f t="shared" si="12"/>
        <v>0</v>
      </c>
      <c r="S42" s="454">
        <f t="shared" si="6"/>
        <v>0</v>
      </c>
      <c r="T42" s="454">
        <f t="shared" si="6"/>
        <v>4558071.3509628549</v>
      </c>
      <c r="U42" s="454">
        <f t="shared" si="9"/>
        <v>7248370.5927858511</v>
      </c>
      <c r="V42" s="454">
        <f t="shared" si="10"/>
        <v>2747576.2067746553</v>
      </c>
    </row>
    <row r="43" spans="2:24" ht="11.5" customHeight="1" outlineLevel="1" x14ac:dyDescent="0.25">
      <c r="B43" s="8" t="s">
        <v>41</v>
      </c>
      <c r="C43" s="30" t="s">
        <v>210</v>
      </c>
      <c r="D43" s="31" t="s">
        <v>211</v>
      </c>
      <c r="E43" s="451"/>
      <c r="F43" s="452"/>
      <c r="G43" s="452">
        <f t="shared" si="0"/>
        <v>0</v>
      </c>
      <c r="H43" s="452">
        <f t="shared" si="1"/>
        <v>0</v>
      </c>
      <c r="I43" s="452">
        <f t="shared" si="2"/>
        <v>0</v>
      </c>
      <c r="J43" s="452">
        <f t="shared" si="2"/>
        <v>0</v>
      </c>
      <c r="K43" s="452">
        <f t="shared" si="2"/>
        <v>0</v>
      </c>
      <c r="L43" s="453">
        <f t="shared" si="3"/>
        <v>0</v>
      </c>
      <c r="M43" s="454">
        <f t="shared" si="7"/>
        <v>0</v>
      </c>
      <c r="N43" s="454">
        <f t="shared" si="7"/>
        <v>0</v>
      </c>
      <c r="O43" s="454">
        <f t="shared" ref="O43:R43" si="13">$J28*O$50</f>
        <v>0</v>
      </c>
      <c r="P43" s="454">
        <f t="shared" si="13"/>
        <v>0</v>
      </c>
      <c r="Q43" s="454">
        <f t="shared" si="13"/>
        <v>0</v>
      </c>
      <c r="R43" s="454">
        <f t="shared" si="13"/>
        <v>0</v>
      </c>
      <c r="S43" s="454">
        <f t="shared" si="6"/>
        <v>0</v>
      </c>
      <c r="T43" s="454">
        <f t="shared" si="6"/>
        <v>0</v>
      </c>
      <c r="U43" s="454">
        <f t="shared" si="9"/>
        <v>0</v>
      </c>
      <c r="V43" s="454">
        <f t="shared" si="10"/>
        <v>0</v>
      </c>
    </row>
    <row r="44" spans="2:24" ht="11.5" customHeight="1" outlineLevel="1" x14ac:dyDescent="0.25">
      <c r="B44" s="8" t="s">
        <v>43</v>
      </c>
      <c r="C44" s="30" t="s">
        <v>212</v>
      </c>
      <c r="D44" s="31" t="s">
        <v>44</v>
      </c>
      <c r="E44" s="451"/>
      <c r="F44" s="452"/>
      <c r="G44" s="452">
        <f t="shared" si="0"/>
        <v>0</v>
      </c>
      <c r="H44" s="452">
        <f t="shared" si="1"/>
        <v>0</v>
      </c>
      <c r="I44" s="452">
        <f t="shared" si="2"/>
        <v>0</v>
      </c>
      <c r="J44" s="452">
        <f t="shared" si="2"/>
        <v>0</v>
      </c>
      <c r="K44" s="452">
        <f t="shared" si="2"/>
        <v>0</v>
      </c>
      <c r="L44" s="453">
        <f t="shared" si="3"/>
        <v>0</v>
      </c>
      <c r="M44" s="454">
        <f t="shared" si="7"/>
        <v>1414859.3502948761</v>
      </c>
      <c r="N44" s="454">
        <f t="shared" si="7"/>
        <v>9319118.5125291962</v>
      </c>
      <c r="O44" s="454">
        <f t="shared" ref="O44:R44" si="14">$J29*O$50</f>
        <v>0</v>
      </c>
      <c r="P44" s="454">
        <f t="shared" si="14"/>
        <v>0</v>
      </c>
      <c r="Q44" s="454">
        <f t="shared" si="14"/>
        <v>0</v>
      </c>
      <c r="R44" s="454">
        <f t="shared" si="14"/>
        <v>0</v>
      </c>
      <c r="S44" s="454">
        <f t="shared" si="6"/>
        <v>0</v>
      </c>
      <c r="T44" s="454">
        <f t="shared" si="6"/>
        <v>1949009.1659804808</v>
      </c>
      <c r="U44" s="454">
        <f t="shared" si="9"/>
        <v>5126836.4375400273</v>
      </c>
      <c r="V44" s="454">
        <f t="shared" si="10"/>
        <v>1742083.6952306398</v>
      </c>
    </row>
    <row r="45" spans="2:24" ht="11.5" customHeight="1" outlineLevel="1" x14ac:dyDescent="0.25">
      <c r="B45" s="8" t="s">
        <v>45</v>
      </c>
      <c r="C45" s="30" t="s">
        <v>212</v>
      </c>
      <c r="D45" s="31" t="s">
        <v>46</v>
      </c>
      <c r="E45" s="451"/>
      <c r="F45" s="452"/>
      <c r="G45" s="452">
        <f t="shared" si="0"/>
        <v>0</v>
      </c>
      <c r="H45" s="452">
        <f t="shared" si="1"/>
        <v>0</v>
      </c>
      <c r="I45" s="452">
        <f t="shared" si="2"/>
        <v>0</v>
      </c>
      <c r="J45" s="452">
        <f t="shared" si="2"/>
        <v>0</v>
      </c>
      <c r="K45" s="452">
        <f t="shared" si="2"/>
        <v>0</v>
      </c>
      <c r="L45" s="453">
        <f t="shared" si="3"/>
        <v>0</v>
      </c>
      <c r="M45" s="454">
        <f t="shared" si="7"/>
        <v>196551.00878537129</v>
      </c>
      <c r="N45" s="454">
        <f t="shared" si="7"/>
        <v>494025.20578058669</v>
      </c>
      <c r="O45" s="454">
        <f t="shared" ref="O45:R45" si="15">$J30*O$50</f>
        <v>0</v>
      </c>
      <c r="P45" s="454">
        <f t="shared" si="15"/>
        <v>0</v>
      </c>
      <c r="Q45" s="454">
        <f t="shared" si="15"/>
        <v>0</v>
      </c>
      <c r="R45" s="454">
        <f t="shared" si="15"/>
        <v>0</v>
      </c>
      <c r="S45" s="454">
        <f t="shared" si="6"/>
        <v>0</v>
      </c>
      <c r="T45" s="454">
        <f t="shared" si="6"/>
        <v>110615.75973992827</v>
      </c>
      <c r="U45" s="454">
        <f t="shared" si="9"/>
        <v>271783.9055972824</v>
      </c>
      <c r="V45" s="454">
        <f t="shared" si="10"/>
        <v>138991.31826158785</v>
      </c>
    </row>
    <row r="46" spans="2:24" ht="11.5" customHeight="1" outlineLevel="1" x14ac:dyDescent="0.25">
      <c r="B46" s="8" t="s">
        <v>47</v>
      </c>
      <c r="C46" s="30" t="s">
        <v>212</v>
      </c>
      <c r="D46" s="31" t="s">
        <v>48</v>
      </c>
      <c r="E46" s="451"/>
      <c r="F46" s="452"/>
      <c r="G46" s="452">
        <f t="shared" si="0"/>
        <v>0</v>
      </c>
      <c r="H46" s="452">
        <f t="shared" si="1"/>
        <v>0</v>
      </c>
      <c r="I46" s="452">
        <f t="shared" si="2"/>
        <v>0</v>
      </c>
      <c r="J46" s="452">
        <f t="shared" si="2"/>
        <v>0</v>
      </c>
      <c r="K46" s="452">
        <f t="shared" si="2"/>
        <v>0</v>
      </c>
      <c r="L46" s="453">
        <f t="shared" si="3"/>
        <v>0</v>
      </c>
      <c r="M46" s="454">
        <f t="shared" si="7"/>
        <v>101706.58993079298</v>
      </c>
      <c r="N46" s="454">
        <f t="shared" si="7"/>
        <v>559469.34794188268</v>
      </c>
      <c r="O46" s="454">
        <f t="shared" ref="O46:R46" si="16">$J31*O$50</f>
        <v>0</v>
      </c>
      <c r="P46" s="454">
        <f t="shared" si="16"/>
        <v>0</v>
      </c>
      <c r="Q46" s="454">
        <f t="shared" si="16"/>
        <v>0</v>
      </c>
      <c r="R46" s="454">
        <f t="shared" si="16"/>
        <v>0</v>
      </c>
      <c r="S46" s="454">
        <f t="shared" si="6"/>
        <v>0</v>
      </c>
      <c r="T46" s="454">
        <f t="shared" si="6"/>
        <v>151642.55604850021</v>
      </c>
      <c r="U46" s="454">
        <f t="shared" si="9"/>
        <v>307787.46239345212</v>
      </c>
      <c r="V46" s="454">
        <f t="shared" si="10"/>
        <v>183954.20117759533</v>
      </c>
    </row>
    <row r="47" spans="2:24" ht="11.5" customHeight="1" outlineLevel="1" x14ac:dyDescent="0.25">
      <c r="B47" s="8" t="s">
        <v>49</v>
      </c>
      <c r="C47" s="30" t="s">
        <v>213</v>
      </c>
      <c r="D47" s="31" t="s">
        <v>50</v>
      </c>
      <c r="E47" s="451"/>
      <c r="F47" s="452"/>
      <c r="G47" s="452">
        <f t="shared" si="0"/>
        <v>0</v>
      </c>
      <c r="H47" s="452">
        <f t="shared" si="1"/>
        <v>0</v>
      </c>
      <c r="I47" s="452">
        <f t="shared" si="2"/>
        <v>0</v>
      </c>
      <c r="J47" s="452">
        <f t="shared" si="2"/>
        <v>0</v>
      </c>
      <c r="K47" s="452">
        <f t="shared" si="2"/>
        <v>0</v>
      </c>
      <c r="L47" s="453">
        <f t="shared" si="3"/>
        <v>0</v>
      </c>
      <c r="M47" s="454">
        <f t="shared" si="7"/>
        <v>132590.72003172906</v>
      </c>
      <c r="N47" s="454">
        <f t="shared" si="7"/>
        <v>144074.32569831164</v>
      </c>
      <c r="O47" s="454">
        <f t="shared" ref="O47:R47" si="17">$J32*O$50</f>
        <v>0</v>
      </c>
      <c r="P47" s="454">
        <f t="shared" si="17"/>
        <v>0</v>
      </c>
      <c r="Q47" s="454">
        <f t="shared" si="17"/>
        <v>0</v>
      </c>
      <c r="R47" s="454">
        <f t="shared" si="17"/>
        <v>0</v>
      </c>
      <c r="S47" s="454">
        <f t="shared" si="6"/>
        <v>0</v>
      </c>
      <c r="T47" s="454">
        <f t="shared" si="6"/>
        <v>0</v>
      </c>
      <c r="U47" s="454">
        <f t="shared" si="9"/>
        <v>79261.305853234211</v>
      </c>
      <c r="V47" s="454">
        <f t="shared" si="10"/>
        <v>132438.63207702525</v>
      </c>
    </row>
    <row r="48" spans="2:24" ht="11.5" customHeight="1" outlineLevel="1" x14ac:dyDescent="0.25">
      <c r="B48" s="8" t="s">
        <v>51</v>
      </c>
      <c r="C48" s="30" t="s">
        <v>213</v>
      </c>
      <c r="D48" s="31" t="s">
        <v>214</v>
      </c>
      <c r="E48" s="451"/>
      <c r="F48" s="452"/>
      <c r="G48" s="452">
        <f t="shared" si="0"/>
        <v>0</v>
      </c>
      <c r="H48" s="452">
        <f t="shared" si="1"/>
        <v>0</v>
      </c>
      <c r="I48" s="452">
        <f t="shared" si="2"/>
        <v>0</v>
      </c>
      <c r="J48" s="452">
        <f t="shared" si="2"/>
        <v>0</v>
      </c>
      <c r="K48" s="452">
        <f t="shared" si="2"/>
        <v>0</v>
      </c>
      <c r="L48" s="453">
        <f t="shared" si="3"/>
        <v>0</v>
      </c>
      <c r="M48" s="454">
        <f t="shared" si="7"/>
        <v>0</v>
      </c>
      <c r="N48" s="454">
        <f t="shared" si="7"/>
        <v>0</v>
      </c>
      <c r="O48" s="454">
        <f t="shared" ref="O48:R48" si="18">$J33*O$50</f>
        <v>0</v>
      </c>
      <c r="P48" s="454">
        <f t="shared" si="18"/>
        <v>0</v>
      </c>
      <c r="Q48" s="454">
        <f t="shared" si="18"/>
        <v>0</v>
      </c>
      <c r="R48" s="454">
        <f t="shared" si="18"/>
        <v>0</v>
      </c>
      <c r="S48" s="454">
        <f t="shared" si="6"/>
        <v>0</v>
      </c>
      <c r="T48" s="454">
        <f t="shared" si="6"/>
        <v>0</v>
      </c>
      <c r="U48" s="454">
        <f t="shared" si="9"/>
        <v>0</v>
      </c>
      <c r="V48" s="454">
        <f t="shared" si="10"/>
        <v>6297.579547053364</v>
      </c>
    </row>
    <row r="49" spans="2:24" ht="11.5" customHeight="1" outlineLevel="1" x14ac:dyDescent="0.25">
      <c r="B49" s="8" t="s">
        <v>53</v>
      </c>
      <c r="C49" s="30" t="s">
        <v>213</v>
      </c>
      <c r="D49" s="31" t="s">
        <v>54</v>
      </c>
      <c r="E49" s="451"/>
      <c r="F49" s="452"/>
      <c r="G49" s="452">
        <f t="shared" si="0"/>
        <v>0</v>
      </c>
      <c r="H49" s="452">
        <f t="shared" si="1"/>
        <v>0</v>
      </c>
      <c r="I49" s="452">
        <f t="shared" si="2"/>
        <v>0</v>
      </c>
      <c r="J49" s="452">
        <f t="shared" si="2"/>
        <v>0</v>
      </c>
      <c r="K49" s="452">
        <f t="shared" si="2"/>
        <v>0</v>
      </c>
      <c r="L49" s="453">
        <f t="shared" si="3"/>
        <v>0</v>
      </c>
      <c r="M49" s="454">
        <f t="shared" si="7"/>
        <v>0</v>
      </c>
      <c r="N49" s="454">
        <f t="shared" si="7"/>
        <v>0</v>
      </c>
      <c r="O49" s="454">
        <f t="shared" ref="O49:R49" si="19">$J34*O$50</f>
        <v>0</v>
      </c>
      <c r="P49" s="454">
        <f t="shared" si="19"/>
        <v>0</v>
      </c>
      <c r="Q49" s="454">
        <f t="shared" si="19"/>
        <v>0</v>
      </c>
      <c r="R49" s="454">
        <f t="shared" si="19"/>
        <v>0</v>
      </c>
      <c r="S49" s="454">
        <f t="shared" si="6"/>
        <v>0</v>
      </c>
      <c r="T49" s="454">
        <f t="shared" si="6"/>
        <v>0</v>
      </c>
      <c r="U49" s="454">
        <f t="shared" si="9"/>
        <v>0</v>
      </c>
      <c r="V49" s="454">
        <f t="shared" si="10"/>
        <v>0</v>
      </c>
    </row>
    <row r="50" spans="2:24" ht="11.5" customHeight="1" thickBot="1" x14ac:dyDescent="0.3">
      <c r="C50" s="528" t="s">
        <v>55</v>
      </c>
      <c r="D50" s="528"/>
      <c r="E50" s="433"/>
      <c r="F50" s="433"/>
      <c r="G50" s="433">
        <f>SUM(H50:K50)</f>
        <v>0</v>
      </c>
      <c r="H50" s="434"/>
      <c r="I50" s="434"/>
      <c r="J50" s="434"/>
      <c r="K50" s="434"/>
      <c r="L50" s="439"/>
      <c r="M50" s="445">
        <v>7114520</v>
      </c>
      <c r="N50" s="500">
        <v>29195783</v>
      </c>
      <c r="O50" s="445"/>
      <c r="P50" s="445"/>
      <c r="Q50" s="445"/>
      <c r="R50" s="445"/>
      <c r="S50" s="445"/>
      <c r="T50" s="445">
        <v>8932653</v>
      </c>
      <c r="U50" s="445">
        <v>16061820</v>
      </c>
      <c r="V50" s="445">
        <v>6322522</v>
      </c>
    </row>
    <row r="51" spans="2:24" ht="11.5" customHeight="1" thickTop="1" x14ac:dyDescent="0.25">
      <c r="E51" s="131"/>
      <c r="F51" s="131"/>
      <c r="G51" s="131"/>
      <c r="H51" s="131"/>
      <c r="I51" s="131"/>
      <c r="J51" s="131"/>
      <c r="K51" s="131"/>
      <c r="M51" s="131">
        <v>-7105933</v>
      </c>
      <c r="N51" s="131">
        <v>-28588840</v>
      </c>
      <c r="O51" s="131">
        <v>-4424641</v>
      </c>
      <c r="P51" s="131">
        <v>-4010156</v>
      </c>
      <c r="Q51" s="131">
        <v>-4718151</v>
      </c>
      <c r="R51" s="131">
        <v>-10510838</v>
      </c>
      <c r="T51" s="131"/>
    </row>
    <row r="52" spans="2:24" ht="13.5" thickBot="1" x14ac:dyDescent="0.35">
      <c r="C52" s="466" t="s">
        <v>221</v>
      </c>
      <c r="D52" s="466"/>
      <c r="E52" s="466" t="str">
        <f>E37</f>
        <v>Sep</v>
      </c>
      <c r="F52" s="467" t="s">
        <v>382</v>
      </c>
      <c r="G52" s="95" t="s">
        <v>386</v>
      </c>
    </row>
    <row r="53" spans="2:24" ht="23.15" customHeight="1" thickTop="1" thickBot="1" x14ac:dyDescent="0.3">
      <c r="C53" s="133" t="s">
        <v>23</v>
      </c>
      <c r="D53" s="133" t="s">
        <v>188</v>
      </c>
      <c r="E53" s="431" t="s">
        <v>202</v>
      </c>
      <c r="F53" s="431" t="s">
        <v>204</v>
      </c>
      <c r="G53" s="431" t="s">
        <v>205</v>
      </c>
      <c r="H53" s="431" t="s">
        <v>206</v>
      </c>
      <c r="I53" s="431" t="s">
        <v>207</v>
      </c>
      <c r="J53" s="431" t="s">
        <v>208</v>
      </c>
      <c r="K53" s="431" t="s">
        <v>209</v>
      </c>
      <c r="L53" s="446" t="s">
        <v>217</v>
      </c>
      <c r="M53" s="443" t="s">
        <v>373</v>
      </c>
      <c r="N53" s="443" t="s">
        <v>374</v>
      </c>
    </row>
    <row r="54" spans="2:24" ht="11.5" customHeight="1" outlineLevel="1" thickTop="1" x14ac:dyDescent="0.25">
      <c r="B54" s="8" t="s">
        <v>30</v>
      </c>
      <c r="C54" s="30" t="s">
        <v>210</v>
      </c>
      <c r="D54" s="31" t="s">
        <v>31</v>
      </c>
      <c r="E54" s="451"/>
      <c r="F54" s="452"/>
      <c r="G54" s="452">
        <f t="shared" ref="G54:G64" si="20">SUM(H54:K54)</f>
        <v>0</v>
      </c>
      <c r="H54" s="452">
        <f t="shared" ref="H54:H65" si="21">H39</f>
        <v>0</v>
      </c>
      <c r="I54" s="452">
        <f t="shared" ref="I54:K64" si="22">I24*I$65</f>
        <v>0</v>
      </c>
      <c r="J54" s="452">
        <f t="shared" si="22"/>
        <v>0</v>
      </c>
      <c r="K54" s="452">
        <f t="shared" si="22"/>
        <v>0</v>
      </c>
      <c r="L54" s="453">
        <f t="shared" ref="L54:L65" si="23">L39</f>
        <v>0</v>
      </c>
      <c r="M54" s="454">
        <f>I24*M$65</f>
        <v>0</v>
      </c>
      <c r="N54" s="454">
        <f>J24*N$65</f>
        <v>0</v>
      </c>
    </row>
    <row r="55" spans="2:24" ht="11.5" customHeight="1" outlineLevel="1" x14ac:dyDescent="0.25">
      <c r="B55" s="8" t="s">
        <v>35</v>
      </c>
      <c r="C55" s="30" t="s">
        <v>210</v>
      </c>
      <c r="D55" s="31" t="s">
        <v>36</v>
      </c>
      <c r="E55" s="451"/>
      <c r="F55" s="452"/>
      <c r="G55" s="452">
        <f t="shared" si="20"/>
        <v>0</v>
      </c>
      <c r="H55" s="452">
        <f t="shared" si="21"/>
        <v>0</v>
      </c>
      <c r="I55" s="452">
        <f t="shared" si="22"/>
        <v>0</v>
      </c>
      <c r="J55" s="452">
        <f t="shared" si="22"/>
        <v>0</v>
      </c>
      <c r="K55" s="452">
        <f t="shared" si="22"/>
        <v>0</v>
      </c>
      <c r="L55" s="453">
        <f t="shared" si="23"/>
        <v>0</v>
      </c>
      <c r="M55" s="454">
        <f t="shared" ref="M55:N55" si="24">I25*M$65</f>
        <v>0</v>
      </c>
      <c r="N55" s="454">
        <f t="shared" si="24"/>
        <v>0</v>
      </c>
    </row>
    <row r="56" spans="2:24" ht="11.5" customHeight="1" outlineLevel="1" x14ac:dyDescent="0.25">
      <c r="B56" s="8" t="s">
        <v>37</v>
      </c>
      <c r="C56" s="30" t="s">
        <v>210</v>
      </c>
      <c r="D56" s="31" t="s">
        <v>38</v>
      </c>
      <c r="E56" s="451"/>
      <c r="F56" s="452"/>
      <c r="G56" s="452">
        <f t="shared" si="20"/>
        <v>0</v>
      </c>
      <c r="H56" s="452">
        <f t="shared" si="21"/>
        <v>0</v>
      </c>
      <c r="I56" s="452">
        <f t="shared" si="22"/>
        <v>0</v>
      </c>
      <c r="J56" s="452">
        <f t="shared" si="22"/>
        <v>0</v>
      </c>
      <c r="K56" s="452">
        <f t="shared" si="22"/>
        <v>0</v>
      </c>
      <c r="L56" s="453">
        <f t="shared" si="23"/>
        <v>0</v>
      </c>
      <c r="M56" s="454">
        <f t="shared" ref="M56:N56" si="25">I26*M$65</f>
        <v>0</v>
      </c>
      <c r="N56" s="454">
        <f t="shared" si="25"/>
        <v>0</v>
      </c>
    </row>
    <row r="57" spans="2:24" ht="11.5" customHeight="1" outlineLevel="1" x14ac:dyDescent="0.25">
      <c r="B57" s="8" t="s">
        <v>39</v>
      </c>
      <c r="C57" s="30" t="s">
        <v>210</v>
      </c>
      <c r="D57" s="31" t="s">
        <v>40</v>
      </c>
      <c r="E57" s="451"/>
      <c r="F57" s="452"/>
      <c r="G57" s="452">
        <f t="shared" si="20"/>
        <v>0</v>
      </c>
      <c r="H57" s="452">
        <f t="shared" si="21"/>
        <v>0</v>
      </c>
      <c r="I57" s="452">
        <f t="shared" si="22"/>
        <v>0</v>
      </c>
      <c r="J57" s="452">
        <f t="shared" si="22"/>
        <v>0</v>
      </c>
      <c r="K57" s="452">
        <f t="shared" si="22"/>
        <v>0</v>
      </c>
      <c r="L57" s="453">
        <f t="shared" si="23"/>
        <v>0</v>
      </c>
      <c r="M57" s="454">
        <f t="shared" ref="M57:N57" si="26">I27*M$65</f>
        <v>0</v>
      </c>
      <c r="N57" s="454">
        <f t="shared" si="26"/>
        <v>0</v>
      </c>
    </row>
    <row r="58" spans="2:24" ht="11.5" customHeight="1" outlineLevel="1" x14ac:dyDescent="0.25">
      <c r="B58" s="8" t="s">
        <v>41</v>
      </c>
      <c r="C58" s="30" t="s">
        <v>210</v>
      </c>
      <c r="D58" s="31" t="s">
        <v>211</v>
      </c>
      <c r="E58" s="451"/>
      <c r="F58" s="452"/>
      <c r="G58" s="452">
        <f t="shared" si="20"/>
        <v>0</v>
      </c>
      <c r="H58" s="452">
        <f t="shared" si="21"/>
        <v>0</v>
      </c>
      <c r="I58" s="452">
        <f t="shared" si="22"/>
        <v>0</v>
      </c>
      <c r="J58" s="452">
        <f t="shared" si="22"/>
        <v>0</v>
      </c>
      <c r="K58" s="452">
        <f t="shared" si="22"/>
        <v>0</v>
      </c>
      <c r="L58" s="453">
        <f t="shared" si="23"/>
        <v>0</v>
      </c>
      <c r="M58" s="454">
        <f t="shared" ref="M58:N58" si="27">I28*M$65</f>
        <v>0</v>
      </c>
      <c r="N58" s="454">
        <f t="shared" si="27"/>
        <v>0</v>
      </c>
    </row>
    <row r="59" spans="2:24" ht="11.5" customHeight="1" outlineLevel="1" x14ac:dyDescent="0.25">
      <c r="B59" s="8" t="s">
        <v>43</v>
      </c>
      <c r="C59" s="30" t="s">
        <v>212</v>
      </c>
      <c r="D59" s="31" t="s">
        <v>44</v>
      </c>
      <c r="E59" s="451"/>
      <c r="F59" s="452"/>
      <c r="G59" s="452">
        <f t="shared" si="20"/>
        <v>0</v>
      </c>
      <c r="H59" s="452">
        <f t="shared" si="21"/>
        <v>0</v>
      </c>
      <c r="I59" s="452">
        <f t="shared" si="22"/>
        <v>0</v>
      </c>
      <c r="J59" s="452">
        <f t="shared" si="22"/>
        <v>0</v>
      </c>
      <c r="K59" s="452">
        <f t="shared" si="22"/>
        <v>0</v>
      </c>
      <c r="L59" s="453">
        <f t="shared" si="23"/>
        <v>0</v>
      </c>
      <c r="M59" s="454">
        <f t="shared" ref="M59:N59" si="28">I29*M$65</f>
        <v>0</v>
      </c>
      <c r="N59" s="454">
        <f t="shared" si="28"/>
        <v>0</v>
      </c>
    </row>
    <row r="60" spans="2:24" ht="11.5" customHeight="1" outlineLevel="1" x14ac:dyDescent="0.25">
      <c r="B60" s="8" t="s">
        <v>45</v>
      </c>
      <c r="C60" s="30" t="s">
        <v>212</v>
      </c>
      <c r="D60" s="31" t="s">
        <v>46</v>
      </c>
      <c r="E60" s="451"/>
      <c r="F60" s="452"/>
      <c r="G60" s="452">
        <f t="shared" si="20"/>
        <v>0</v>
      </c>
      <c r="H60" s="452">
        <f t="shared" si="21"/>
        <v>0</v>
      </c>
      <c r="I60" s="452">
        <f t="shared" si="22"/>
        <v>0</v>
      </c>
      <c r="J60" s="452">
        <f t="shared" si="22"/>
        <v>0</v>
      </c>
      <c r="K60" s="452">
        <f t="shared" si="22"/>
        <v>0</v>
      </c>
      <c r="L60" s="453">
        <f t="shared" si="23"/>
        <v>0</v>
      </c>
      <c r="M60" s="454">
        <f t="shared" ref="M60:N60" si="29">I30*M$65</f>
        <v>0</v>
      </c>
      <c r="N60" s="454">
        <f t="shared" si="29"/>
        <v>0</v>
      </c>
    </row>
    <row r="61" spans="2:24" ht="11.5" customHeight="1" outlineLevel="1" x14ac:dyDescent="0.25">
      <c r="B61" s="8" t="s">
        <v>47</v>
      </c>
      <c r="C61" s="30" t="s">
        <v>212</v>
      </c>
      <c r="D61" s="31" t="s">
        <v>48</v>
      </c>
      <c r="E61" s="451"/>
      <c r="F61" s="452"/>
      <c r="G61" s="452">
        <f t="shared" si="20"/>
        <v>0</v>
      </c>
      <c r="H61" s="452">
        <f t="shared" si="21"/>
        <v>0</v>
      </c>
      <c r="I61" s="452">
        <f t="shared" si="22"/>
        <v>0</v>
      </c>
      <c r="J61" s="452">
        <f t="shared" si="22"/>
        <v>0</v>
      </c>
      <c r="K61" s="452">
        <f t="shared" si="22"/>
        <v>0</v>
      </c>
      <c r="L61" s="453">
        <f t="shared" si="23"/>
        <v>0</v>
      </c>
      <c r="M61" s="454">
        <f t="shared" ref="M61:N61" si="30">I31*M$65</f>
        <v>0</v>
      </c>
      <c r="N61" s="454">
        <f t="shared" si="30"/>
        <v>0</v>
      </c>
    </row>
    <row r="62" spans="2:24" ht="11.5" customHeight="1" outlineLevel="1" x14ac:dyDescent="0.25">
      <c r="B62" s="8" t="s">
        <v>49</v>
      </c>
      <c r="C62" s="30" t="s">
        <v>213</v>
      </c>
      <c r="D62" s="31" t="s">
        <v>50</v>
      </c>
      <c r="E62" s="451"/>
      <c r="F62" s="452"/>
      <c r="G62" s="452">
        <f t="shared" si="20"/>
        <v>0</v>
      </c>
      <c r="H62" s="452">
        <f t="shared" si="21"/>
        <v>0</v>
      </c>
      <c r="I62" s="452">
        <f t="shared" si="22"/>
        <v>0</v>
      </c>
      <c r="J62" s="452">
        <f t="shared" si="22"/>
        <v>0</v>
      </c>
      <c r="K62" s="452">
        <f t="shared" si="22"/>
        <v>0</v>
      </c>
      <c r="L62" s="453">
        <f t="shared" si="23"/>
        <v>0</v>
      </c>
      <c r="M62" s="454">
        <f t="shared" ref="M62:N62" si="31">I32*M$65</f>
        <v>0</v>
      </c>
      <c r="N62" s="454">
        <f t="shared" si="31"/>
        <v>0</v>
      </c>
    </row>
    <row r="63" spans="2:24" ht="11.5" customHeight="1" outlineLevel="1" x14ac:dyDescent="0.25">
      <c r="B63" s="8" t="s">
        <v>51</v>
      </c>
      <c r="C63" s="30" t="s">
        <v>213</v>
      </c>
      <c r="D63" s="31" t="s">
        <v>214</v>
      </c>
      <c r="E63" s="451"/>
      <c r="F63" s="452"/>
      <c r="G63" s="452">
        <f t="shared" si="20"/>
        <v>0</v>
      </c>
      <c r="H63" s="452">
        <f t="shared" si="21"/>
        <v>0</v>
      </c>
      <c r="I63" s="452">
        <f t="shared" si="22"/>
        <v>0</v>
      </c>
      <c r="J63" s="452">
        <f t="shared" si="22"/>
        <v>0</v>
      </c>
      <c r="K63" s="452">
        <f t="shared" si="22"/>
        <v>0</v>
      </c>
      <c r="L63" s="453">
        <f t="shared" si="23"/>
        <v>0</v>
      </c>
      <c r="M63" s="454">
        <f t="shared" ref="M63:N63" si="32">I33*M$65</f>
        <v>0</v>
      </c>
      <c r="N63" s="454">
        <f t="shared" si="32"/>
        <v>0</v>
      </c>
    </row>
    <row r="64" spans="2:24" ht="11.5" customHeight="1" outlineLevel="1" x14ac:dyDescent="0.25">
      <c r="B64" s="8" t="s">
        <v>53</v>
      </c>
      <c r="C64" s="30" t="s">
        <v>213</v>
      </c>
      <c r="D64" s="31" t="s">
        <v>54</v>
      </c>
      <c r="E64" s="451"/>
      <c r="F64" s="452"/>
      <c r="G64" s="452">
        <f t="shared" si="20"/>
        <v>0</v>
      </c>
      <c r="H64" s="452">
        <f t="shared" si="21"/>
        <v>0</v>
      </c>
      <c r="I64" s="452">
        <f t="shared" si="22"/>
        <v>0</v>
      </c>
      <c r="J64" s="452">
        <f t="shared" si="22"/>
        <v>0</v>
      </c>
      <c r="K64" s="452">
        <f t="shared" si="22"/>
        <v>0</v>
      </c>
      <c r="L64" s="453">
        <f t="shared" si="23"/>
        <v>0</v>
      </c>
      <c r="M64" s="454">
        <f t="shared" ref="M64:N64" si="33">I34*M$65</f>
        <v>0</v>
      </c>
      <c r="N64" s="454">
        <f t="shared" si="33"/>
        <v>0</v>
      </c>
      <c r="X64" s="8"/>
    </row>
    <row r="65" spans="2:24" ht="11.5" customHeight="1" thickBot="1" x14ac:dyDescent="0.3">
      <c r="C65" s="528" t="s">
        <v>55</v>
      </c>
      <c r="D65" s="528"/>
      <c r="E65" s="433"/>
      <c r="F65" s="433"/>
      <c r="G65" s="433">
        <f>SUM(H65:K65)</f>
        <v>0</v>
      </c>
      <c r="H65" s="437">
        <f t="shared" si="21"/>
        <v>0</v>
      </c>
      <c r="I65" s="434"/>
      <c r="J65" s="434"/>
      <c r="K65" s="434"/>
      <c r="L65" s="440">
        <f t="shared" si="23"/>
        <v>0</v>
      </c>
      <c r="M65" s="445"/>
      <c r="N65" s="445"/>
      <c r="X65" s="8"/>
    </row>
    <row r="66" spans="2:24" ht="11.5" customHeight="1" thickTop="1" x14ac:dyDescent="0.25">
      <c r="E66" s="131"/>
      <c r="F66" s="131"/>
      <c r="G66" s="131"/>
      <c r="H66" s="131"/>
      <c r="I66" s="131"/>
      <c r="J66" s="131"/>
      <c r="K66" s="131"/>
      <c r="V66" s="8"/>
      <c r="X66" s="8"/>
    </row>
    <row r="67" spans="2:24" ht="13.5" thickBot="1" x14ac:dyDescent="0.35">
      <c r="C67" s="449" t="s">
        <v>276</v>
      </c>
      <c r="D67" s="449"/>
      <c r="E67" s="449"/>
      <c r="F67" s="450"/>
      <c r="G67" s="95" t="s">
        <v>386</v>
      </c>
      <c r="V67" s="8"/>
      <c r="X67" s="8"/>
    </row>
    <row r="68" spans="2:24" ht="23.15" customHeight="1" thickTop="1" thickBot="1" x14ac:dyDescent="0.3">
      <c r="C68" s="133" t="s">
        <v>23</v>
      </c>
      <c r="D68" s="133" t="s">
        <v>188</v>
      </c>
      <c r="E68" s="431" t="s">
        <v>202</v>
      </c>
      <c r="F68" s="431" t="s">
        <v>204</v>
      </c>
      <c r="G68" s="431" t="s">
        <v>205</v>
      </c>
      <c r="H68" s="431" t="s">
        <v>206</v>
      </c>
      <c r="I68" s="431" t="s">
        <v>207</v>
      </c>
      <c r="J68" s="431" t="s">
        <v>208</v>
      </c>
      <c r="K68" s="431" t="s">
        <v>209</v>
      </c>
      <c r="L68" s="446" t="s">
        <v>217</v>
      </c>
      <c r="M68" s="443" t="s">
        <v>373</v>
      </c>
      <c r="N68" s="443" t="s">
        <v>374</v>
      </c>
      <c r="O68" s="442" t="s">
        <v>371</v>
      </c>
      <c r="P68" s="442" t="s">
        <v>372</v>
      </c>
      <c r="Q68" s="442" t="s">
        <v>375</v>
      </c>
      <c r="R68" s="442" t="s">
        <v>376</v>
      </c>
      <c r="V68" s="8"/>
      <c r="X68" s="8"/>
    </row>
    <row r="69" spans="2:24" ht="11.5" customHeight="1" outlineLevel="1" thickTop="1" x14ac:dyDescent="0.25">
      <c r="B69" s="8" t="s">
        <v>30</v>
      </c>
      <c r="C69" s="432" t="s">
        <v>210</v>
      </c>
      <c r="D69" s="435" t="s">
        <v>31</v>
      </c>
      <c r="E69" s="436"/>
      <c r="F69" s="432"/>
      <c r="G69" s="432">
        <f t="shared" ref="G69:G79" si="34">SUM(H69:K69)</f>
        <v>0</v>
      </c>
      <c r="H69" s="432">
        <f t="shared" ref="H69:H80" si="35">H39</f>
        <v>0</v>
      </c>
      <c r="I69" s="432">
        <f t="shared" ref="I69:N80" si="36">SUM(I54,I39)</f>
        <v>0</v>
      </c>
      <c r="J69" s="432">
        <f t="shared" si="36"/>
        <v>0</v>
      </c>
      <c r="K69" s="432">
        <f t="shared" si="36"/>
        <v>0</v>
      </c>
      <c r="L69" s="438">
        <f t="shared" ref="L69:L80" si="37">L39</f>
        <v>0</v>
      </c>
      <c r="M69" s="444">
        <f t="shared" ref="M69" si="38">SUM(M54,M39)</f>
        <v>1638147.8984347619</v>
      </c>
      <c r="N69" s="444">
        <f>SUM(N54,N39)</f>
        <v>6722450.785802464</v>
      </c>
      <c r="O69" s="432">
        <f t="shared" ref="O69:R79" si="39">($F24*O$80)</f>
        <v>0</v>
      </c>
      <c r="P69" s="432">
        <f t="shared" si="39"/>
        <v>1508792.3878151153</v>
      </c>
      <c r="Q69" s="432">
        <f t="shared" si="39"/>
        <v>0</v>
      </c>
      <c r="R69" s="432">
        <f t="shared" si="39"/>
        <v>0</v>
      </c>
      <c r="V69" s="8"/>
      <c r="X69" s="8"/>
    </row>
    <row r="70" spans="2:24" ht="11.5" customHeight="1" outlineLevel="1" x14ac:dyDescent="0.25">
      <c r="B70" s="8" t="s">
        <v>35</v>
      </c>
      <c r="C70" s="432" t="s">
        <v>210</v>
      </c>
      <c r="D70" s="435" t="s">
        <v>36</v>
      </c>
      <c r="E70" s="436"/>
      <c r="F70" s="432"/>
      <c r="G70" s="432">
        <f t="shared" si="34"/>
        <v>0</v>
      </c>
      <c r="H70" s="432">
        <f t="shared" si="35"/>
        <v>0</v>
      </c>
      <c r="I70" s="432">
        <f t="shared" si="36"/>
        <v>0</v>
      </c>
      <c r="J70" s="432">
        <f t="shared" si="36"/>
        <v>0</v>
      </c>
      <c r="K70" s="432">
        <f t="shared" si="36"/>
        <v>0</v>
      </c>
      <c r="L70" s="438">
        <f t="shared" si="37"/>
        <v>0</v>
      </c>
      <c r="M70" s="444">
        <f t="shared" ref="M70:N70" si="40">SUM(M55,M40)</f>
        <v>0</v>
      </c>
      <c r="N70" s="444">
        <f t="shared" si="40"/>
        <v>0</v>
      </c>
      <c r="O70" s="432">
        <f t="shared" si="39"/>
        <v>0</v>
      </c>
      <c r="P70" s="432">
        <f t="shared" si="39"/>
        <v>549.64013115870512</v>
      </c>
      <c r="Q70" s="432">
        <f t="shared" si="39"/>
        <v>0</v>
      </c>
      <c r="R70" s="432">
        <f t="shared" si="39"/>
        <v>0</v>
      </c>
      <c r="V70" s="8"/>
      <c r="X70" s="8"/>
    </row>
    <row r="71" spans="2:24" ht="11.5" customHeight="1" outlineLevel="1" x14ac:dyDescent="0.25">
      <c r="B71" s="8" t="s">
        <v>37</v>
      </c>
      <c r="C71" s="432" t="s">
        <v>210</v>
      </c>
      <c r="D71" s="435" t="s">
        <v>38</v>
      </c>
      <c r="E71" s="436"/>
      <c r="F71" s="432"/>
      <c r="G71" s="432">
        <f t="shared" si="34"/>
        <v>0</v>
      </c>
      <c r="H71" s="432">
        <f t="shared" si="35"/>
        <v>0</v>
      </c>
      <c r="I71" s="432">
        <f t="shared" si="36"/>
        <v>0</v>
      </c>
      <c r="J71" s="432">
        <f t="shared" si="36"/>
        <v>0</v>
      </c>
      <c r="K71" s="432">
        <f t="shared" si="36"/>
        <v>0</v>
      </c>
      <c r="L71" s="438">
        <f t="shared" si="37"/>
        <v>0</v>
      </c>
      <c r="M71" s="444">
        <f t="shared" ref="M71:N71" si="41">SUM(M56,M41)</f>
        <v>107837.72511395425</v>
      </c>
      <c r="N71" s="444">
        <f t="shared" si="41"/>
        <v>0</v>
      </c>
      <c r="O71" s="432">
        <f t="shared" si="39"/>
        <v>0</v>
      </c>
      <c r="P71" s="432">
        <f t="shared" si="39"/>
        <v>64184.819888635509</v>
      </c>
      <c r="Q71" s="432">
        <f t="shared" si="39"/>
        <v>0</v>
      </c>
      <c r="R71" s="432">
        <f t="shared" si="39"/>
        <v>0</v>
      </c>
      <c r="V71" s="8"/>
      <c r="X71" s="8"/>
    </row>
    <row r="72" spans="2:24" ht="11.5" customHeight="1" outlineLevel="1" x14ac:dyDescent="0.25">
      <c r="B72" s="8" t="s">
        <v>39</v>
      </c>
      <c r="C72" s="432" t="s">
        <v>210</v>
      </c>
      <c r="D72" s="435" t="s">
        <v>40</v>
      </c>
      <c r="E72" s="436"/>
      <c r="F72" s="432"/>
      <c r="G72" s="432">
        <f t="shared" si="34"/>
        <v>0</v>
      </c>
      <c r="H72" s="432">
        <f t="shared" si="35"/>
        <v>0</v>
      </c>
      <c r="I72" s="432">
        <f t="shared" si="36"/>
        <v>0</v>
      </c>
      <c r="J72" s="432">
        <f t="shared" si="36"/>
        <v>0</v>
      </c>
      <c r="K72" s="432">
        <f t="shared" si="36"/>
        <v>0</v>
      </c>
      <c r="L72" s="438">
        <f t="shared" si="37"/>
        <v>0</v>
      </c>
      <c r="M72" s="444">
        <f t="shared" ref="M72:N72" si="42">SUM(M57,M42)</f>
        <v>3522826.7074085148</v>
      </c>
      <c r="N72" s="444">
        <f t="shared" si="42"/>
        <v>13175459.252473075</v>
      </c>
      <c r="O72" s="432">
        <f t="shared" si="39"/>
        <v>0</v>
      </c>
      <c r="P72" s="432">
        <f t="shared" si="39"/>
        <v>3153038.821222038</v>
      </c>
      <c r="Q72" s="432">
        <f t="shared" si="39"/>
        <v>0</v>
      </c>
      <c r="R72" s="432">
        <f t="shared" si="39"/>
        <v>0</v>
      </c>
      <c r="V72" s="8"/>
      <c r="X72" s="8"/>
    </row>
    <row r="73" spans="2:24" ht="11.5" customHeight="1" outlineLevel="1" x14ac:dyDescent="0.25">
      <c r="B73" s="8" t="s">
        <v>41</v>
      </c>
      <c r="C73" s="432" t="s">
        <v>210</v>
      </c>
      <c r="D73" s="435" t="s">
        <v>211</v>
      </c>
      <c r="E73" s="436"/>
      <c r="F73" s="432"/>
      <c r="G73" s="432">
        <f t="shared" si="34"/>
        <v>0</v>
      </c>
      <c r="H73" s="432">
        <f t="shared" si="35"/>
        <v>0</v>
      </c>
      <c r="I73" s="432">
        <f t="shared" si="36"/>
        <v>0</v>
      </c>
      <c r="J73" s="432">
        <f t="shared" si="36"/>
        <v>0</v>
      </c>
      <c r="K73" s="432">
        <f t="shared" si="36"/>
        <v>0</v>
      </c>
      <c r="L73" s="438">
        <f t="shared" si="37"/>
        <v>0</v>
      </c>
      <c r="M73" s="444">
        <f t="shared" ref="M73:N73" si="43">SUM(M58,M43)</f>
        <v>0</v>
      </c>
      <c r="N73" s="444">
        <f t="shared" si="43"/>
        <v>0</v>
      </c>
      <c r="O73" s="432">
        <f t="shared" si="39"/>
        <v>0</v>
      </c>
      <c r="P73" s="432">
        <f t="shared" si="39"/>
        <v>0</v>
      </c>
      <c r="Q73" s="432">
        <f t="shared" si="39"/>
        <v>0</v>
      </c>
      <c r="R73" s="432">
        <f t="shared" si="39"/>
        <v>0</v>
      </c>
      <c r="V73" s="8"/>
      <c r="X73" s="8"/>
    </row>
    <row r="74" spans="2:24" ht="11.5" customHeight="1" outlineLevel="1" x14ac:dyDescent="0.25">
      <c r="B74" s="8" t="s">
        <v>43</v>
      </c>
      <c r="C74" s="432" t="s">
        <v>212</v>
      </c>
      <c r="D74" s="435" t="s">
        <v>44</v>
      </c>
      <c r="E74" s="436"/>
      <c r="F74" s="432"/>
      <c r="G74" s="432">
        <f t="shared" si="34"/>
        <v>0</v>
      </c>
      <c r="H74" s="432">
        <f t="shared" si="35"/>
        <v>0</v>
      </c>
      <c r="I74" s="432">
        <f t="shared" si="36"/>
        <v>0</v>
      </c>
      <c r="J74" s="432">
        <f t="shared" si="36"/>
        <v>0</v>
      </c>
      <c r="K74" s="432">
        <f t="shared" si="36"/>
        <v>0</v>
      </c>
      <c r="L74" s="438">
        <f t="shared" si="37"/>
        <v>0</v>
      </c>
      <c r="M74" s="444">
        <f t="shared" ref="M74:N74" si="44">SUM(M59,M44)</f>
        <v>1414859.3502948761</v>
      </c>
      <c r="N74" s="444">
        <f t="shared" si="44"/>
        <v>9319118.5125291962</v>
      </c>
      <c r="O74" s="432">
        <f t="shared" si="39"/>
        <v>0</v>
      </c>
      <c r="P74" s="432">
        <f t="shared" si="39"/>
        <v>1999164.7574092748</v>
      </c>
      <c r="Q74" s="432">
        <f t="shared" si="39"/>
        <v>0</v>
      </c>
      <c r="R74" s="432">
        <f t="shared" si="39"/>
        <v>0</v>
      </c>
      <c r="V74" s="8"/>
      <c r="X74" s="8"/>
    </row>
    <row r="75" spans="2:24" ht="11.5" customHeight="1" outlineLevel="1" x14ac:dyDescent="0.25">
      <c r="B75" s="8" t="s">
        <v>45</v>
      </c>
      <c r="C75" s="432" t="s">
        <v>212</v>
      </c>
      <c r="D75" s="435" t="s">
        <v>46</v>
      </c>
      <c r="E75" s="436"/>
      <c r="F75" s="432"/>
      <c r="G75" s="432">
        <f t="shared" si="34"/>
        <v>0</v>
      </c>
      <c r="H75" s="432">
        <f t="shared" si="35"/>
        <v>0</v>
      </c>
      <c r="I75" s="432">
        <f t="shared" si="36"/>
        <v>0</v>
      </c>
      <c r="J75" s="432">
        <f t="shared" si="36"/>
        <v>0</v>
      </c>
      <c r="K75" s="432">
        <f t="shared" si="36"/>
        <v>0</v>
      </c>
      <c r="L75" s="438">
        <f t="shared" si="37"/>
        <v>0</v>
      </c>
      <c r="M75" s="444">
        <f t="shared" ref="M75:N75" si="45">SUM(M60,M45)</f>
        <v>196551.00878537129</v>
      </c>
      <c r="N75" s="444">
        <f t="shared" si="45"/>
        <v>494025.20578058669</v>
      </c>
      <c r="O75" s="432">
        <f t="shared" si="39"/>
        <v>0</v>
      </c>
      <c r="P75" s="432">
        <f t="shared" si="39"/>
        <v>159502.40841765926</v>
      </c>
      <c r="Q75" s="432">
        <f t="shared" si="39"/>
        <v>0</v>
      </c>
      <c r="R75" s="432">
        <f t="shared" si="39"/>
        <v>0</v>
      </c>
      <c r="V75" s="8"/>
      <c r="X75" s="8"/>
    </row>
    <row r="76" spans="2:24" ht="11.5" customHeight="1" outlineLevel="1" x14ac:dyDescent="0.25">
      <c r="B76" s="8" t="s">
        <v>47</v>
      </c>
      <c r="C76" s="432" t="s">
        <v>212</v>
      </c>
      <c r="D76" s="435" t="s">
        <v>48</v>
      </c>
      <c r="E76" s="436"/>
      <c r="F76" s="432"/>
      <c r="G76" s="432">
        <f t="shared" si="34"/>
        <v>0</v>
      </c>
      <c r="H76" s="432">
        <f t="shared" si="35"/>
        <v>0</v>
      </c>
      <c r="I76" s="432">
        <f t="shared" si="36"/>
        <v>0</v>
      </c>
      <c r="J76" s="432">
        <f t="shared" si="36"/>
        <v>0</v>
      </c>
      <c r="K76" s="432">
        <f t="shared" si="36"/>
        <v>0</v>
      </c>
      <c r="L76" s="438">
        <f t="shared" si="37"/>
        <v>0</v>
      </c>
      <c r="M76" s="444">
        <f t="shared" ref="M76:N76" si="46">SUM(M61,M46)</f>
        <v>101706.58993079298</v>
      </c>
      <c r="N76" s="444">
        <f t="shared" si="46"/>
        <v>559469.34794188268</v>
      </c>
      <c r="O76" s="432">
        <f t="shared" si="39"/>
        <v>0</v>
      </c>
      <c r="P76" s="432">
        <f t="shared" si="39"/>
        <v>211100.50968184744</v>
      </c>
      <c r="Q76" s="432">
        <f t="shared" si="39"/>
        <v>0</v>
      </c>
      <c r="R76" s="432">
        <f t="shared" si="39"/>
        <v>0</v>
      </c>
      <c r="V76" s="8"/>
      <c r="X76" s="8"/>
    </row>
    <row r="77" spans="2:24" ht="11.5" customHeight="1" outlineLevel="1" x14ac:dyDescent="0.25">
      <c r="B77" s="8" t="s">
        <v>49</v>
      </c>
      <c r="C77" s="432" t="s">
        <v>213</v>
      </c>
      <c r="D77" s="435" t="s">
        <v>50</v>
      </c>
      <c r="E77" s="436"/>
      <c r="F77" s="432"/>
      <c r="G77" s="432">
        <f t="shared" si="34"/>
        <v>0</v>
      </c>
      <c r="H77" s="432">
        <f t="shared" si="35"/>
        <v>0</v>
      </c>
      <c r="I77" s="432">
        <f t="shared" si="36"/>
        <v>0</v>
      </c>
      <c r="J77" s="432">
        <f t="shared" si="36"/>
        <v>0</v>
      </c>
      <c r="K77" s="432">
        <f t="shared" si="36"/>
        <v>0</v>
      </c>
      <c r="L77" s="438">
        <f t="shared" si="37"/>
        <v>0</v>
      </c>
      <c r="M77" s="444">
        <f t="shared" ref="M77:N77" si="47">SUM(M62,M47)</f>
        <v>132590.72003172906</v>
      </c>
      <c r="N77" s="444">
        <f t="shared" si="47"/>
        <v>144074.32569831164</v>
      </c>
      <c r="O77" s="432">
        <f t="shared" si="39"/>
        <v>0</v>
      </c>
      <c r="P77" s="432">
        <f t="shared" si="39"/>
        <v>151982.73567036001</v>
      </c>
      <c r="Q77" s="432">
        <f t="shared" si="39"/>
        <v>0</v>
      </c>
      <c r="R77" s="432">
        <f t="shared" si="39"/>
        <v>0</v>
      </c>
      <c r="V77" s="8"/>
      <c r="X77" s="8"/>
    </row>
    <row r="78" spans="2:24" ht="11.5" customHeight="1" outlineLevel="1" x14ac:dyDescent="0.25">
      <c r="B78" s="8" t="s">
        <v>51</v>
      </c>
      <c r="C78" s="432" t="s">
        <v>213</v>
      </c>
      <c r="D78" s="435" t="s">
        <v>214</v>
      </c>
      <c r="E78" s="436"/>
      <c r="F78" s="432"/>
      <c r="G78" s="432">
        <f t="shared" si="34"/>
        <v>0</v>
      </c>
      <c r="H78" s="432">
        <f t="shared" si="35"/>
        <v>0</v>
      </c>
      <c r="I78" s="432">
        <f t="shared" si="36"/>
        <v>0</v>
      </c>
      <c r="J78" s="432">
        <f t="shared" si="36"/>
        <v>0</v>
      </c>
      <c r="K78" s="432">
        <f t="shared" si="36"/>
        <v>0</v>
      </c>
      <c r="L78" s="438">
        <f t="shared" si="37"/>
        <v>0</v>
      </c>
      <c r="M78" s="444">
        <f t="shared" ref="M78:N78" si="48">SUM(M63,M48)</f>
        <v>0</v>
      </c>
      <c r="N78" s="444">
        <f t="shared" si="48"/>
        <v>0</v>
      </c>
      <c r="O78" s="432">
        <f t="shared" si="39"/>
        <v>0</v>
      </c>
      <c r="P78" s="432">
        <f t="shared" si="39"/>
        <v>7226.9197639116492</v>
      </c>
      <c r="Q78" s="432">
        <f t="shared" si="39"/>
        <v>0</v>
      </c>
      <c r="R78" s="432">
        <f t="shared" si="39"/>
        <v>0</v>
      </c>
      <c r="V78" s="8"/>
      <c r="X78" s="8"/>
    </row>
    <row r="79" spans="2:24" ht="11.5" customHeight="1" outlineLevel="1" x14ac:dyDescent="0.25">
      <c r="B79" s="8" t="s">
        <v>53</v>
      </c>
      <c r="C79" s="432" t="s">
        <v>213</v>
      </c>
      <c r="D79" s="435" t="s">
        <v>54</v>
      </c>
      <c r="E79" s="436"/>
      <c r="F79" s="432"/>
      <c r="G79" s="432">
        <f t="shared" si="34"/>
        <v>0</v>
      </c>
      <c r="H79" s="432">
        <f t="shared" si="35"/>
        <v>0</v>
      </c>
      <c r="I79" s="432">
        <f t="shared" si="36"/>
        <v>0</v>
      </c>
      <c r="J79" s="432">
        <f t="shared" si="36"/>
        <v>0</v>
      </c>
      <c r="K79" s="432">
        <f t="shared" si="36"/>
        <v>0</v>
      </c>
      <c r="L79" s="438">
        <f t="shared" si="37"/>
        <v>0</v>
      </c>
      <c r="M79" s="444">
        <f t="shared" ref="M79:N79" si="49">SUM(M64,M49)</f>
        <v>0</v>
      </c>
      <c r="N79" s="444">
        <f t="shared" si="49"/>
        <v>0</v>
      </c>
      <c r="O79" s="432">
        <f t="shared" si="39"/>
        <v>0</v>
      </c>
      <c r="P79" s="432">
        <f t="shared" si="39"/>
        <v>0</v>
      </c>
      <c r="Q79" s="432">
        <f t="shared" si="39"/>
        <v>0</v>
      </c>
      <c r="R79" s="432">
        <f t="shared" si="39"/>
        <v>0</v>
      </c>
      <c r="V79" s="8"/>
      <c r="X79" s="8"/>
    </row>
    <row r="80" spans="2:24" ht="11.5" customHeight="1" thickBot="1" x14ac:dyDescent="0.3">
      <c r="C80" s="528" t="s">
        <v>55</v>
      </c>
      <c r="D80" s="528"/>
      <c r="E80" s="433">
        <f>SUM(F80,G80)</f>
        <v>0</v>
      </c>
      <c r="F80" s="433"/>
      <c r="G80" s="433">
        <f>SUM(H80:K80)</f>
        <v>0</v>
      </c>
      <c r="H80" s="441">
        <f t="shared" si="35"/>
        <v>0</v>
      </c>
      <c r="I80" s="441">
        <f t="shared" si="36"/>
        <v>0</v>
      </c>
      <c r="J80" s="441">
        <f t="shared" si="36"/>
        <v>0</v>
      </c>
      <c r="K80" s="441">
        <f t="shared" si="36"/>
        <v>0</v>
      </c>
      <c r="L80" s="447">
        <f t="shared" si="37"/>
        <v>0</v>
      </c>
      <c r="M80" s="448">
        <f t="shared" si="36"/>
        <v>7114520</v>
      </c>
      <c r="N80" s="448">
        <f t="shared" si="36"/>
        <v>29195783</v>
      </c>
      <c r="O80" s="434"/>
      <c r="P80" s="434">
        <v>7255543</v>
      </c>
      <c r="Q80" s="434"/>
      <c r="R80" s="434"/>
      <c r="V80" s="8"/>
      <c r="X80" s="8"/>
    </row>
    <row r="81" spans="2:24" ht="12" thickTop="1" x14ac:dyDescent="0.25">
      <c r="E81" s="131"/>
      <c r="F81" s="131"/>
      <c r="G81" s="131"/>
      <c r="H81" s="131"/>
      <c r="I81" s="131"/>
      <c r="J81" s="131"/>
      <c r="K81" s="131"/>
      <c r="V81" s="8"/>
      <c r="X81" s="8"/>
    </row>
    <row r="82" spans="2:24" ht="12" thickBot="1" x14ac:dyDescent="0.3">
      <c r="C82" s="95" t="s">
        <v>386</v>
      </c>
      <c r="E82" s="131"/>
      <c r="F82" s="131"/>
      <c r="G82" s="131"/>
      <c r="H82" s="131"/>
      <c r="I82" s="131"/>
      <c r="J82" s="131"/>
      <c r="K82" s="131"/>
      <c r="V82" s="8"/>
      <c r="X82" s="8"/>
    </row>
    <row r="83" spans="2:24" ht="12" thickBot="1" x14ac:dyDescent="0.3">
      <c r="C83" s="283" t="s">
        <v>388</v>
      </c>
      <c r="D83" s="284">
        <v>935</v>
      </c>
      <c r="E83" s="59"/>
      <c r="F83" s="131"/>
      <c r="G83" s="131"/>
      <c r="H83" s="131"/>
      <c r="I83" s="131"/>
      <c r="J83" s="131"/>
      <c r="K83" s="131"/>
      <c r="V83" s="8"/>
      <c r="X83" s="8"/>
    </row>
    <row r="84" spans="2:24" x14ac:dyDescent="0.25">
      <c r="C84" s="276" t="s">
        <v>254</v>
      </c>
      <c r="D84" s="286">
        <v>0.109</v>
      </c>
      <c r="E84" s="471" t="s">
        <v>379</v>
      </c>
      <c r="F84" s="131"/>
      <c r="G84" s="131"/>
      <c r="H84" s="131"/>
      <c r="I84" s="131"/>
      <c r="J84" s="131"/>
      <c r="K84" s="131"/>
      <c r="V84" s="8"/>
      <c r="X84" s="8"/>
    </row>
    <row r="85" spans="2:24" x14ac:dyDescent="0.25">
      <c r="C85" s="276" t="s">
        <v>241</v>
      </c>
      <c r="D85" s="286">
        <v>7.6499999999999999E-2</v>
      </c>
      <c r="E85" s="471" t="s">
        <v>379</v>
      </c>
      <c r="F85" s="131"/>
      <c r="G85" s="131"/>
      <c r="H85" s="131"/>
      <c r="I85" s="131"/>
      <c r="J85" s="131"/>
      <c r="K85" s="131"/>
      <c r="V85" s="8"/>
      <c r="X85" s="8"/>
    </row>
    <row r="86" spans="2:24" ht="12" thickBot="1" x14ac:dyDescent="0.3">
      <c r="C86" s="288" t="s">
        <v>242</v>
      </c>
      <c r="D86" s="289">
        <v>0.109</v>
      </c>
      <c r="E86" s="471" t="s">
        <v>379</v>
      </c>
      <c r="F86" s="131"/>
      <c r="G86" s="131"/>
      <c r="H86" s="131"/>
      <c r="I86" s="131"/>
      <c r="J86" s="131"/>
      <c r="K86" s="131"/>
      <c r="V86" s="8"/>
      <c r="X86" s="8"/>
    </row>
    <row r="87" spans="2:24" x14ac:dyDescent="0.25">
      <c r="C87" s="95"/>
      <c r="E87" s="131"/>
      <c r="F87" s="131"/>
      <c r="G87" s="131"/>
      <c r="H87" s="131"/>
      <c r="I87" s="131"/>
      <c r="J87" s="131"/>
      <c r="K87" s="131"/>
      <c r="V87" s="8"/>
      <c r="X87" s="8"/>
    </row>
    <row r="88" spans="2:24" x14ac:dyDescent="0.25">
      <c r="C88" s="95"/>
      <c r="E88" s="131"/>
      <c r="F88" s="131"/>
      <c r="G88" s="131"/>
      <c r="H88" s="131"/>
      <c r="I88" s="131"/>
      <c r="J88" s="131"/>
      <c r="K88" s="131"/>
      <c r="V88" s="8"/>
      <c r="X88" s="8"/>
    </row>
    <row r="89" spans="2:24" x14ac:dyDescent="0.25">
      <c r="C89" s="38" t="s">
        <v>56</v>
      </c>
      <c r="E89" s="131"/>
      <c r="F89" s="131"/>
      <c r="G89" s="131"/>
      <c r="H89" s="131"/>
      <c r="I89" s="131"/>
      <c r="J89" s="131"/>
      <c r="K89" s="131"/>
      <c r="V89" s="8"/>
      <c r="X89" s="8"/>
    </row>
    <row r="90" spans="2:24" ht="13" x14ac:dyDescent="0.3">
      <c r="C90" s="449" t="s">
        <v>377</v>
      </c>
      <c r="D90" s="449"/>
      <c r="E90" s="449" t="str">
        <f>E108</f>
        <v>Sep</v>
      </c>
      <c r="F90" s="450">
        <f>F108</f>
        <v>1</v>
      </c>
      <c r="G90" s="450">
        <f>G144</f>
        <v>31</v>
      </c>
      <c r="V90" s="8"/>
      <c r="X90" s="8"/>
    </row>
    <row r="91" spans="2:24" ht="13" x14ac:dyDescent="0.3">
      <c r="B91" s="45"/>
      <c r="C91" s="472"/>
      <c r="D91" s="474"/>
      <c r="E91" s="472" t="s">
        <v>145</v>
      </c>
      <c r="F91" s="473" t="s">
        <v>145</v>
      </c>
      <c r="G91" s="474" t="s">
        <v>145</v>
      </c>
      <c r="H91" s="230" t="s">
        <v>378</v>
      </c>
      <c r="I91" s="117" t="s">
        <v>378</v>
      </c>
      <c r="J91" s="232" t="s">
        <v>378</v>
      </c>
      <c r="K91" s="230" t="s">
        <v>378</v>
      </c>
      <c r="L91" s="117" t="s">
        <v>378</v>
      </c>
      <c r="M91" s="232" t="s">
        <v>378</v>
      </c>
      <c r="V91" s="8"/>
      <c r="X91" s="8"/>
    </row>
    <row r="92" spans="2:24" ht="13.5" thickBot="1" x14ac:dyDescent="0.35">
      <c r="B92" s="45"/>
      <c r="C92" s="484"/>
      <c r="D92" s="485"/>
      <c r="E92" s="484" t="s">
        <v>380</v>
      </c>
      <c r="F92" s="3" t="s">
        <v>380</v>
      </c>
      <c r="G92" s="485" t="s">
        <v>380</v>
      </c>
      <c r="H92" s="237" t="s">
        <v>380</v>
      </c>
      <c r="I92" s="8" t="s">
        <v>380</v>
      </c>
      <c r="J92" s="238" t="s">
        <v>380</v>
      </c>
      <c r="K92" s="237" t="s">
        <v>381</v>
      </c>
      <c r="L92" s="8" t="s">
        <v>381</v>
      </c>
      <c r="M92" s="238" t="s">
        <v>381</v>
      </c>
      <c r="V92" s="8"/>
      <c r="X92" s="8"/>
    </row>
    <row r="93" spans="2:24" ht="12.5" thickTop="1" thickBot="1" x14ac:dyDescent="0.3">
      <c r="C93" s="475" t="s">
        <v>23</v>
      </c>
      <c r="D93" s="476" t="s">
        <v>244</v>
      </c>
      <c r="E93" s="475" t="s">
        <v>240</v>
      </c>
      <c r="F93" s="431" t="s">
        <v>241</v>
      </c>
      <c r="G93" s="476" t="s">
        <v>242</v>
      </c>
      <c r="H93" s="475" t="s">
        <v>240</v>
      </c>
      <c r="I93" s="431" t="s">
        <v>241</v>
      </c>
      <c r="J93" s="476" t="s">
        <v>242</v>
      </c>
      <c r="K93" s="475" t="s">
        <v>240</v>
      </c>
      <c r="L93" s="431" t="s">
        <v>241</v>
      </c>
      <c r="M93" s="476" t="s">
        <v>242</v>
      </c>
      <c r="V93" s="8"/>
      <c r="X93" s="8"/>
    </row>
    <row r="94" spans="2:24" ht="12" thickTop="1" x14ac:dyDescent="0.25">
      <c r="B94" s="8" t="s">
        <v>30</v>
      </c>
      <c r="C94" s="477" t="s">
        <v>210</v>
      </c>
      <c r="D94" s="478" t="s">
        <v>31</v>
      </c>
      <c r="E94" s="477">
        <f>SUM(E130,E148)</f>
        <v>76720.230769230766</v>
      </c>
      <c r="F94" s="432">
        <f t="shared" ref="F94:M94" si="50">SUM(F130,F148)</f>
        <v>52113.384615384617</v>
      </c>
      <c r="G94" s="478">
        <f t="shared" si="50"/>
        <v>32430.76923076923</v>
      </c>
      <c r="H94" s="479">
        <f t="shared" si="50"/>
        <v>71733415.769230768</v>
      </c>
      <c r="I94" s="452">
        <f t="shared" si="50"/>
        <v>48726014.615384616</v>
      </c>
      <c r="J94" s="480">
        <f t="shared" si="50"/>
        <v>30322769.230769232</v>
      </c>
      <c r="K94" s="479">
        <f t="shared" si="50"/>
        <v>7818942.318846154</v>
      </c>
      <c r="L94" s="452">
        <f t="shared" si="50"/>
        <v>3727540.1180769228</v>
      </c>
      <c r="M94" s="480">
        <f t="shared" si="50"/>
        <v>3305181.846153846</v>
      </c>
      <c r="V94" s="8"/>
      <c r="X94" s="8"/>
    </row>
    <row r="95" spans="2:24" x14ac:dyDescent="0.25">
      <c r="B95" s="8" t="s">
        <v>35</v>
      </c>
      <c r="C95" s="477" t="s">
        <v>210</v>
      </c>
      <c r="D95" s="478" t="s">
        <v>36</v>
      </c>
      <c r="E95" s="477">
        <f t="shared" ref="E95:M95" si="51">SUM(E131,E149)</f>
        <v>0</v>
      </c>
      <c r="F95" s="432">
        <f t="shared" si="51"/>
        <v>0</v>
      </c>
      <c r="G95" s="478">
        <f t="shared" si="51"/>
        <v>0</v>
      </c>
      <c r="H95" s="479">
        <f t="shared" si="51"/>
        <v>0</v>
      </c>
      <c r="I95" s="452">
        <f t="shared" si="51"/>
        <v>0</v>
      </c>
      <c r="J95" s="480">
        <f t="shared" si="51"/>
        <v>0</v>
      </c>
      <c r="K95" s="479">
        <f t="shared" si="51"/>
        <v>0</v>
      </c>
      <c r="L95" s="452">
        <f t="shared" si="51"/>
        <v>0</v>
      </c>
      <c r="M95" s="480">
        <f t="shared" si="51"/>
        <v>0</v>
      </c>
      <c r="V95" s="8"/>
      <c r="X95" s="8"/>
    </row>
    <row r="96" spans="2:24" x14ac:dyDescent="0.25">
      <c r="B96" s="8" t="s">
        <v>37</v>
      </c>
      <c r="C96" s="477" t="s">
        <v>210</v>
      </c>
      <c r="D96" s="478" t="s">
        <v>38</v>
      </c>
      <c r="E96" s="477">
        <f t="shared" ref="E96:M96" si="52">SUM(E132,E150)</f>
        <v>0</v>
      </c>
      <c r="F96" s="432">
        <f t="shared" si="52"/>
        <v>0</v>
      </c>
      <c r="G96" s="478">
        <f t="shared" si="52"/>
        <v>0</v>
      </c>
      <c r="H96" s="479">
        <f t="shared" si="52"/>
        <v>0</v>
      </c>
      <c r="I96" s="452">
        <f t="shared" si="52"/>
        <v>0</v>
      </c>
      <c r="J96" s="480">
        <f t="shared" si="52"/>
        <v>0</v>
      </c>
      <c r="K96" s="479">
        <f t="shared" si="52"/>
        <v>0</v>
      </c>
      <c r="L96" s="452">
        <f t="shared" si="52"/>
        <v>0</v>
      </c>
      <c r="M96" s="480">
        <f t="shared" si="52"/>
        <v>0</v>
      </c>
      <c r="V96" s="8"/>
      <c r="X96" s="8"/>
    </row>
    <row r="97" spans="2:24" x14ac:dyDescent="0.25">
      <c r="B97" s="8" t="s">
        <v>39</v>
      </c>
      <c r="C97" s="477" t="s">
        <v>210</v>
      </c>
      <c r="D97" s="478" t="s">
        <v>40</v>
      </c>
      <c r="E97" s="477">
        <f t="shared" ref="E97:M97" si="53">SUM(E133,E151)</f>
        <v>143935.38461538462</v>
      </c>
      <c r="F97" s="432">
        <f t="shared" si="53"/>
        <v>147858.07692307694</v>
      </c>
      <c r="G97" s="478">
        <f t="shared" si="53"/>
        <v>83060.923076923078</v>
      </c>
      <c r="H97" s="479">
        <f t="shared" si="53"/>
        <v>134579584.61538461</v>
      </c>
      <c r="I97" s="452">
        <f t="shared" si="53"/>
        <v>138247301.92307693</v>
      </c>
      <c r="J97" s="480">
        <f t="shared" si="53"/>
        <v>77661963.076923072</v>
      </c>
      <c r="K97" s="479">
        <f t="shared" si="53"/>
        <v>14669174.723076923</v>
      </c>
      <c r="L97" s="452">
        <f t="shared" si="53"/>
        <v>10575918.597115384</v>
      </c>
      <c r="M97" s="480">
        <f t="shared" si="53"/>
        <v>8465153.9753846154</v>
      </c>
      <c r="V97" s="8"/>
      <c r="X97" s="8"/>
    </row>
    <row r="98" spans="2:24" x14ac:dyDescent="0.25">
      <c r="B98" s="8" t="s">
        <v>41</v>
      </c>
      <c r="C98" s="477" t="s">
        <v>210</v>
      </c>
      <c r="D98" s="478" t="s">
        <v>42</v>
      </c>
      <c r="E98" s="477">
        <f t="shared" ref="E98:M98" si="54">SUM(E134,E152)</f>
        <v>0</v>
      </c>
      <c r="F98" s="432">
        <f t="shared" si="54"/>
        <v>0</v>
      </c>
      <c r="G98" s="478">
        <f t="shared" si="54"/>
        <v>0</v>
      </c>
      <c r="H98" s="479">
        <f t="shared" si="54"/>
        <v>0</v>
      </c>
      <c r="I98" s="452">
        <f t="shared" si="54"/>
        <v>0</v>
      </c>
      <c r="J98" s="480">
        <f t="shared" si="54"/>
        <v>0</v>
      </c>
      <c r="K98" s="479">
        <f t="shared" si="54"/>
        <v>0</v>
      </c>
      <c r="L98" s="452">
        <f t="shared" si="54"/>
        <v>0</v>
      </c>
      <c r="M98" s="480">
        <f t="shared" si="54"/>
        <v>0</v>
      </c>
      <c r="V98" s="8"/>
      <c r="X98" s="8"/>
    </row>
    <row r="99" spans="2:24" x14ac:dyDescent="0.25">
      <c r="B99" s="8" t="s">
        <v>43</v>
      </c>
      <c r="C99" s="477" t="s">
        <v>212</v>
      </c>
      <c r="D99" s="478" t="s">
        <v>44</v>
      </c>
      <c r="E99" s="477">
        <f t="shared" ref="E99:M99" si="55">SUM(E135,E153)</f>
        <v>64077</v>
      </c>
      <c r="F99" s="432">
        <f t="shared" si="55"/>
        <v>108714.61538461539</v>
      </c>
      <c r="G99" s="478">
        <f t="shared" si="55"/>
        <v>33630.230769230766</v>
      </c>
      <c r="H99" s="479">
        <f t="shared" si="55"/>
        <v>59911995</v>
      </c>
      <c r="I99" s="452">
        <f t="shared" si="55"/>
        <v>101648165.38461539</v>
      </c>
      <c r="J99" s="480">
        <f t="shared" si="55"/>
        <v>31444265.769230768</v>
      </c>
      <c r="K99" s="479">
        <f t="shared" si="55"/>
        <v>6530407.4550000001</v>
      </c>
      <c r="L99" s="452">
        <f t="shared" si="55"/>
        <v>7776084.6519230772</v>
      </c>
      <c r="M99" s="480">
        <f t="shared" si="55"/>
        <v>3427424.9688461544</v>
      </c>
      <c r="V99" s="8"/>
      <c r="X99" s="8"/>
    </row>
    <row r="100" spans="2:24" x14ac:dyDescent="0.25">
      <c r="B100" s="8" t="s">
        <v>45</v>
      </c>
      <c r="C100" s="477" t="s">
        <v>212</v>
      </c>
      <c r="D100" s="478" t="s">
        <v>46</v>
      </c>
      <c r="E100" s="477">
        <f t="shared" ref="E100:M100" si="56">SUM(E136,E154)</f>
        <v>8370</v>
      </c>
      <c r="F100" s="432">
        <f t="shared" si="56"/>
        <v>5198.4615384615381</v>
      </c>
      <c r="G100" s="478">
        <f t="shared" si="56"/>
        <v>1001.5384615384615</v>
      </c>
      <c r="H100" s="479">
        <f t="shared" si="56"/>
        <v>7825950</v>
      </c>
      <c r="I100" s="452">
        <f t="shared" si="56"/>
        <v>4860561.538461538</v>
      </c>
      <c r="J100" s="480">
        <f t="shared" si="56"/>
        <v>936438.4615384615</v>
      </c>
      <c r="K100" s="479">
        <f t="shared" si="56"/>
        <v>853028.55</v>
      </c>
      <c r="L100" s="452">
        <f t="shared" si="56"/>
        <v>371832.95769230765</v>
      </c>
      <c r="M100" s="480">
        <f t="shared" si="56"/>
        <v>102071.79230769232</v>
      </c>
      <c r="V100" s="8"/>
      <c r="X100" s="8"/>
    </row>
    <row r="101" spans="2:24" x14ac:dyDescent="0.25">
      <c r="B101" s="8" t="s">
        <v>47</v>
      </c>
      <c r="C101" s="477" t="s">
        <v>212</v>
      </c>
      <c r="D101" s="478" t="s">
        <v>48</v>
      </c>
      <c r="E101" s="477">
        <f t="shared" ref="E101:M101" si="57">SUM(E137,E155)</f>
        <v>3095.2307692307691</v>
      </c>
      <c r="F101" s="432">
        <f t="shared" si="57"/>
        <v>6755.6153846153848</v>
      </c>
      <c r="G101" s="478">
        <f t="shared" si="57"/>
        <v>3813</v>
      </c>
      <c r="H101" s="479">
        <f t="shared" si="57"/>
        <v>2894040.769230769</v>
      </c>
      <c r="I101" s="452">
        <f t="shared" si="57"/>
        <v>6316500.384615385</v>
      </c>
      <c r="J101" s="480">
        <f t="shared" si="57"/>
        <v>3565155</v>
      </c>
      <c r="K101" s="479">
        <f t="shared" si="57"/>
        <v>315450.44384615391</v>
      </c>
      <c r="L101" s="452">
        <f t="shared" si="57"/>
        <v>483212.27942307689</v>
      </c>
      <c r="M101" s="480">
        <f t="shared" si="57"/>
        <v>388601.89500000002</v>
      </c>
      <c r="V101" s="8"/>
      <c r="X101" s="8"/>
    </row>
    <row r="102" spans="2:24" x14ac:dyDescent="0.25">
      <c r="B102" s="8" t="s">
        <v>49</v>
      </c>
      <c r="C102" s="477" t="s">
        <v>213</v>
      </c>
      <c r="D102" s="478" t="s">
        <v>50</v>
      </c>
      <c r="E102" s="477">
        <f t="shared" ref="E102:M102" si="58">SUM(E138,E156)</f>
        <v>6474.2307692307695</v>
      </c>
      <c r="F102" s="432">
        <f t="shared" si="58"/>
        <v>1199.4615384615386</v>
      </c>
      <c r="G102" s="478">
        <f t="shared" si="58"/>
        <v>0</v>
      </c>
      <c r="H102" s="479">
        <f t="shared" si="58"/>
        <v>6053405.769230769</v>
      </c>
      <c r="I102" s="452">
        <f t="shared" si="58"/>
        <v>1121496.5384615385</v>
      </c>
      <c r="J102" s="480">
        <f t="shared" si="58"/>
        <v>0</v>
      </c>
      <c r="K102" s="479">
        <f t="shared" si="58"/>
        <v>659821.22884615383</v>
      </c>
      <c r="L102" s="452">
        <f t="shared" si="58"/>
        <v>85794.485192307679</v>
      </c>
      <c r="M102" s="480">
        <f t="shared" si="58"/>
        <v>0</v>
      </c>
      <c r="V102" s="8"/>
      <c r="X102" s="8"/>
    </row>
    <row r="103" spans="2:24" x14ac:dyDescent="0.25">
      <c r="B103" s="8" t="s">
        <v>51</v>
      </c>
      <c r="C103" s="477" t="s">
        <v>213</v>
      </c>
      <c r="D103" s="478" t="s">
        <v>52</v>
      </c>
      <c r="E103" s="477">
        <f t="shared" ref="E103:M103" si="59">SUM(E139,E157)</f>
        <v>0</v>
      </c>
      <c r="F103" s="432">
        <f t="shared" si="59"/>
        <v>0</v>
      </c>
      <c r="G103" s="478">
        <f t="shared" si="59"/>
        <v>0</v>
      </c>
      <c r="H103" s="479">
        <f t="shared" si="59"/>
        <v>0</v>
      </c>
      <c r="I103" s="452">
        <f t="shared" si="59"/>
        <v>0</v>
      </c>
      <c r="J103" s="480">
        <f t="shared" si="59"/>
        <v>0</v>
      </c>
      <c r="K103" s="479">
        <f t="shared" si="59"/>
        <v>0</v>
      </c>
      <c r="L103" s="452">
        <f t="shared" si="59"/>
        <v>0</v>
      </c>
      <c r="M103" s="480">
        <f t="shared" si="59"/>
        <v>0</v>
      </c>
      <c r="V103" s="8"/>
      <c r="X103" s="8"/>
    </row>
    <row r="104" spans="2:24" x14ac:dyDescent="0.25">
      <c r="B104" s="8" t="s">
        <v>53</v>
      </c>
      <c r="C104" s="477" t="s">
        <v>213</v>
      </c>
      <c r="D104" s="478" t="s">
        <v>54</v>
      </c>
      <c r="E104" s="477">
        <f t="shared" ref="E104:M104" si="60">SUM(E140,E158)</f>
        <v>0</v>
      </c>
      <c r="F104" s="432">
        <f t="shared" si="60"/>
        <v>0</v>
      </c>
      <c r="G104" s="478">
        <f t="shared" si="60"/>
        <v>0</v>
      </c>
      <c r="H104" s="479">
        <f t="shared" si="60"/>
        <v>0</v>
      </c>
      <c r="I104" s="452">
        <f t="shared" si="60"/>
        <v>0</v>
      </c>
      <c r="J104" s="480">
        <f t="shared" si="60"/>
        <v>0</v>
      </c>
      <c r="K104" s="479">
        <f t="shared" si="60"/>
        <v>0</v>
      </c>
      <c r="L104" s="452">
        <f t="shared" si="60"/>
        <v>0</v>
      </c>
      <c r="M104" s="480">
        <f t="shared" si="60"/>
        <v>0</v>
      </c>
      <c r="V104" s="8"/>
      <c r="X104" s="8"/>
    </row>
    <row r="105" spans="2:24" x14ac:dyDescent="0.25">
      <c r="C105" s="481" t="s">
        <v>55</v>
      </c>
      <c r="D105" s="483"/>
      <c r="E105" s="481">
        <f t="shared" ref="E105:M105" si="61">SUM(E141,E159)</f>
        <v>302672.07692307688</v>
      </c>
      <c r="F105" s="482">
        <f t="shared" si="61"/>
        <v>321839.61538461538</v>
      </c>
      <c r="G105" s="483">
        <f t="shared" si="61"/>
        <v>153936.46153846153</v>
      </c>
      <c r="H105" s="481">
        <f t="shared" si="61"/>
        <v>282998391.92307693</v>
      </c>
      <c r="I105" s="482">
        <f t="shared" si="61"/>
        <v>300920040.38461536</v>
      </c>
      <c r="J105" s="483">
        <f t="shared" si="61"/>
        <v>143930591.53846154</v>
      </c>
      <c r="K105" s="488">
        <f t="shared" si="61"/>
        <v>30846824.719615385</v>
      </c>
      <c r="L105" s="489">
        <f t="shared" si="61"/>
        <v>23020383.089423075</v>
      </c>
      <c r="M105" s="490">
        <f t="shared" si="61"/>
        <v>15688434.477692306</v>
      </c>
      <c r="V105" s="8"/>
      <c r="X105" s="8"/>
    </row>
    <row r="106" spans="2:24" x14ac:dyDescent="0.25">
      <c r="C106" s="95"/>
      <c r="E106" s="131"/>
      <c r="F106" s="131"/>
      <c r="G106" s="131"/>
      <c r="H106" s="131"/>
      <c r="I106" s="131"/>
      <c r="J106" s="131"/>
      <c r="K106" s="131"/>
      <c r="V106" s="8"/>
      <c r="X106" s="8"/>
    </row>
    <row r="107" spans="2:24" x14ac:dyDescent="0.25">
      <c r="C107" s="38" t="s">
        <v>389</v>
      </c>
      <c r="E107" s="131"/>
      <c r="F107" s="131"/>
      <c r="G107" s="131"/>
      <c r="H107" s="131"/>
      <c r="I107" s="131"/>
      <c r="J107" s="131"/>
      <c r="K107" s="131"/>
      <c r="V107" s="8"/>
      <c r="X107" s="8"/>
    </row>
    <row r="108" spans="2:24" ht="13" x14ac:dyDescent="0.3">
      <c r="C108" s="424" t="s">
        <v>377</v>
      </c>
      <c r="D108" s="424"/>
      <c r="E108" s="424" t="str">
        <f>E3</f>
        <v>Sep</v>
      </c>
      <c r="F108" s="425">
        <f>F126</f>
        <v>1</v>
      </c>
      <c r="G108" s="425">
        <f>G165</f>
        <v>20</v>
      </c>
      <c r="O108" s="131"/>
      <c r="V108" s="8"/>
      <c r="X108" s="8"/>
    </row>
    <row r="109" spans="2:24" s="45" customFormat="1" ht="13" x14ac:dyDescent="0.3">
      <c r="C109" s="472"/>
      <c r="D109" s="474"/>
      <c r="E109" s="472" t="s">
        <v>145</v>
      </c>
      <c r="F109" s="473" t="s">
        <v>145</v>
      </c>
      <c r="G109" s="474" t="s">
        <v>145</v>
      </c>
      <c r="H109" s="230" t="s">
        <v>378</v>
      </c>
      <c r="I109" s="117" t="s">
        <v>378</v>
      </c>
      <c r="J109" s="232" t="s">
        <v>378</v>
      </c>
      <c r="K109" s="230" t="s">
        <v>378</v>
      </c>
      <c r="L109" s="117" t="s">
        <v>378</v>
      </c>
      <c r="M109" s="232" t="s">
        <v>378</v>
      </c>
      <c r="R109" s="59"/>
    </row>
    <row r="110" spans="2:24" s="45" customFormat="1" ht="13.5" thickBot="1" x14ac:dyDescent="0.35">
      <c r="C110" s="484"/>
      <c r="D110" s="485"/>
      <c r="E110" s="484" t="s">
        <v>380</v>
      </c>
      <c r="F110" s="3" t="s">
        <v>380</v>
      </c>
      <c r="G110" s="485" t="s">
        <v>380</v>
      </c>
      <c r="H110" s="237" t="s">
        <v>380</v>
      </c>
      <c r="I110" s="8" t="s">
        <v>380</v>
      </c>
      <c r="J110" s="238" t="s">
        <v>380</v>
      </c>
      <c r="K110" s="237" t="s">
        <v>381</v>
      </c>
      <c r="L110" s="8" t="s">
        <v>381</v>
      </c>
      <c r="M110" s="238" t="s">
        <v>381</v>
      </c>
    </row>
    <row r="111" spans="2:24" ht="12.5" thickTop="1" thickBot="1" x14ac:dyDescent="0.3">
      <c r="C111" s="475" t="s">
        <v>23</v>
      </c>
      <c r="D111" s="476" t="s">
        <v>244</v>
      </c>
      <c r="E111" s="475" t="s">
        <v>240</v>
      </c>
      <c r="F111" s="431" t="s">
        <v>241</v>
      </c>
      <c r="G111" s="476" t="s">
        <v>242</v>
      </c>
      <c r="H111" s="475" t="s">
        <v>240</v>
      </c>
      <c r="I111" s="431" t="s">
        <v>241</v>
      </c>
      <c r="J111" s="476" t="s">
        <v>242</v>
      </c>
      <c r="K111" s="475" t="s">
        <v>240</v>
      </c>
      <c r="L111" s="431" t="s">
        <v>241</v>
      </c>
      <c r="M111" s="476" t="s">
        <v>242</v>
      </c>
      <c r="V111" s="8"/>
      <c r="X111" s="8"/>
    </row>
    <row r="112" spans="2:24" ht="12" thickTop="1" x14ac:dyDescent="0.25">
      <c r="B112" s="8" t="s">
        <v>30</v>
      </c>
      <c r="C112" s="477" t="s">
        <v>210</v>
      </c>
      <c r="D112" s="478" t="s">
        <v>31</v>
      </c>
      <c r="E112" s="477">
        <f t="shared" ref="E112:M112" si="62">SUM(E130,E169)</f>
        <v>64346</v>
      </c>
      <c r="F112" s="432">
        <f t="shared" si="62"/>
        <v>43708</v>
      </c>
      <c r="G112" s="478">
        <f t="shared" si="62"/>
        <v>27200</v>
      </c>
      <c r="H112" s="479">
        <f t="shared" si="62"/>
        <v>60163510</v>
      </c>
      <c r="I112" s="452">
        <f t="shared" si="62"/>
        <v>40866980</v>
      </c>
      <c r="J112" s="480">
        <f t="shared" si="62"/>
        <v>25432000</v>
      </c>
      <c r="K112" s="479">
        <f t="shared" si="62"/>
        <v>6557822.5899999999</v>
      </c>
      <c r="L112" s="452">
        <f t="shared" si="62"/>
        <v>3126323.9699999997</v>
      </c>
      <c r="M112" s="480">
        <f t="shared" si="62"/>
        <v>2772088</v>
      </c>
      <c r="V112" s="8"/>
      <c r="X112" s="8"/>
    </row>
    <row r="113" spans="2:24" x14ac:dyDescent="0.25">
      <c r="B113" s="8" t="s">
        <v>35</v>
      </c>
      <c r="C113" s="477" t="s">
        <v>210</v>
      </c>
      <c r="D113" s="478" t="s">
        <v>36</v>
      </c>
      <c r="E113" s="477">
        <f t="shared" ref="E113:M113" si="63">SUM(E131,E170)</f>
        <v>0</v>
      </c>
      <c r="F113" s="432">
        <f t="shared" si="63"/>
        <v>0</v>
      </c>
      <c r="G113" s="478">
        <f t="shared" si="63"/>
        <v>0</v>
      </c>
      <c r="H113" s="479">
        <f t="shared" si="63"/>
        <v>0</v>
      </c>
      <c r="I113" s="452">
        <f t="shared" si="63"/>
        <v>0</v>
      </c>
      <c r="J113" s="480">
        <f t="shared" si="63"/>
        <v>0</v>
      </c>
      <c r="K113" s="479">
        <f t="shared" si="63"/>
        <v>0</v>
      </c>
      <c r="L113" s="452">
        <f t="shared" si="63"/>
        <v>0</v>
      </c>
      <c r="M113" s="480">
        <f t="shared" si="63"/>
        <v>0</v>
      </c>
      <c r="V113" s="8"/>
      <c r="X113" s="8"/>
    </row>
    <row r="114" spans="2:24" x14ac:dyDescent="0.25">
      <c r="B114" s="8" t="s">
        <v>37</v>
      </c>
      <c r="C114" s="477" t="s">
        <v>210</v>
      </c>
      <c r="D114" s="478" t="s">
        <v>38</v>
      </c>
      <c r="E114" s="477">
        <f t="shared" ref="E114:M114" si="64">SUM(E132,E171)</f>
        <v>0</v>
      </c>
      <c r="F114" s="432">
        <f t="shared" si="64"/>
        <v>0</v>
      </c>
      <c r="G114" s="478">
        <f t="shared" si="64"/>
        <v>0</v>
      </c>
      <c r="H114" s="479">
        <f t="shared" si="64"/>
        <v>0</v>
      </c>
      <c r="I114" s="452">
        <f t="shared" si="64"/>
        <v>0</v>
      </c>
      <c r="J114" s="480">
        <f t="shared" si="64"/>
        <v>0</v>
      </c>
      <c r="K114" s="479">
        <f t="shared" si="64"/>
        <v>0</v>
      </c>
      <c r="L114" s="452">
        <f t="shared" si="64"/>
        <v>0</v>
      </c>
      <c r="M114" s="480">
        <f t="shared" si="64"/>
        <v>0</v>
      </c>
      <c r="V114" s="8"/>
      <c r="X114" s="8"/>
    </row>
    <row r="115" spans="2:24" x14ac:dyDescent="0.25">
      <c r="B115" s="8" t="s">
        <v>39</v>
      </c>
      <c r="C115" s="477" t="s">
        <v>210</v>
      </c>
      <c r="D115" s="478" t="s">
        <v>40</v>
      </c>
      <c r="E115" s="477">
        <f t="shared" ref="E115:M115" si="65">SUM(E133,E172)</f>
        <v>120720</v>
      </c>
      <c r="F115" s="432">
        <f t="shared" si="65"/>
        <v>124010</v>
      </c>
      <c r="G115" s="478">
        <f t="shared" si="65"/>
        <v>69664</v>
      </c>
      <c r="H115" s="479">
        <f t="shared" si="65"/>
        <v>112873200</v>
      </c>
      <c r="I115" s="452">
        <f t="shared" si="65"/>
        <v>115949350</v>
      </c>
      <c r="J115" s="480">
        <f t="shared" si="65"/>
        <v>65135840</v>
      </c>
      <c r="K115" s="479">
        <f t="shared" si="65"/>
        <v>12303178.800000001</v>
      </c>
      <c r="L115" s="452">
        <f t="shared" si="65"/>
        <v>8870125.2750000004</v>
      </c>
      <c r="M115" s="480">
        <f t="shared" si="65"/>
        <v>7099806.5599999996</v>
      </c>
      <c r="V115" s="8"/>
      <c r="X115" s="8"/>
    </row>
    <row r="116" spans="2:24" x14ac:dyDescent="0.25">
      <c r="B116" s="8" t="s">
        <v>41</v>
      </c>
      <c r="C116" s="477" t="s">
        <v>210</v>
      </c>
      <c r="D116" s="478" t="s">
        <v>42</v>
      </c>
      <c r="E116" s="477">
        <f t="shared" ref="E116:M116" si="66">SUM(E134,E173)</f>
        <v>0</v>
      </c>
      <c r="F116" s="432">
        <f t="shared" si="66"/>
        <v>0</v>
      </c>
      <c r="G116" s="478">
        <f t="shared" si="66"/>
        <v>0</v>
      </c>
      <c r="H116" s="479">
        <f t="shared" si="66"/>
        <v>0</v>
      </c>
      <c r="I116" s="452">
        <f t="shared" si="66"/>
        <v>0</v>
      </c>
      <c r="J116" s="480">
        <f t="shared" si="66"/>
        <v>0</v>
      </c>
      <c r="K116" s="479">
        <f t="shared" si="66"/>
        <v>0</v>
      </c>
      <c r="L116" s="452">
        <f t="shared" si="66"/>
        <v>0</v>
      </c>
      <c r="M116" s="480">
        <f t="shared" si="66"/>
        <v>0</v>
      </c>
      <c r="V116" s="8"/>
      <c r="X116" s="8"/>
    </row>
    <row r="117" spans="2:24" x14ac:dyDescent="0.25">
      <c r="B117" s="8" t="s">
        <v>43</v>
      </c>
      <c r="C117" s="477" t="s">
        <v>212</v>
      </c>
      <c r="D117" s="478" t="s">
        <v>44</v>
      </c>
      <c r="E117" s="477">
        <f t="shared" ref="E117:M117" si="67">SUM(E135,E174)</f>
        <v>53742</v>
      </c>
      <c r="F117" s="432">
        <f t="shared" si="67"/>
        <v>91180</v>
      </c>
      <c r="G117" s="478">
        <f t="shared" si="67"/>
        <v>28206</v>
      </c>
      <c r="H117" s="479">
        <f t="shared" si="67"/>
        <v>50248770</v>
      </c>
      <c r="I117" s="452">
        <f t="shared" si="67"/>
        <v>85253300</v>
      </c>
      <c r="J117" s="480">
        <f t="shared" si="67"/>
        <v>26372610</v>
      </c>
      <c r="K117" s="479">
        <f t="shared" si="67"/>
        <v>5477115.9299999997</v>
      </c>
      <c r="L117" s="452">
        <f t="shared" si="67"/>
        <v>6521877.4500000002</v>
      </c>
      <c r="M117" s="480">
        <f t="shared" si="67"/>
        <v>2874614.49</v>
      </c>
      <c r="V117" s="8"/>
      <c r="X117" s="8"/>
    </row>
    <row r="118" spans="2:24" x14ac:dyDescent="0.25">
      <c r="B118" s="8" t="s">
        <v>45</v>
      </c>
      <c r="C118" s="477" t="s">
        <v>212</v>
      </c>
      <c r="D118" s="478" t="s">
        <v>46</v>
      </c>
      <c r="E118" s="477">
        <f t="shared" ref="E118:M118" si="68">SUM(E136,E175)</f>
        <v>7020</v>
      </c>
      <c r="F118" s="432">
        <f t="shared" si="68"/>
        <v>4360</v>
      </c>
      <c r="G118" s="478">
        <f t="shared" si="68"/>
        <v>840</v>
      </c>
      <c r="H118" s="479">
        <f t="shared" si="68"/>
        <v>6563700</v>
      </c>
      <c r="I118" s="452">
        <f t="shared" si="68"/>
        <v>4076600</v>
      </c>
      <c r="J118" s="480">
        <f t="shared" si="68"/>
        <v>785400</v>
      </c>
      <c r="K118" s="479">
        <f t="shared" si="68"/>
        <v>715443.3</v>
      </c>
      <c r="L118" s="452">
        <f t="shared" si="68"/>
        <v>311859.89999999997</v>
      </c>
      <c r="M118" s="480">
        <f t="shared" si="68"/>
        <v>85608.6</v>
      </c>
      <c r="V118" s="8"/>
      <c r="X118" s="8"/>
    </row>
    <row r="119" spans="2:24" x14ac:dyDescent="0.25">
      <c r="B119" s="8" t="s">
        <v>47</v>
      </c>
      <c r="C119" s="477" t="s">
        <v>212</v>
      </c>
      <c r="D119" s="478" t="s">
        <v>48</v>
      </c>
      <c r="E119" s="477">
        <f t="shared" ref="E119:M119" si="69">SUM(E137,E176)</f>
        <v>2596</v>
      </c>
      <c r="F119" s="432">
        <f t="shared" si="69"/>
        <v>5666</v>
      </c>
      <c r="G119" s="478">
        <f t="shared" si="69"/>
        <v>3198</v>
      </c>
      <c r="H119" s="479">
        <f t="shared" si="69"/>
        <v>2427260</v>
      </c>
      <c r="I119" s="452">
        <f t="shared" si="69"/>
        <v>5297710</v>
      </c>
      <c r="J119" s="480">
        <f t="shared" si="69"/>
        <v>2990130</v>
      </c>
      <c r="K119" s="479">
        <f t="shared" si="69"/>
        <v>264571.34000000003</v>
      </c>
      <c r="L119" s="452">
        <f t="shared" si="69"/>
        <v>405274.815</v>
      </c>
      <c r="M119" s="480">
        <f t="shared" si="69"/>
        <v>325924.17</v>
      </c>
      <c r="V119" s="8"/>
      <c r="X119" s="8"/>
    </row>
    <row r="120" spans="2:24" x14ac:dyDescent="0.25">
      <c r="B120" s="8" t="s">
        <v>49</v>
      </c>
      <c r="C120" s="477" t="s">
        <v>213</v>
      </c>
      <c r="D120" s="478" t="s">
        <v>50</v>
      </c>
      <c r="E120" s="477">
        <f t="shared" ref="E120:M120" si="70">SUM(E138,E177)</f>
        <v>5430</v>
      </c>
      <c r="F120" s="432">
        <f t="shared" si="70"/>
        <v>1006</v>
      </c>
      <c r="G120" s="478">
        <f t="shared" si="70"/>
        <v>0</v>
      </c>
      <c r="H120" s="479">
        <f t="shared" si="70"/>
        <v>5077050</v>
      </c>
      <c r="I120" s="452">
        <f t="shared" si="70"/>
        <v>940610</v>
      </c>
      <c r="J120" s="480">
        <f t="shared" si="70"/>
        <v>0</v>
      </c>
      <c r="K120" s="479">
        <f t="shared" si="70"/>
        <v>553398.44999999995</v>
      </c>
      <c r="L120" s="452">
        <f t="shared" si="70"/>
        <v>71956.664999999994</v>
      </c>
      <c r="M120" s="480">
        <f t="shared" si="70"/>
        <v>0</v>
      </c>
      <c r="V120" s="8"/>
      <c r="X120" s="8"/>
    </row>
    <row r="121" spans="2:24" x14ac:dyDescent="0.25">
      <c r="B121" s="8" t="s">
        <v>51</v>
      </c>
      <c r="C121" s="477" t="s">
        <v>213</v>
      </c>
      <c r="D121" s="478" t="s">
        <v>52</v>
      </c>
      <c r="E121" s="477">
        <f t="shared" ref="E121:M121" si="71">SUM(E139,E178)</f>
        <v>0</v>
      </c>
      <c r="F121" s="432">
        <f t="shared" si="71"/>
        <v>0</v>
      </c>
      <c r="G121" s="478">
        <f t="shared" si="71"/>
        <v>0</v>
      </c>
      <c r="H121" s="479">
        <f t="shared" si="71"/>
        <v>0</v>
      </c>
      <c r="I121" s="452">
        <f t="shared" si="71"/>
        <v>0</v>
      </c>
      <c r="J121" s="480">
        <f t="shared" si="71"/>
        <v>0</v>
      </c>
      <c r="K121" s="479">
        <f t="shared" si="71"/>
        <v>0</v>
      </c>
      <c r="L121" s="452">
        <f t="shared" si="71"/>
        <v>0</v>
      </c>
      <c r="M121" s="480">
        <f t="shared" si="71"/>
        <v>0</v>
      </c>
      <c r="V121" s="8"/>
      <c r="X121" s="8"/>
    </row>
    <row r="122" spans="2:24" x14ac:dyDescent="0.25">
      <c r="B122" s="8" t="s">
        <v>53</v>
      </c>
      <c r="C122" s="477" t="s">
        <v>213</v>
      </c>
      <c r="D122" s="478" t="s">
        <v>54</v>
      </c>
      <c r="E122" s="477">
        <f t="shared" ref="E122:M122" si="72">SUM(E140,E179)</f>
        <v>0</v>
      </c>
      <c r="F122" s="432">
        <f t="shared" si="72"/>
        <v>0</v>
      </c>
      <c r="G122" s="478">
        <f t="shared" si="72"/>
        <v>0</v>
      </c>
      <c r="H122" s="479">
        <f t="shared" si="72"/>
        <v>0</v>
      </c>
      <c r="I122" s="452">
        <f t="shared" si="72"/>
        <v>0</v>
      </c>
      <c r="J122" s="480">
        <f t="shared" si="72"/>
        <v>0</v>
      </c>
      <c r="K122" s="479">
        <f t="shared" si="72"/>
        <v>0</v>
      </c>
      <c r="L122" s="452">
        <f t="shared" si="72"/>
        <v>0</v>
      </c>
      <c r="M122" s="480">
        <f t="shared" si="72"/>
        <v>0</v>
      </c>
      <c r="V122" s="8"/>
      <c r="X122" s="8"/>
    </row>
    <row r="123" spans="2:24" x14ac:dyDescent="0.25">
      <c r="C123" s="481" t="s">
        <v>55</v>
      </c>
      <c r="D123" s="483"/>
      <c r="E123" s="481">
        <f t="shared" ref="E123:M123" si="73">SUM(E141,E180)</f>
        <v>253854</v>
      </c>
      <c r="F123" s="482">
        <f t="shared" si="73"/>
        <v>269930</v>
      </c>
      <c r="G123" s="483">
        <f t="shared" si="73"/>
        <v>129108</v>
      </c>
      <c r="H123" s="481">
        <f t="shared" si="73"/>
        <v>237353490</v>
      </c>
      <c r="I123" s="482">
        <f t="shared" si="73"/>
        <v>252384550</v>
      </c>
      <c r="J123" s="483">
        <f t="shared" si="73"/>
        <v>120715980</v>
      </c>
      <c r="K123" s="488">
        <f t="shared" si="73"/>
        <v>25871530.41</v>
      </c>
      <c r="L123" s="489">
        <f t="shared" si="73"/>
        <v>19307418.074999999</v>
      </c>
      <c r="M123" s="490">
        <f t="shared" si="73"/>
        <v>13158041.819999998</v>
      </c>
      <c r="V123" s="8"/>
      <c r="X123" s="8"/>
    </row>
    <row r="124" spans="2:24" x14ac:dyDescent="0.25">
      <c r="E124" s="131"/>
      <c r="F124" s="131"/>
      <c r="G124" s="131"/>
      <c r="H124" s="131"/>
      <c r="I124" s="131"/>
      <c r="J124" s="131"/>
      <c r="K124" s="131"/>
      <c r="V124" s="8"/>
      <c r="X124" s="8"/>
    </row>
    <row r="125" spans="2:24" x14ac:dyDescent="0.25">
      <c r="C125" s="38" t="s">
        <v>384</v>
      </c>
      <c r="E125" s="95" t="s">
        <v>386</v>
      </c>
      <c r="F125" s="131"/>
      <c r="G125" s="131"/>
      <c r="H125" s="131"/>
      <c r="I125" s="131"/>
      <c r="J125" s="131"/>
      <c r="K125" s="131"/>
      <c r="V125" s="8"/>
      <c r="X125" s="8"/>
    </row>
    <row r="126" spans="2:24" ht="13" x14ac:dyDescent="0.3">
      <c r="C126" s="468" t="s">
        <v>377</v>
      </c>
      <c r="D126" s="468"/>
      <c r="E126" s="468" t="str">
        <f>E108</f>
        <v>Sep</v>
      </c>
      <c r="F126" s="469">
        <v>1</v>
      </c>
      <c r="G126" s="469">
        <v>14</v>
      </c>
      <c r="H126" s="131"/>
      <c r="I126" s="131"/>
      <c r="J126" s="131"/>
      <c r="K126" s="131"/>
      <c r="V126" s="8"/>
      <c r="X126" s="8"/>
    </row>
    <row r="127" spans="2:24" ht="13" x14ac:dyDescent="0.3">
      <c r="C127" s="472"/>
      <c r="D127" s="473"/>
      <c r="E127" s="472" t="s">
        <v>145</v>
      </c>
      <c r="F127" s="473" t="s">
        <v>145</v>
      </c>
      <c r="G127" s="474" t="s">
        <v>145</v>
      </c>
      <c r="H127" s="230" t="s">
        <v>378</v>
      </c>
      <c r="I127" s="117" t="s">
        <v>378</v>
      </c>
      <c r="J127" s="232" t="s">
        <v>378</v>
      </c>
      <c r="K127" s="230" t="s">
        <v>378</v>
      </c>
      <c r="L127" s="117" t="s">
        <v>378</v>
      </c>
      <c r="M127" s="232" t="s">
        <v>378</v>
      </c>
      <c r="V127" s="8"/>
      <c r="X127" s="8"/>
    </row>
    <row r="128" spans="2:24" ht="13.5" thickBot="1" x14ac:dyDescent="0.35">
      <c r="C128" s="484"/>
      <c r="D128" s="3"/>
      <c r="E128" s="484" t="s">
        <v>380</v>
      </c>
      <c r="F128" s="3" t="s">
        <v>380</v>
      </c>
      <c r="G128" s="485" t="s">
        <v>380</v>
      </c>
      <c r="H128" s="237" t="s">
        <v>380</v>
      </c>
      <c r="I128" s="8" t="s">
        <v>380</v>
      </c>
      <c r="J128" s="238" t="s">
        <v>380</v>
      </c>
      <c r="K128" s="237" t="s">
        <v>381</v>
      </c>
      <c r="L128" s="8" t="s">
        <v>381</v>
      </c>
      <c r="M128" s="238" t="s">
        <v>381</v>
      </c>
      <c r="V128" s="8"/>
      <c r="X128" s="8"/>
    </row>
    <row r="129" spans="2:24" ht="12.5" thickTop="1" thickBot="1" x14ac:dyDescent="0.3">
      <c r="C129" s="475" t="s">
        <v>23</v>
      </c>
      <c r="D129" s="431" t="s">
        <v>244</v>
      </c>
      <c r="E129" s="475" t="s">
        <v>240</v>
      </c>
      <c r="F129" s="431" t="s">
        <v>241</v>
      </c>
      <c r="G129" s="476" t="s">
        <v>242</v>
      </c>
      <c r="H129" s="475" t="s">
        <v>240</v>
      </c>
      <c r="I129" s="431" t="s">
        <v>241</v>
      </c>
      <c r="J129" s="476" t="s">
        <v>242</v>
      </c>
      <c r="K129" s="475" t="s">
        <v>240</v>
      </c>
      <c r="L129" s="431" t="s">
        <v>241</v>
      </c>
      <c r="M129" s="476" t="s">
        <v>242</v>
      </c>
      <c r="V129" s="8"/>
      <c r="X129" s="8"/>
    </row>
    <row r="130" spans="2:24" ht="12" thickTop="1" x14ac:dyDescent="0.25">
      <c r="B130" s="8" t="s">
        <v>30</v>
      </c>
      <c r="C130" s="477" t="s">
        <v>210</v>
      </c>
      <c r="D130" s="432" t="s">
        <v>31</v>
      </c>
      <c r="E130" s="487">
        <v>32173</v>
      </c>
      <c r="F130" s="470">
        <v>21854</v>
      </c>
      <c r="G130" s="486">
        <v>13600</v>
      </c>
      <c r="H130" s="479">
        <f t="shared" ref="H130:H140" si="74">E130*$D$83</f>
        <v>30081755</v>
      </c>
      <c r="I130" s="452">
        <f t="shared" ref="I130:I140" si="75">F130*$D$83</f>
        <v>20433490</v>
      </c>
      <c r="J130" s="480">
        <f t="shared" ref="J130:J140" si="76">G130*$D$83</f>
        <v>12716000</v>
      </c>
      <c r="K130" s="479">
        <f t="shared" ref="K130:K140" si="77">H130*$D$84</f>
        <v>3278911.2949999999</v>
      </c>
      <c r="L130" s="452">
        <f t="shared" ref="L130:L140" si="78">I130*$D$85</f>
        <v>1563161.9849999999</v>
      </c>
      <c r="M130" s="480">
        <f t="shared" ref="M130:M140" si="79">J130*$D$86</f>
        <v>1386044</v>
      </c>
      <c r="V130" s="8"/>
      <c r="X130" s="8"/>
    </row>
    <row r="131" spans="2:24" x14ac:dyDescent="0.25">
      <c r="B131" s="8" t="s">
        <v>35</v>
      </c>
      <c r="C131" s="477" t="s">
        <v>210</v>
      </c>
      <c r="D131" s="432" t="s">
        <v>36</v>
      </c>
      <c r="E131" s="487"/>
      <c r="F131" s="470"/>
      <c r="G131" s="486"/>
      <c r="H131" s="479">
        <f t="shared" si="74"/>
        <v>0</v>
      </c>
      <c r="I131" s="452">
        <f t="shared" si="75"/>
        <v>0</v>
      </c>
      <c r="J131" s="480">
        <f t="shared" si="76"/>
        <v>0</v>
      </c>
      <c r="K131" s="479">
        <f t="shared" si="77"/>
        <v>0</v>
      </c>
      <c r="L131" s="452">
        <f t="shared" si="78"/>
        <v>0</v>
      </c>
      <c r="M131" s="480">
        <f t="shared" si="79"/>
        <v>0</v>
      </c>
      <c r="V131" s="8"/>
      <c r="X131" s="8"/>
    </row>
    <row r="132" spans="2:24" x14ac:dyDescent="0.25">
      <c r="B132" s="8" t="s">
        <v>37</v>
      </c>
      <c r="C132" s="477" t="s">
        <v>210</v>
      </c>
      <c r="D132" s="432" t="s">
        <v>38</v>
      </c>
      <c r="E132" s="487"/>
      <c r="F132" s="470"/>
      <c r="G132" s="486"/>
      <c r="H132" s="479">
        <f t="shared" si="74"/>
        <v>0</v>
      </c>
      <c r="I132" s="452">
        <f t="shared" si="75"/>
        <v>0</v>
      </c>
      <c r="J132" s="480">
        <f t="shared" si="76"/>
        <v>0</v>
      </c>
      <c r="K132" s="479">
        <f t="shared" si="77"/>
        <v>0</v>
      </c>
      <c r="L132" s="452">
        <f t="shared" si="78"/>
        <v>0</v>
      </c>
      <c r="M132" s="480">
        <f t="shared" si="79"/>
        <v>0</v>
      </c>
      <c r="V132" s="8"/>
      <c r="X132" s="8"/>
    </row>
    <row r="133" spans="2:24" x14ac:dyDescent="0.25">
      <c r="B133" s="8" t="s">
        <v>39</v>
      </c>
      <c r="C133" s="477" t="s">
        <v>210</v>
      </c>
      <c r="D133" s="432" t="s">
        <v>40</v>
      </c>
      <c r="E133" s="487">
        <v>60360</v>
      </c>
      <c r="F133" s="470">
        <v>62005</v>
      </c>
      <c r="G133" s="486">
        <v>34832</v>
      </c>
      <c r="H133" s="479">
        <f t="shared" si="74"/>
        <v>56436600</v>
      </c>
      <c r="I133" s="452">
        <f t="shared" si="75"/>
        <v>57974675</v>
      </c>
      <c r="J133" s="480">
        <f t="shared" si="76"/>
        <v>32567920</v>
      </c>
      <c r="K133" s="479">
        <f t="shared" si="77"/>
        <v>6151589.4000000004</v>
      </c>
      <c r="L133" s="452">
        <f t="shared" si="78"/>
        <v>4435062.6375000002</v>
      </c>
      <c r="M133" s="480">
        <f t="shared" si="79"/>
        <v>3549903.28</v>
      </c>
      <c r="V133" s="8"/>
      <c r="X133" s="8"/>
    </row>
    <row r="134" spans="2:24" x14ac:dyDescent="0.25">
      <c r="B134" s="8" t="s">
        <v>41</v>
      </c>
      <c r="C134" s="477" t="s">
        <v>210</v>
      </c>
      <c r="D134" s="432" t="s">
        <v>42</v>
      </c>
      <c r="E134" s="487"/>
      <c r="F134" s="470"/>
      <c r="G134" s="486"/>
      <c r="H134" s="479">
        <f t="shared" si="74"/>
        <v>0</v>
      </c>
      <c r="I134" s="452">
        <f t="shared" si="75"/>
        <v>0</v>
      </c>
      <c r="J134" s="480">
        <f t="shared" si="76"/>
        <v>0</v>
      </c>
      <c r="K134" s="479">
        <f t="shared" si="77"/>
        <v>0</v>
      </c>
      <c r="L134" s="452">
        <f t="shared" si="78"/>
        <v>0</v>
      </c>
      <c r="M134" s="480">
        <f t="shared" si="79"/>
        <v>0</v>
      </c>
      <c r="V134" s="8"/>
      <c r="X134" s="8"/>
    </row>
    <row r="135" spans="2:24" x14ac:dyDescent="0.25">
      <c r="B135" s="8" t="s">
        <v>43</v>
      </c>
      <c r="C135" s="477" t="s">
        <v>212</v>
      </c>
      <c r="D135" s="432" t="s">
        <v>44</v>
      </c>
      <c r="E135" s="487">
        <v>26871</v>
      </c>
      <c r="F135" s="470">
        <v>45590</v>
      </c>
      <c r="G135" s="486">
        <v>14103</v>
      </c>
      <c r="H135" s="479">
        <f t="shared" si="74"/>
        <v>25124385</v>
      </c>
      <c r="I135" s="452">
        <f t="shared" si="75"/>
        <v>42626650</v>
      </c>
      <c r="J135" s="480">
        <f t="shared" si="76"/>
        <v>13186305</v>
      </c>
      <c r="K135" s="479">
        <f t="shared" si="77"/>
        <v>2738557.9649999999</v>
      </c>
      <c r="L135" s="452">
        <f t="shared" si="78"/>
        <v>3260938.7250000001</v>
      </c>
      <c r="M135" s="480">
        <f t="shared" si="79"/>
        <v>1437307.2450000001</v>
      </c>
      <c r="V135" s="8"/>
      <c r="X135" s="8"/>
    </row>
    <row r="136" spans="2:24" x14ac:dyDescent="0.25">
      <c r="B136" s="8" t="s">
        <v>45</v>
      </c>
      <c r="C136" s="477" t="s">
        <v>212</v>
      </c>
      <c r="D136" s="432" t="s">
        <v>46</v>
      </c>
      <c r="E136" s="487">
        <v>3510</v>
      </c>
      <c r="F136" s="470">
        <v>2180</v>
      </c>
      <c r="G136" s="486">
        <v>420</v>
      </c>
      <c r="H136" s="479">
        <f t="shared" si="74"/>
        <v>3281850</v>
      </c>
      <c r="I136" s="452">
        <f t="shared" si="75"/>
        <v>2038300</v>
      </c>
      <c r="J136" s="480">
        <f t="shared" si="76"/>
        <v>392700</v>
      </c>
      <c r="K136" s="479">
        <f t="shared" si="77"/>
        <v>357721.65</v>
      </c>
      <c r="L136" s="452">
        <f t="shared" si="78"/>
        <v>155929.94999999998</v>
      </c>
      <c r="M136" s="480">
        <f t="shared" si="79"/>
        <v>42804.3</v>
      </c>
      <c r="V136" s="8"/>
      <c r="X136" s="8"/>
    </row>
    <row r="137" spans="2:24" x14ac:dyDescent="0.25">
      <c r="B137" s="8" t="s">
        <v>47</v>
      </c>
      <c r="C137" s="477" t="s">
        <v>212</v>
      </c>
      <c r="D137" s="432" t="s">
        <v>48</v>
      </c>
      <c r="E137" s="487">
        <v>1298</v>
      </c>
      <c r="F137" s="470">
        <v>2833</v>
      </c>
      <c r="G137" s="486">
        <v>1599</v>
      </c>
      <c r="H137" s="479">
        <f t="shared" si="74"/>
        <v>1213630</v>
      </c>
      <c r="I137" s="452">
        <f t="shared" si="75"/>
        <v>2648855</v>
      </c>
      <c r="J137" s="480">
        <f t="shared" si="76"/>
        <v>1495065</v>
      </c>
      <c r="K137" s="479">
        <f t="shared" si="77"/>
        <v>132285.67000000001</v>
      </c>
      <c r="L137" s="452">
        <f t="shared" si="78"/>
        <v>202637.4075</v>
      </c>
      <c r="M137" s="480">
        <f t="shared" si="79"/>
        <v>162962.08499999999</v>
      </c>
      <c r="V137" s="8"/>
      <c r="X137" s="8"/>
    </row>
    <row r="138" spans="2:24" x14ac:dyDescent="0.25">
      <c r="B138" s="8" t="s">
        <v>49</v>
      </c>
      <c r="C138" s="477" t="s">
        <v>213</v>
      </c>
      <c r="D138" s="432" t="s">
        <v>50</v>
      </c>
      <c r="E138" s="487">
        <v>2715</v>
      </c>
      <c r="F138" s="470">
        <v>503</v>
      </c>
      <c r="G138" s="486"/>
      <c r="H138" s="479">
        <f t="shared" si="74"/>
        <v>2538525</v>
      </c>
      <c r="I138" s="452">
        <f t="shared" si="75"/>
        <v>470305</v>
      </c>
      <c r="J138" s="480">
        <f t="shared" si="76"/>
        <v>0</v>
      </c>
      <c r="K138" s="479">
        <f t="shared" si="77"/>
        <v>276699.22499999998</v>
      </c>
      <c r="L138" s="452">
        <f t="shared" si="78"/>
        <v>35978.332499999997</v>
      </c>
      <c r="M138" s="480">
        <f t="shared" si="79"/>
        <v>0</v>
      </c>
      <c r="V138" s="8"/>
      <c r="X138" s="8"/>
    </row>
    <row r="139" spans="2:24" x14ac:dyDescent="0.25">
      <c r="B139" s="8" t="s">
        <v>51</v>
      </c>
      <c r="C139" s="477" t="s">
        <v>213</v>
      </c>
      <c r="D139" s="432" t="s">
        <v>52</v>
      </c>
      <c r="E139" s="487"/>
      <c r="F139" s="470"/>
      <c r="G139" s="486"/>
      <c r="H139" s="479">
        <f t="shared" si="74"/>
        <v>0</v>
      </c>
      <c r="I139" s="452">
        <f t="shared" si="75"/>
        <v>0</v>
      </c>
      <c r="J139" s="480">
        <f t="shared" si="76"/>
        <v>0</v>
      </c>
      <c r="K139" s="479">
        <f t="shared" si="77"/>
        <v>0</v>
      </c>
      <c r="L139" s="452">
        <f t="shared" si="78"/>
        <v>0</v>
      </c>
      <c r="M139" s="480">
        <f t="shared" si="79"/>
        <v>0</v>
      </c>
      <c r="V139" s="8"/>
      <c r="X139" s="8"/>
    </row>
    <row r="140" spans="2:24" ht="12" thickBot="1" x14ac:dyDescent="0.3">
      <c r="B140" s="8" t="s">
        <v>53</v>
      </c>
      <c r="C140" s="477" t="s">
        <v>213</v>
      </c>
      <c r="D140" s="432" t="s">
        <v>54</v>
      </c>
      <c r="E140" s="487"/>
      <c r="F140" s="470"/>
      <c r="G140" s="486"/>
      <c r="H140" s="479">
        <f t="shared" si="74"/>
        <v>0</v>
      </c>
      <c r="I140" s="452">
        <f t="shared" si="75"/>
        <v>0</v>
      </c>
      <c r="J140" s="480">
        <f t="shared" si="76"/>
        <v>0</v>
      </c>
      <c r="K140" s="479">
        <f t="shared" si="77"/>
        <v>0</v>
      </c>
      <c r="L140" s="452">
        <f t="shared" si="78"/>
        <v>0</v>
      </c>
      <c r="M140" s="480">
        <f t="shared" si="79"/>
        <v>0</v>
      </c>
      <c r="V140" s="8"/>
      <c r="X140" s="8"/>
    </row>
    <row r="141" spans="2:24" ht="12" thickBot="1" x14ac:dyDescent="0.3">
      <c r="C141" s="481" t="s">
        <v>55</v>
      </c>
      <c r="D141" s="482"/>
      <c r="E141" s="481">
        <f t="shared" ref="E141:M141" si="80">SUM(E130:E140)</f>
        <v>126927</v>
      </c>
      <c r="F141" s="482">
        <f t="shared" si="80"/>
        <v>134965</v>
      </c>
      <c r="G141" s="483">
        <f t="shared" si="80"/>
        <v>64554</v>
      </c>
      <c r="H141" s="481">
        <f t="shared" si="80"/>
        <v>118676745</v>
      </c>
      <c r="I141" s="482">
        <f t="shared" si="80"/>
        <v>126192275</v>
      </c>
      <c r="J141" s="482">
        <f>SUM(J130:J140)</f>
        <v>60357990</v>
      </c>
      <c r="K141" s="495">
        <f t="shared" si="80"/>
        <v>12935765.205</v>
      </c>
      <c r="L141" s="496">
        <f t="shared" si="80"/>
        <v>9653709.0374999996</v>
      </c>
      <c r="M141" s="497">
        <f t="shared" si="80"/>
        <v>6579020.9099999992</v>
      </c>
      <c r="V141" s="8"/>
      <c r="X141" s="8"/>
    </row>
    <row r="142" spans="2:24" x14ac:dyDescent="0.25">
      <c r="E142" s="131"/>
      <c r="F142" s="131"/>
      <c r="G142" s="131"/>
      <c r="H142" s="131"/>
      <c r="I142" s="131"/>
      <c r="J142" s="131"/>
      <c r="K142" s="131"/>
      <c r="V142" s="8"/>
      <c r="X142" s="8"/>
    </row>
    <row r="143" spans="2:24" x14ac:dyDescent="0.25">
      <c r="C143" s="38" t="s">
        <v>385</v>
      </c>
      <c r="E143" s="131"/>
      <c r="F143" s="131"/>
      <c r="G143" s="131"/>
      <c r="H143" s="131"/>
      <c r="I143" s="131"/>
      <c r="J143" s="131"/>
      <c r="K143" s="131"/>
      <c r="V143" s="8"/>
      <c r="X143" s="8"/>
    </row>
    <row r="144" spans="2:24" ht="13" x14ac:dyDescent="0.3">
      <c r="C144" s="468" t="s">
        <v>377</v>
      </c>
      <c r="D144" s="468"/>
      <c r="E144" s="468" t="str">
        <f>E126</f>
        <v>Sep</v>
      </c>
      <c r="F144" s="468">
        <v>15</v>
      </c>
      <c r="G144" s="494">
        <f>G182</f>
        <v>31</v>
      </c>
      <c r="H144" s="131"/>
      <c r="I144" s="131"/>
      <c r="J144" s="131"/>
      <c r="K144" s="131"/>
      <c r="V144" s="8"/>
      <c r="X144" s="8"/>
    </row>
    <row r="145" spans="2:24" ht="13" x14ac:dyDescent="0.3">
      <c r="C145" s="472"/>
      <c r="D145" s="473"/>
      <c r="E145" s="472" t="s">
        <v>145</v>
      </c>
      <c r="F145" s="473" t="s">
        <v>145</v>
      </c>
      <c r="G145" s="474" t="s">
        <v>145</v>
      </c>
      <c r="H145" s="230" t="s">
        <v>378</v>
      </c>
      <c r="I145" s="117" t="s">
        <v>378</v>
      </c>
      <c r="J145" s="232" t="s">
        <v>378</v>
      </c>
      <c r="K145" s="230" t="s">
        <v>378</v>
      </c>
      <c r="L145" s="117" t="s">
        <v>378</v>
      </c>
      <c r="M145" s="232" t="s">
        <v>378</v>
      </c>
      <c r="V145" s="8"/>
      <c r="X145" s="8"/>
    </row>
    <row r="146" spans="2:24" ht="13.5" thickBot="1" x14ac:dyDescent="0.35">
      <c r="C146" s="484"/>
      <c r="D146" s="3"/>
      <c r="E146" s="484" t="s">
        <v>380</v>
      </c>
      <c r="F146" s="3" t="s">
        <v>380</v>
      </c>
      <c r="G146" s="485" t="s">
        <v>380</v>
      </c>
      <c r="H146" s="237" t="s">
        <v>380</v>
      </c>
      <c r="I146" s="8" t="s">
        <v>380</v>
      </c>
      <c r="J146" s="238" t="s">
        <v>380</v>
      </c>
      <c r="K146" s="237" t="s">
        <v>381</v>
      </c>
      <c r="L146" s="8" t="s">
        <v>381</v>
      </c>
      <c r="M146" s="238" t="s">
        <v>381</v>
      </c>
      <c r="V146" s="8"/>
      <c r="X146" s="8"/>
    </row>
    <row r="147" spans="2:24" ht="12.5" thickTop="1" thickBot="1" x14ac:dyDescent="0.3">
      <c r="C147" s="475" t="s">
        <v>23</v>
      </c>
      <c r="D147" s="431" t="s">
        <v>244</v>
      </c>
      <c r="E147" s="475" t="s">
        <v>240</v>
      </c>
      <c r="F147" s="431" t="s">
        <v>241</v>
      </c>
      <c r="G147" s="476" t="s">
        <v>242</v>
      </c>
      <c r="H147" s="475" t="s">
        <v>240</v>
      </c>
      <c r="I147" s="431" t="s">
        <v>241</v>
      </c>
      <c r="J147" s="476" t="s">
        <v>242</v>
      </c>
      <c r="K147" s="475" t="s">
        <v>240</v>
      </c>
      <c r="L147" s="431" t="s">
        <v>241</v>
      </c>
      <c r="M147" s="476" t="s">
        <v>242</v>
      </c>
      <c r="V147" s="8"/>
      <c r="X147" s="8"/>
    </row>
    <row r="148" spans="2:24" ht="12" thickTop="1" x14ac:dyDescent="0.25">
      <c r="B148" s="8" t="s">
        <v>30</v>
      </c>
      <c r="C148" s="477" t="s">
        <v>210</v>
      </c>
      <c r="D148" s="432" t="s">
        <v>31</v>
      </c>
      <c r="E148" s="477">
        <f>E169+E186</f>
        <v>44547.230769230766</v>
      </c>
      <c r="F148" s="432">
        <f t="shared" ref="F148:M148" si="81">F169+F186</f>
        <v>30259.384615384617</v>
      </c>
      <c r="G148" s="478">
        <f t="shared" si="81"/>
        <v>18830.76923076923</v>
      </c>
      <c r="H148" s="479">
        <f t="shared" si="81"/>
        <v>41651660.769230768</v>
      </c>
      <c r="I148" s="452">
        <f t="shared" si="81"/>
        <v>28292524.615384616</v>
      </c>
      <c r="J148" s="480">
        <f t="shared" si="81"/>
        <v>17606769.230769232</v>
      </c>
      <c r="K148" s="479">
        <f t="shared" si="81"/>
        <v>4540031.0238461541</v>
      </c>
      <c r="L148" s="452">
        <f t="shared" si="81"/>
        <v>2164378.133076923</v>
      </c>
      <c r="M148" s="480">
        <f t="shared" si="81"/>
        <v>1919137.846153846</v>
      </c>
      <c r="V148" s="8"/>
      <c r="X148" s="8"/>
    </row>
    <row r="149" spans="2:24" x14ac:dyDescent="0.25">
      <c r="B149" s="8" t="s">
        <v>35</v>
      </c>
      <c r="C149" s="477" t="s">
        <v>210</v>
      </c>
      <c r="D149" s="432" t="s">
        <v>36</v>
      </c>
      <c r="E149" s="477">
        <f t="shared" ref="E149:M149" si="82">E170+E187</f>
        <v>0</v>
      </c>
      <c r="F149" s="432">
        <f t="shared" si="82"/>
        <v>0</v>
      </c>
      <c r="G149" s="478">
        <f t="shared" si="82"/>
        <v>0</v>
      </c>
      <c r="H149" s="479">
        <f t="shared" si="82"/>
        <v>0</v>
      </c>
      <c r="I149" s="452">
        <f t="shared" si="82"/>
        <v>0</v>
      </c>
      <c r="J149" s="480">
        <f t="shared" si="82"/>
        <v>0</v>
      </c>
      <c r="K149" s="479">
        <f t="shared" si="82"/>
        <v>0</v>
      </c>
      <c r="L149" s="452">
        <f t="shared" si="82"/>
        <v>0</v>
      </c>
      <c r="M149" s="480">
        <f t="shared" si="82"/>
        <v>0</v>
      </c>
      <c r="V149" s="8"/>
      <c r="X149" s="8"/>
    </row>
    <row r="150" spans="2:24" x14ac:dyDescent="0.25">
      <c r="B150" s="8" t="s">
        <v>37</v>
      </c>
      <c r="C150" s="477" t="s">
        <v>210</v>
      </c>
      <c r="D150" s="432" t="s">
        <v>38</v>
      </c>
      <c r="E150" s="477">
        <f t="shared" ref="E150:M150" si="83">E171+E188</f>
        <v>0</v>
      </c>
      <c r="F150" s="432">
        <f t="shared" si="83"/>
        <v>0</v>
      </c>
      <c r="G150" s="478">
        <f t="shared" si="83"/>
        <v>0</v>
      </c>
      <c r="H150" s="479">
        <f t="shared" si="83"/>
        <v>0</v>
      </c>
      <c r="I150" s="452">
        <f t="shared" si="83"/>
        <v>0</v>
      </c>
      <c r="J150" s="480">
        <f t="shared" si="83"/>
        <v>0</v>
      </c>
      <c r="K150" s="479">
        <f t="shared" si="83"/>
        <v>0</v>
      </c>
      <c r="L150" s="452">
        <f t="shared" si="83"/>
        <v>0</v>
      </c>
      <c r="M150" s="480">
        <f t="shared" si="83"/>
        <v>0</v>
      </c>
      <c r="V150" s="8"/>
      <c r="X150" s="8"/>
    </row>
    <row r="151" spans="2:24" x14ac:dyDescent="0.25">
      <c r="B151" s="8" t="s">
        <v>39</v>
      </c>
      <c r="C151" s="477" t="s">
        <v>210</v>
      </c>
      <c r="D151" s="432" t="s">
        <v>40</v>
      </c>
      <c r="E151" s="477">
        <f t="shared" ref="E151:M151" si="84">E172+E189</f>
        <v>83575.38461538461</v>
      </c>
      <c r="F151" s="432">
        <f t="shared" si="84"/>
        <v>85853.076923076922</v>
      </c>
      <c r="G151" s="478">
        <f t="shared" si="84"/>
        <v>48228.923076923078</v>
      </c>
      <c r="H151" s="479">
        <f t="shared" si="84"/>
        <v>78142984.615384609</v>
      </c>
      <c r="I151" s="452">
        <f t="shared" si="84"/>
        <v>80272626.923076928</v>
      </c>
      <c r="J151" s="480">
        <f t="shared" si="84"/>
        <v>45094043.076923072</v>
      </c>
      <c r="K151" s="479">
        <f t="shared" si="84"/>
        <v>8517585.3230769224</v>
      </c>
      <c r="L151" s="452">
        <f t="shared" si="84"/>
        <v>6140855.9596153842</v>
      </c>
      <c r="M151" s="480">
        <f t="shared" si="84"/>
        <v>4915250.6953846151</v>
      </c>
      <c r="V151" s="8"/>
      <c r="X151" s="8"/>
    </row>
    <row r="152" spans="2:24" x14ac:dyDescent="0.25">
      <c r="B152" s="8" t="s">
        <v>41</v>
      </c>
      <c r="C152" s="477" t="s">
        <v>210</v>
      </c>
      <c r="D152" s="432" t="s">
        <v>42</v>
      </c>
      <c r="E152" s="477">
        <f t="shared" ref="E152:M152" si="85">E173+E190</f>
        <v>0</v>
      </c>
      <c r="F152" s="432">
        <f t="shared" si="85"/>
        <v>0</v>
      </c>
      <c r="G152" s="478">
        <f t="shared" si="85"/>
        <v>0</v>
      </c>
      <c r="H152" s="479">
        <f t="shared" si="85"/>
        <v>0</v>
      </c>
      <c r="I152" s="452">
        <f t="shared" si="85"/>
        <v>0</v>
      </c>
      <c r="J152" s="480">
        <f t="shared" si="85"/>
        <v>0</v>
      </c>
      <c r="K152" s="479">
        <f t="shared" si="85"/>
        <v>0</v>
      </c>
      <c r="L152" s="452">
        <f t="shared" si="85"/>
        <v>0</v>
      </c>
      <c r="M152" s="480">
        <f t="shared" si="85"/>
        <v>0</v>
      </c>
      <c r="V152" s="8"/>
      <c r="X152" s="8"/>
    </row>
    <row r="153" spans="2:24" x14ac:dyDescent="0.25">
      <c r="B153" s="8" t="s">
        <v>43</v>
      </c>
      <c r="C153" s="477" t="s">
        <v>212</v>
      </c>
      <c r="D153" s="432" t="s">
        <v>44</v>
      </c>
      <c r="E153" s="477">
        <f t="shared" ref="E153:M153" si="86">E174+E191</f>
        <v>37206</v>
      </c>
      <c r="F153" s="432">
        <f t="shared" si="86"/>
        <v>63124.61538461539</v>
      </c>
      <c r="G153" s="478">
        <f t="shared" si="86"/>
        <v>19527.23076923077</v>
      </c>
      <c r="H153" s="479">
        <f t="shared" si="86"/>
        <v>34787610</v>
      </c>
      <c r="I153" s="452">
        <f t="shared" si="86"/>
        <v>59021515.384615384</v>
      </c>
      <c r="J153" s="480">
        <f t="shared" si="86"/>
        <v>18257960.769230768</v>
      </c>
      <c r="K153" s="479">
        <f t="shared" si="86"/>
        <v>3791849.4899999998</v>
      </c>
      <c r="L153" s="452">
        <f t="shared" si="86"/>
        <v>4515145.9269230776</v>
      </c>
      <c r="M153" s="480">
        <f t="shared" si="86"/>
        <v>1990117.7238461541</v>
      </c>
      <c r="V153" s="8"/>
      <c r="X153" s="8"/>
    </row>
    <row r="154" spans="2:24" x14ac:dyDescent="0.25">
      <c r="B154" s="8" t="s">
        <v>45</v>
      </c>
      <c r="C154" s="477" t="s">
        <v>212</v>
      </c>
      <c r="D154" s="432" t="s">
        <v>46</v>
      </c>
      <c r="E154" s="477">
        <f t="shared" ref="E154:M154" si="87">E175+E192</f>
        <v>4860</v>
      </c>
      <c r="F154" s="432">
        <f t="shared" si="87"/>
        <v>3018.4615384615381</v>
      </c>
      <c r="G154" s="478">
        <f t="shared" si="87"/>
        <v>581.53846153846155</v>
      </c>
      <c r="H154" s="479">
        <f t="shared" si="87"/>
        <v>4544100</v>
      </c>
      <c r="I154" s="452">
        <f t="shared" si="87"/>
        <v>2822261.5384615385</v>
      </c>
      <c r="J154" s="480">
        <f t="shared" si="87"/>
        <v>543738.4615384615</v>
      </c>
      <c r="K154" s="479">
        <f t="shared" si="87"/>
        <v>495306.9</v>
      </c>
      <c r="L154" s="452">
        <f t="shared" si="87"/>
        <v>215903.00769230767</v>
      </c>
      <c r="M154" s="480">
        <f t="shared" si="87"/>
        <v>59267.492307692315</v>
      </c>
      <c r="V154" s="8"/>
      <c r="X154" s="8"/>
    </row>
    <row r="155" spans="2:24" x14ac:dyDescent="0.25">
      <c r="B155" s="8" t="s">
        <v>47</v>
      </c>
      <c r="C155" s="477" t="s">
        <v>212</v>
      </c>
      <c r="D155" s="432" t="s">
        <v>48</v>
      </c>
      <c r="E155" s="477">
        <f t="shared" ref="E155:M155" si="88">E176+E193</f>
        <v>1797.2307692307691</v>
      </c>
      <c r="F155" s="432">
        <f t="shared" si="88"/>
        <v>3922.6153846153848</v>
      </c>
      <c r="G155" s="478">
        <f t="shared" si="88"/>
        <v>2214</v>
      </c>
      <c r="H155" s="479">
        <f t="shared" si="88"/>
        <v>1680410.7692307692</v>
      </c>
      <c r="I155" s="452">
        <f t="shared" si="88"/>
        <v>3667645.384615385</v>
      </c>
      <c r="J155" s="480">
        <f t="shared" si="88"/>
        <v>2070090</v>
      </c>
      <c r="K155" s="479">
        <f t="shared" si="88"/>
        <v>183164.77384615387</v>
      </c>
      <c r="L155" s="452">
        <f t="shared" si="88"/>
        <v>280574.87192307692</v>
      </c>
      <c r="M155" s="480">
        <f t="shared" si="88"/>
        <v>225639.81</v>
      </c>
      <c r="V155" s="8"/>
      <c r="X155" s="8"/>
    </row>
    <row r="156" spans="2:24" x14ac:dyDescent="0.25">
      <c r="B156" s="8" t="s">
        <v>49</v>
      </c>
      <c r="C156" s="477" t="s">
        <v>213</v>
      </c>
      <c r="D156" s="432" t="s">
        <v>50</v>
      </c>
      <c r="E156" s="477">
        <f t="shared" ref="E156:M156" si="89">E177+E194</f>
        <v>3759.2307692307695</v>
      </c>
      <c r="F156" s="432">
        <f t="shared" si="89"/>
        <v>696.46153846153845</v>
      </c>
      <c r="G156" s="478">
        <f t="shared" si="89"/>
        <v>0</v>
      </c>
      <c r="H156" s="479">
        <f t="shared" si="89"/>
        <v>3514880.769230769</v>
      </c>
      <c r="I156" s="452">
        <f t="shared" si="89"/>
        <v>651191.5384615385</v>
      </c>
      <c r="J156" s="480">
        <f t="shared" si="89"/>
        <v>0</v>
      </c>
      <c r="K156" s="479">
        <f t="shared" si="89"/>
        <v>383122.00384615385</v>
      </c>
      <c r="L156" s="452">
        <f t="shared" si="89"/>
        <v>49816.152692307689</v>
      </c>
      <c r="M156" s="480">
        <f t="shared" si="89"/>
        <v>0</v>
      </c>
      <c r="V156" s="8"/>
      <c r="X156" s="8"/>
    </row>
    <row r="157" spans="2:24" x14ac:dyDescent="0.25">
      <c r="B157" s="8" t="s">
        <v>51</v>
      </c>
      <c r="C157" s="477" t="s">
        <v>213</v>
      </c>
      <c r="D157" s="432" t="s">
        <v>52</v>
      </c>
      <c r="E157" s="477">
        <f t="shared" ref="E157:M157" si="90">E178+E195</f>
        <v>0</v>
      </c>
      <c r="F157" s="432">
        <f t="shared" si="90"/>
        <v>0</v>
      </c>
      <c r="G157" s="478">
        <f t="shared" si="90"/>
        <v>0</v>
      </c>
      <c r="H157" s="479">
        <f t="shared" si="90"/>
        <v>0</v>
      </c>
      <c r="I157" s="452">
        <f t="shared" si="90"/>
        <v>0</v>
      </c>
      <c r="J157" s="480">
        <f t="shared" si="90"/>
        <v>0</v>
      </c>
      <c r="K157" s="479">
        <f t="shared" si="90"/>
        <v>0</v>
      </c>
      <c r="L157" s="452">
        <f t="shared" si="90"/>
        <v>0</v>
      </c>
      <c r="M157" s="480">
        <f t="shared" si="90"/>
        <v>0</v>
      </c>
      <c r="V157" s="8"/>
      <c r="X157" s="8"/>
    </row>
    <row r="158" spans="2:24" ht="12" thickBot="1" x14ac:dyDescent="0.3">
      <c r="B158" s="8" t="s">
        <v>53</v>
      </c>
      <c r="C158" s="477" t="s">
        <v>213</v>
      </c>
      <c r="D158" s="432" t="s">
        <v>54</v>
      </c>
      <c r="E158" s="477">
        <f t="shared" ref="E158:M158" si="91">E179+E196</f>
        <v>0</v>
      </c>
      <c r="F158" s="432">
        <f t="shared" si="91"/>
        <v>0</v>
      </c>
      <c r="G158" s="478">
        <f t="shared" si="91"/>
        <v>0</v>
      </c>
      <c r="H158" s="479">
        <f t="shared" si="91"/>
        <v>0</v>
      </c>
      <c r="I158" s="452">
        <f t="shared" si="91"/>
        <v>0</v>
      </c>
      <c r="J158" s="480">
        <f t="shared" si="91"/>
        <v>0</v>
      </c>
      <c r="K158" s="479">
        <f t="shared" si="91"/>
        <v>0</v>
      </c>
      <c r="L158" s="452">
        <f t="shared" si="91"/>
        <v>0</v>
      </c>
      <c r="M158" s="480">
        <f t="shared" si="91"/>
        <v>0</v>
      </c>
      <c r="V158" s="8"/>
      <c r="X158" s="8"/>
    </row>
    <row r="159" spans="2:24" ht="12" thickBot="1" x14ac:dyDescent="0.3">
      <c r="C159" s="481" t="s">
        <v>55</v>
      </c>
      <c r="D159" s="482"/>
      <c r="E159" s="481">
        <f t="shared" ref="E159:M159" si="92">E180+E197</f>
        <v>175745.07692307691</v>
      </c>
      <c r="F159" s="482">
        <f t="shared" si="92"/>
        <v>186874.61538461538</v>
      </c>
      <c r="G159" s="483">
        <f t="shared" si="92"/>
        <v>89382.461538461532</v>
      </c>
      <c r="H159" s="481">
        <f t="shared" si="92"/>
        <v>164321646.92307693</v>
      </c>
      <c r="I159" s="482">
        <f t="shared" si="92"/>
        <v>174727765.38461536</v>
      </c>
      <c r="J159" s="482">
        <f t="shared" si="92"/>
        <v>83572601.538461536</v>
      </c>
      <c r="K159" s="495">
        <f t="shared" si="92"/>
        <v>17911059.514615383</v>
      </c>
      <c r="L159" s="496">
        <f t="shared" si="92"/>
        <v>13366674.051923076</v>
      </c>
      <c r="M159" s="497">
        <f t="shared" si="92"/>
        <v>9109413.5676923059</v>
      </c>
      <c r="V159" s="8"/>
      <c r="X159" s="8"/>
    </row>
    <row r="160" spans="2:24" x14ac:dyDescent="0.25"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493"/>
      <c r="V160" s="8"/>
      <c r="X160" s="8"/>
    </row>
    <row r="161" spans="2:24" ht="12" thickBot="1" x14ac:dyDescent="0.3">
      <c r="C161" s="95" t="s">
        <v>386</v>
      </c>
      <c r="E161" s="131"/>
      <c r="F161" s="131"/>
      <c r="G161" s="131"/>
      <c r="H161" s="131"/>
      <c r="I161" s="131"/>
      <c r="J161" s="131"/>
      <c r="K161" s="131"/>
      <c r="V161" s="8"/>
      <c r="X161" s="8"/>
    </row>
    <row r="162" spans="2:24" x14ac:dyDescent="0.25">
      <c r="C162" s="272" t="s">
        <v>264</v>
      </c>
      <c r="D162" s="304">
        <v>5</v>
      </c>
      <c r="E162" s="131"/>
      <c r="F162" s="131"/>
      <c r="G162" s="131"/>
      <c r="H162" s="131"/>
      <c r="I162" s="131"/>
      <c r="J162" s="131"/>
      <c r="K162" s="131"/>
      <c r="V162" s="8"/>
      <c r="X162" s="8"/>
    </row>
    <row r="163" spans="2:24" ht="12" thickBot="1" x14ac:dyDescent="0.3">
      <c r="C163" s="305" t="s">
        <v>265</v>
      </c>
      <c r="D163" s="306">
        <f>31-D162</f>
        <v>26</v>
      </c>
      <c r="E163" s="131"/>
      <c r="F163" s="131"/>
      <c r="G163" s="131"/>
      <c r="H163" s="131"/>
      <c r="I163" s="131"/>
      <c r="J163" s="131"/>
      <c r="K163" s="131"/>
      <c r="V163" s="8"/>
      <c r="X163" s="8"/>
    </row>
    <row r="164" spans="2:24" x14ac:dyDescent="0.25">
      <c r="E164" s="131"/>
      <c r="F164" s="131"/>
      <c r="G164" s="131"/>
      <c r="H164" s="131"/>
      <c r="I164" s="131"/>
      <c r="J164" s="131"/>
      <c r="K164" s="131"/>
      <c r="V164" s="8"/>
      <c r="X164" s="8"/>
    </row>
    <row r="165" spans="2:24" ht="13" x14ac:dyDescent="0.3">
      <c r="C165" s="492" t="s">
        <v>383</v>
      </c>
      <c r="D165" s="492"/>
      <c r="E165" s="492" t="str">
        <f>E126</f>
        <v>Sep</v>
      </c>
      <c r="F165" s="492">
        <v>15</v>
      </c>
      <c r="G165" s="491">
        <v>20</v>
      </c>
      <c r="H165" s="131"/>
      <c r="I165" s="131"/>
      <c r="J165" s="131"/>
      <c r="K165" s="131"/>
      <c r="V165" s="8"/>
      <c r="X165" s="8"/>
    </row>
    <row r="166" spans="2:24" ht="13" x14ac:dyDescent="0.3">
      <c r="C166" s="472"/>
      <c r="D166" s="473"/>
      <c r="E166" s="472" t="s">
        <v>145</v>
      </c>
      <c r="F166" s="473" t="s">
        <v>145</v>
      </c>
      <c r="G166" s="474" t="s">
        <v>145</v>
      </c>
      <c r="H166" s="230" t="s">
        <v>378</v>
      </c>
      <c r="I166" s="117" t="s">
        <v>378</v>
      </c>
      <c r="J166" s="232" t="s">
        <v>378</v>
      </c>
      <c r="K166" s="230" t="s">
        <v>378</v>
      </c>
      <c r="L166" s="117" t="s">
        <v>378</v>
      </c>
      <c r="M166" s="232" t="s">
        <v>378</v>
      </c>
      <c r="V166" s="8"/>
      <c r="X166" s="8"/>
    </row>
    <row r="167" spans="2:24" ht="13.5" thickBot="1" x14ac:dyDescent="0.35">
      <c r="C167" s="484"/>
      <c r="D167" s="3"/>
      <c r="E167" s="484" t="s">
        <v>380</v>
      </c>
      <c r="F167" s="3" t="s">
        <v>380</v>
      </c>
      <c r="G167" s="485" t="s">
        <v>380</v>
      </c>
      <c r="H167" s="237" t="s">
        <v>380</v>
      </c>
      <c r="I167" s="8" t="s">
        <v>380</v>
      </c>
      <c r="J167" s="238" t="s">
        <v>380</v>
      </c>
      <c r="K167" s="237" t="s">
        <v>381</v>
      </c>
      <c r="L167" s="8" t="s">
        <v>381</v>
      </c>
      <c r="M167" s="238" t="s">
        <v>381</v>
      </c>
      <c r="V167" s="8"/>
      <c r="X167" s="8"/>
    </row>
    <row r="168" spans="2:24" ht="12.5" thickTop="1" thickBot="1" x14ac:dyDescent="0.3">
      <c r="C168" s="475" t="s">
        <v>23</v>
      </c>
      <c r="D168" s="431" t="s">
        <v>244</v>
      </c>
      <c r="E168" s="475" t="s">
        <v>240</v>
      </c>
      <c r="F168" s="431" t="s">
        <v>241</v>
      </c>
      <c r="G168" s="476" t="s">
        <v>242</v>
      </c>
      <c r="H168" s="475" t="s">
        <v>240</v>
      </c>
      <c r="I168" s="431" t="s">
        <v>241</v>
      </c>
      <c r="J168" s="476" t="s">
        <v>242</v>
      </c>
      <c r="K168" s="475" t="s">
        <v>240</v>
      </c>
      <c r="L168" s="431" t="s">
        <v>241</v>
      </c>
      <c r="M168" s="476" t="s">
        <v>242</v>
      </c>
      <c r="V168" s="8"/>
      <c r="X168" s="8"/>
    </row>
    <row r="169" spans="2:24" ht="12" thickTop="1" x14ac:dyDescent="0.25">
      <c r="B169" s="8" t="s">
        <v>30</v>
      </c>
      <c r="C169" s="477" t="s">
        <v>210</v>
      </c>
      <c r="D169" s="432" t="s">
        <v>31</v>
      </c>
      <c r="E169" s="487">
        <v>32173</v>
      </c>
      <c r="F169" s="470">
        <v>21854</v>
      </c>
      <c r="G169" s="486">
        <v>13600</v>
      </c>
      <c r="H169" s="479">
        <f t="shared" ref="H169:H179" si="93">E169*$D$83</f>
        <v>30081755</v>
      </c>
      <c r="I169" s="452">
        <f t="shared" ref="I169:I179" si="94">F169*$D$83</f>
        <v>20433490</v>
      </c>
      <c r="J169" s="480">
        <f t="shared" ref="J169:J179" si="95">G169*$D$83</f>
        <v>12716000</v>
      </c>
      <c r="K169" s="479">
        <f t="shared" ref="K169:K179" si="96">H169*$D$84</f>
        <v>3278911.2949999999</v>
      </c>
      <c r="L169" s="452">
        <f t="shared" ref="L169:L179" si="97">I169*$D$85</f>
        <v>1563161.9849999999</v>
      </c>
      <c r="M169" s="480">
        <f t="shared" ref="M169:M179" si="98">J169*$D$86</f>
        <v>1386044</v>
      </c>
      <c r="V169" s="8"/>
      <c r="X169" s="8"/>
    </row>
    <row r="170" spans="2:24" x14ac:dyDescent="0.25">
      <c r="B170" s="8" t="s">
        <v>35</v>
      </c>
      <c r="C170" s="477" t="s">
        <v>210</v>
      </c>
      <c r="D170" s="432" t="s">
        <v>36</v>
      </c>
      <c r="E170" s="487"/>
      <c r="F170" s="470"/>
      <c r="G170" s="486"/>
      <c r="H170" s="479">
        <f t="shared" si="93"/>
        <v>0</v>
      </c>
      <c r="I170" s="452">
        <f t="shared" si="94"/>
        <v>0</v>
      </c>
      <c r="J170" s="480">
        <f t="shared" si="95"/>
        <v>0</v>
      </c>
      <c r="K170" s="479">
        <f t="shared" si="96"/>
        <v>0</v>
      </c>
      <c r="L170" s="452">
        <f t="shared" si="97"/>
        <v>0</v>
      </c>
      <c r="M170" s="480">
        <f t="shared" si="98"/>
        <v>0</v>
      </c>
      <c r="V170" s="8"/>
      <c r="X170" s="8"/>
    </row>
    <row r="171" spans="2:24" x14ac:dyDescent="0.25">
      <c r="B171" s="8" t="s">
        <v>37</v>
      </c>
      <c r="C171" s="477" t="s">
        <v>210</v>
      </c>
      <c r="D171" s="432" t="s">
        <v>38</v>
      </c>
      <c r="E171" s="487"/>
      <c r="F171" s="470"/>
      <c r="G171" s="486"/>
      <c r="H171" s="479">
        <f t="shared" si="93"/>
        <v>0</v>
      </c>
      <c r="I171" s="452">
        <f t="shared" si="94"/>
        <v>0</v>
      </c>
      <c r="J171" s="480">
        <f t="shared" si="95"/>
        <v>0</v>
      </c>
      <c r="K171" s="479">
        <f t="shared" si="96"/>
        <v>0</v>
      </c>
      <c r="L171" s="452">
        <f t="shared" si="97"/>
        <v>0</v>
      </c>
      <c r="M171" s="480">
        <f t="shared" si="98"/>
        <v>0</v>
      </c>
      <c r="V171" s="8"/>
      <c r="X171" s="8"/>
    </row>
    <row r="172" spans="2:24" x14ac:dyDescent="0.25">
      <c r="B172" s="8" t="s">
        <v>39</v>
      </c>
      <c r="C172" s="477" t="s">
        <v>210</v>
      </c>
      <c r="D172" s="432" t="s">
        <v>40</v>
      </c>
      <c r="E172" s="487">
        <v>60360</v>
      </c>
      <c r="F172" s="470">
        <v>62005</v>
      </c>
      <c r="G172" s="486">
        <v>34832</v>
      </c>
      <c r="H172" s="479">
        <f t="shared" si="93"/>
        <v>56436600</v>
      </c>
      <c r="I172" s="452">
        <f t="shared" si="94"/>
        <v>57974675</v>
      </c>
      <c r="J172" s="480">
        <f t="shared" si="95"/>
        <v>32567920</v>
      </c>
      <c r="K172" s="479">
        <f t="shared" si="96"/>
        <v>6151589.4000000004</v>
      </c>
      <c r="L172" s="452">
        <f t="shared" si="97"/>
        <v>4435062.6375000002</v>
      </c>
      <c r="M172" s="480">
        <f t="shared" si="98"/>
        <v>3549903.28</v>
      </c>
      <c r="V172" s="8"/>
      <c r="X172" s="8"/>
    </row>
    <row r="173" spans="2:24" x14ac:dyDescent="0.25">
      <c r="B173" s="8" t="s">
        <v>41</v>
      </c>
      <c r="C173" s="477" t="s">
        <v>210</v>
      </c>
      <c r="D173" s="432" t="s">
        <v>42</v>
      </c>
      <c r="E173" s="487"/>
      <c r="F173" s="470"/>
      <c r="G173" s="486"/>
      <c r="H173" s="479">
        <f t="shared" si="93"/>
        <v>0</v>
      </c>
      <c r="I173" s="452">
        <f t="shared" si="94"/>
        <v>0</v>
      </c>
      <c r="J173" s="480">
        <f t="shared" si="95"/>
        <v>0</v>
      </c>
      <c r="K173" s="479">
        <f t="shared" si="96"/>
        <v>0</v>
      </c>
      <c r="L173" s="452">
        <f t="shared" si="97"/>
        <v>0</v>
      </c>
      <c r="M173" s="480">
        <f t="shared" si="98"/>
        <v>0</v>
      </c>
      <c r="V173" s="8"/>
      <c r="X173" s="8"/>
    </row>
    <row r="174" spans="2:24" x14ac:dyDescent="0.25">
      <c r="B174" s="8" t="s">
        <v>43</v>
      </c>
      <c r="C174" s="477" t="s">
        <v>212</v>
      </c>
      <c r="D174" s="432" t="s">
        <v>44</v>
      </c>
      <c r="E174" s="487">
        <v>26871</v>
      </c>
      <c r="F174" s="470">
        <v>45590</v>
      </c>
      <c r="G174" s="486">
        <v>14103</v>
      </c>
      <c r="H174" s="479">
        <f t="shared" si="93"/>
        <v>25124385</v>
      </c>
      <c r="I174" s="452">
        <f t="shared" si="94"/>
        <v>42626650</v>
      </c>
      <c r="J174" s="480">
        <f t="shared" si="95"/>
        <v>13186305</v>
      </c>
      <c r="K174" s="479">
        <f t="shared" si="96"/>
        <v>2738557.9649999999</v>
      </c>
      <c r="L174" s="452">
        <f t="shared" si="97"/>
        <v>3260938.7250000001</v>
      </c>
      <c r="M174" s="480">
        <f t="shared" si="98"/>
        <v>1437307.2450000001</v>
      </c>
      <c r="V174" s="8"/>
      <c r="X174" s="8"/>
    </row>
    <row r="175" spans="2:24" x14ac:dyDescent="0.25">
      <c r="B175" s="8" t="s">
        <v>45</v>
      </c>
      <c r="C175" s="477" t="s">
        <v>212</v>
      </c>
      <c r="D175" s="432" t="s">
        <v>46</v>
      </c>
      <c r="E175" s="487">
        <v>3510</v>
      </c>
      <c r="F175" s="470">
        <v>2180</v>
      </c>
      <c r="G175" s="486">
        <v>420</v>
      </c>
      <c r="H175" s="479">
        <f t="shared" si="93"/>
        <v>3281850</v>
      </c>
      <c r="I175" s="452">
        <f t="shared" si="94"/>
        <v>2038300</v>
      </c>
      <c r="J175" s="480">
        <f t="shared" si="95"/>
        <v>392700</v>
      </c>
      <c r="K175" s="479">
        <f t="shared" si="96"/>
        <v>357721.65</v>
      </c>
      <c r="L175" s="452">
        <f t="shared" si="97"/>
        <v>155929.94999999998</v>
      </c>
      <c r="M175" s="480">
        <f t="shared" si="98"/>
        <v>42804.3</v>
      </c>
      <c r="V175" s="8"/>
      <c r="X175" s="8"/>
    </row>
    <row r="176" spans="2:24" x14ac:dyDescent="0.25">
      <c r="B176" s="8" t="s">
        <v>47</v>
      </c>
      <c r="C176" s="477" t="s">
        <v>212</v>
      </c>
      <c r="D176" s="432" t="s">
        <v>48</v>
      </c>
      <c r="E176" s="487">
        <v>1298</v>
      </c>
      <c r="F176" s="470">
        <v>2833</v>
      </c>
      <c r="G176" s="486">
        <v>1599</v>
      </c>
      <c r="H176" s="479">
        <f t="shared" si="93"/>
        <v>1213630</v>
      </c>
      <c r="I176" s="452">
        <f t="shared" si="94"/>
        <v>2648855</v>
      </c>
      <c r="J176" s="480">
        <f t="shared" si="95"/>
        <v>1495065</v>
      </c>
      <c r="K176" s="479">
        <f t="shared" si="96"/>
        <v>132285.67000000001</v>
      </c>
      <c r="L176" s="452">
        <f t="shared" si="97"/>
        <v>202637.4075</v>
      </c>
      <c r="M176" s="480">
        <f t="shared" si="98"/>
        <v>162962.08499999999</v>
      </c>
      <c r="V176" s="8"/>
      <c r="X176" s="8"/>
    </row>
    <row r="177" spans="2:24" x14ac:dyDescent="0.25">
      <c r="B177" s="8" t="s">
        <v>49</v>
      </c>
      <c r="C177" s="477" t="s">
        <v>213</v>
      </c>
      <c r="D177" s="432" t="s">
        <v>50</v>
      </c>
      <c r="E177" s="487">
        <v>2715</v>
      </c>
      <c r="F177" s="470">
        <v>503</v>
      </c>
      <c r="G177" s="486"/>
      <c r="H177" s="479">
        <f t="shared" si="93"/>
        <v>2538525</v>
      </c>
      <c r="I177" s="452">
        <f t="shared" si="94"/>
        <v>470305</v>
      </c>
      <c r="J177" s="480">
        <f t="shared" si="95"/>
        <v>0</v>
      </c>
      <c r="K177" s="479">
        <f t="shared" si="96"/>
        <v>276699.22499999998</v>
      </c>
      <c r="L177" s="452">
        <f t="shared" si="97"/>
        <v>35978.332499999997</v>
      </c>
      <c r="M177" s="480">
        <f t="shared" si="98"/>
        <v>0</v>
      </c>
      <c r="V177" s="8"/>
      <c r="X177" s="8"/>
    </row>
    <row r="178" spans="2:24" x14ac:dyDescent="0.25">
      <c r="B178" s="8" t="s">
        <v>51</v>
      </c>
      <c r="C178" s="477" t="s">
        <v>213</v>
      </c>
      <c r="D178" s="432" t="s">
        <v>52</v>
      </c>
      <c r="E178" s="487"/>
      <c r="F178" s="470"/>
      <c r="G178" s="486"/>
      <c r="H178" s="479">
        <f t="shared" si="93"/>
        <v>0</v>
      </c>
      <c r="I178" s="452">
        <f t="shared" si="94"/>
        <v>0</v>
      </c>
      <c r="J178" s="480">
        <f t="shared" si="95"/>
        <v>0</v>
      </c>
      <c r="K178" s="479">
        <f t="shared" si="96"/>
        <v>0</v>
      </c>
      <c r="L178" s="452">
        <f t="shared" si="97"/>
        <v>0</v>
      </c>
      <c r="M178" s="480">
        <f t="shared" si="98"/>
        <v>0</v>
      </c>
      <c r="V178" s="8"/>
      <c r="X178" s="8"/>
    </row>
    <row r="179" spans="2:24" x14ac:dyDescent="0.25">
      <c r="B179" s="8" t="s">
        <v>53</v>
      </c>
      <c r="C179" s="477" t="s">
        <v>213</v>
      </c>
      <c r="D179" s="432" t="s">
        <v>54</v>
      </c>
      <c r="E179" s="487"/>
      <c r="F179" s="470"/>
      <c r="G179" s="486"/>
      <c r="H179" s="479">
        <f t="shared" si="93"/>
        <v>0</v>
      </c>
      <c r="I179" s="452">
        <f t="shared" si="94"/>
        <v>0</v>
      </c>
      <c r="J179" s="480">
        <f t="shared" si="95"/>
        <v>0</v>
      </c>
      <c r="K179" s="479">
        <f t="shared" si="96"/>
        <v>0</v>
      </c>
      <c r="L179" s="452">
        <f t="shared" si="97"/>
        <v>0</v>
      </c>
      <c r="M179" s="480">
        <f t="shared" si="98"/>
        <v>0</v>
      </c>
      <c r="V179" s="8"/>
      <c r="X179" s="8"/>
    </row>
    <row r="180" spans="2:24" x14ac:dyDescent="0.25">
      <c r="C180" s="481" t="s">
        <v>55</v>
      </c>
      <c r="D180" s="482"/>
      <c r="E180" s="481">
        <f t="shared" ref="E180:M180" si="99">SUM(E169:E179)</f>
        <v>126927</v>
      </c>
      <c r="F180" s="482">
        <f t="shared" si="99"/>
        <v>134965</v>
      </c>
      <c r="G180" s="483">
        <f t="shared" si="99"/>
        <v>64554</v>
      </c>
      <c r="H180" s="481">
        <f t="shared" si="99"/>
        <v>118676745</v>
      </c>
      <c r="I180" s="482">
        <f t="shared" si="99"/>
        <v>126192275</v>
      </c>
      <c r="J180" s="483">
        <f t="shared" si="99"/>
        <v>60357990</v>
      </c>
      <c r="K180" s="481">
        <f t="shared" si="99"/>
        <v>12935765.205</v>
      </c>
      <c r="L180" s="482">
        <f t="shared" si="99"/>
        <v>9653709.0374999996</v>
      </c>
      <c r="M180" s="483">
        <f t="shared" si="99"/>
        <v>6579020.9099999992</v>
      </c>
      <c r="V180" s="8"/>
      <c r="X180" s="8"/>
    </row>
    <row r="181" spans="2:24" x14ac:dyDescent="0.25">
      <c r="E181" s="131"/>
      <c r="F181" s="131"/>
      <c r="G181" s="131"/>
      <c r="H181" s="131"/>
      <c r="I181" s="131"/>
      <c r="J181" s="131"/>
      <c r="K181" s="131"/>
      <c r="V181" s="8"/>
      <c r="X181" s="8"/>
    </row>
    <row r="182" spans="2:24" ht="13" x14ac:dyDescent="0.3">
      <c r="C182" s="492" t="s">
        <v>383</v>
      </c>
      <c r="D182" s="492"/>
      <c r="E182" s="492" t="str">
        <f>E165</f>
        <v>Sep</v>
      </c>
      <c r="F182" s="491">
        <f>G165+1</f>
        <v>21</v>
      </c>
      <c r="G182" s="491">
        <v>31</v>
      </c>
      <c r="H182" s="131"/>
      <c r="I182" s="131"/>
      <c r="J182" s="131"/>
      <c r="K182" s="131"/>
      <c r="V182" s="8"/>
      <c r="X182" s="8"/>
    </row>
    <row r="183" spans="2:24" ht="13" x14ac:dyDescent="0.3">
      <c r="C183" s="472"/>
      <c r="D183" s="473"/>
      <c r="E183" s="472" t="s">
        <v>145</v>
      </c>
      <c r="F183" s="473" t="s">
        <v>145</v>
      </c>
      <c r="G183" s="474" t="s">
        <v>145</v>
      </c>
      <c r="H183" s="230" t="s">
        <v>378</v>
      </c>
      <c r="I183" s="117" t="s">
        <v>378</v>
      </c>
      <c r="J183" s="232" t="s">
        <v>378</v>
      </c>
      <c r="K183" s="230" t="s">
        <v>378</v>
      </c>
      <c r="L183" s="117" t="s">
        <v>378</v>
      </c>
      <c r="M183" s="232" t="s">
        <v>378</v>
      </c>
      <c r="V183" s="8"/>
      <c r="X183" s="8"/>
    </row>
    <row r="184" spans="2:24" ht="13.5" thickBot="1" x14ac:dyDescent="0.35">
      <c r="C184" s="484"/>
      <c r="D184" s="3"/>
      <c r="E184" s="484" t="s">
        <v>380</v>
      </c>
      <c r="F184" s="3" t="s">
        <v>380</v>
      </c>
      <c r="G184" s="485" t="s">
        <v>380</v>
      </c>
      <c r="H184" s="237" t="s">
        <v>380</v>
      </c>
      <c r="I184" s="8" t="s">
        <v>380</v>
      </c>
      <c r="J184" s="238" t="s">
        <v>380</v>
      </c>
      <c r="K184" s="237" t="s">
        <v>381</v>
      </c>
      <c r="L184" s="8" t="s">
        <v>381</v>
      </c>
      <c r="M184" s="238" t="s">
        <v>381</v>
      </c>
      <c r="V184" s="8"/>
      <c r="X184" s="8"/>
    </row>
    <row r="185" spans="2:24" ht="12.5" thickTop="1" thickBot="1" x14ac:dyDescent="0.3">
      <c r="C185" s="475" t="s">
        <v>23</v>
      </c>
      <c r="D185" s="431" t="s">
        <v>244</v>
      </c>
      <c r="E185" s="475" t="s">
        <v>240</v>
      </c>
      <c r="F185" s="431" t="s">
        <v>241</v>
      </c>
      <c r="G185" s="476" t="s">
        <v>242</v>
      </c>
      <c r="H185" s="475" t="s">
        <v>240</v>
      </c>
      <c r="I185" s="431" t="s">
        <v>241</v>
      </c>
      <c r="J185" s="476" t="s">
        <v>242</v>
      </c>
      <c r="K185" s="475" t="s">
        <v>240</v>
      </c>
      <c r="L185" s="431" t="s">
        <v>241</v>
      </c>
      <c r="M185" s="476" t="s">
        <v>242</v>
      </c>
      <c r="V185" s="8"/>
      <c r="X185" s="8"/>
    </row>
    <row r="186" spans="2:24" ht="12" thickTop="1" x14ac:dyDescent="0.25">
      <c r="B186" s="8" t="s">
        <v>30</v>
      </c>
      <c r="C186" s="477" t="s">
        <v>210</v>
      </c>
      <c r="D186" s="432" t="s">
        <v>31</v>
      </c>
      <c r="E186" s="477">
        <f t="shared" ref="E186:G196" si="100">(E112/$D$163)*$D$162</f>
        <v>12374.23076923077</v>
      </c>
      <c r="F186" s="432">
        <f t="shared" si="100"/>
        <v>8405.3846153846152</v>
      </c>
      <c r="G186" s="478">
        <f t="shared" si="100"/>
        <v>5230.7692307692305</v>
      </c>
      <c r="H186" s="479">
        <f t="shared" ref="H186:H196" si="101">E186*$D$83</f>
        <v>11569905.76923077</v>
      </c>
      <c r="I186" s="452">
        <f t="shared" ref="I186:I196" si="102">F186*$D$83</f>
        <v>7859034.615384615</v>
      </c>
      <c r="J186" s="480">
        <f t="shared" ref="J186:J196" si="103">G186*$D$83</f>
        <v>4890769.2307692301</v>
      </c>
      <c r="K186" s="479">
        <f t="shared" ref="K186:K196" si="104">H186*$D$84</f>
        <v>1261119.7288461539</v>
      </c>
      <c r="L186" s="452">
        <f t="shared" ref="L186:L196" si="105">I186*$D$85</f>
        <v>601216.14807692298</v>
      </c>
      <c r="M186" s="480">
        <f t="shared" ref="M186:M196" si="106">J186*$D$86</f>
        <v>533093.84615384613</v>
      </c>
      <c r="V186" s="8"/>
      <c r="X186" s="8"/>
    </row>
    <row r="187" spans="2:24" x14ac:dyDescent="0.25">
      <c r="B187" s="8" t="s">
        <v>35</v>
      </c>
      <c r="C187" s="477" t="s">
        <v>210</v>
      </c>
      <c r="D187" s="432" t="s">
        <v>36</v>
      </c>
      <c r="E187" s="477">
        <f t="shared" si="100"/>
        <v>0</v>
      </c>
      <c r="F187" s="432">
        <f t="shared" si="100"/>
        <v>0</v>
      </c>
      <c r="G187" s="478">
        <f t="shared" si="100"/>
        <v>0</v>
      </c>
      <c r="H187" s="479">
        <f t="shared" si="101"/>
        <v>0</v>
      </c>
      <c r="I187" s="452">
        <f t="shared" si="102"/>
        <v>0</v>
      </c>
      <c r="J187" s="480">
        <f t="shared" si="103"/>
        <v>0</v>
      </c>
      <c r="K187" s="479">
        <f t="shared" si="104"/>
        <v>0</v>
      </c>
      <c r="L187" s="452">
        <f t="shared" si="105"/>
        <v>0</v>
      </c>
      <c r="M187" s="480">
        <f t="shared" si="106"/>
        <v>0</v>
      </c>
      <c r="V187" s="8"/>
      <c r="X187" s="8"/>
    </row>
    <row r="188" spans="2:24" x14ac:dyDescent="0.25">
      <c r="B188" s="8" t="s">
        <v>37</v>
      </c>
      <c r="C188" s="477" t="s">
        <v>210</v>
      </c>
      <c r="D188" s="432" t="s">
        <v>38</v>
      </c>
      <c r="E188" s="477">
        <f t="shared" si="100"/>
        <v>0</v>
      </c>
      <c r="F188" s="432">
        <f t="shared" si="100"/>
        <v>0</v>
      </c>
      <c r="G188" s="478">
        <f t="shared" si="100"/>
        <v>0</v>
      </c>
      <c r="H188" s="479">
        <f t="shared" si="101"/>
        <v>0</v>
      </c>
      <c r="I188" s="452">
        <f t="shared" si="102"/>
        <v>0</v>
      </c>
      <c r="J188" s="480">
        <f t="shared" si="103"/>
        <v>0</v>
      </c>
      <c r="K188" s="479">
        <f t="shared" si="104"/>
        <v>0</v>
      </c>
      <c r="L188" s="452">
        <f t="shared" si="105"/>
        <v>0</v>
      </c>
      <c r="M188" s="480">
        <f t="shared" si="106"/>
        <v>0</v>
      </c>
      <c r="V188" s="8"/>
      <c r="X188" s="8"/>
    </row>
    <row r="189" spans="2:24" x14ac:dyDescent="0.25">
      <c r="B189" s="8" t="s">
        <v>39</v>
      </c>
      <c r="C189" s="477" t="s">
        <v>210</v>
      </c>
      <c r="D189" s="432" t="s">
        <v>40</v>
      </c>
      <c r="E189" s="477">
        <f t="shared" si="100"/>
        <v>23215.384615384613</v>
      </c>
      <c r="F189" s="432">
        <f t="shared" si="100"/>
        <v>23848.076923076922</v>
      </c>
      <c r="G189" s="478">
        <f t="shared" si="100"/>
        <v>13396.923076923076</v>
      </c>
      <c r="H189" s="479">
        <f t="shared" si="101"/>
        <v>21706384.615384612</v>
      </c>
      <c r="I189" s="452">
        <f t="shared" si="102"/>
        <v>22297951.92307692</v>
      </c>
      <c r="J189" s="480">
        <f t="shared" si="103"/>
        <v>12526123.076923076</v>
      </c>
      <c r="K189" s="479">
        <f t="shared" si="104"/>
        <v>2365995.9230769225</v>
      </c>
      <c r="L189" s="452">
        <f t="shared" si="105"/>
        <v>1705793.3221153843</v>
      </c>
      <c r="M189" s="480">
        <f t="shared" si="106"/>
        <v>1365347.4153846153</v>
      </c>
      <c r="V189" s="8"/>
      <c r="X189" s="8"/>
    </row>
    <row r="190" spans="2:24" x14ac:dyDescent="0.25">
      <c r="B190" s="8" t="s">
        <v>41</v>
      </c>
      <c r="C190" s="477" t="s">
        <v>210</v>
      </c>
      <c r="D190" s="432" t="s">
        <v>42</v>
      </c>
      <c r="E190" s="477">
        <f t="shared" si="100"/>
        <v>0</v>
      </c>
      <c r="F190" s="432">
        <f t="shared" si="100"/>
        <v>0</v>
      </c>
      <c r="G190" s="478">
        <f t="shared" si="100"/>
        <v>0</v>
      </c>
      <c r="H190" s="479">
        <f t="shared" si="101"/>
        <v>0</v>
      </c>
      <c r="I190" s="452">
        <f t="shared" si="102"/>
        <v>0</v>
      </c>
      <c r="J190" s="480">
        <f t="shared" si="103"/>
        <v>0</v>
      </c>
      <c r="K190" s="479">
        <f t="shared" si="104"/>
        <v>0</v>
      </c>
      <c r="L190" s="452">
        <f t="shared" si="105"/>
        <v>0</v>
      </c>
      <c r="M190" s="480">
        <f t="shared" si="106"/>
        <v>0</v>
      </c>
      <c r="V190" s="8"/>
      <c r="X190" s="8"/>
    </row>
    <row r="191" spans="2:24" x14ac:dyDescent="0.25">
      <c r="B191" s="8" t="s">
        <v>43</v>
      </c>
      <c r="C191" s="477" t="s">
        <v>212</v>
      </c>
      <c r="D191" s="432" t="s">
        <v>44</v>
      </c>
      <c r="E191" s="477">
        <f t="shared" si="100"/>
        <v>10335</v>
      </c>
      <c r="F191" s="432">
        <f t="shared" si="100"/>
        <v>17534.615384615387</v>
      </c>
      <c r="G191" s="478">
        <f t="shared" si="100"/>
        <v>5424.2307692307695</v>
      </c>
      <c r="H191" s="479">
        <f t="shared" si="101"/>
        <v>9663225</v>
      </c>
      <c r="I191" s="452">
        <f t="shared" si="102"/>
        <v>16394865.384615386</v>
      </c>
      <c r="J191" s="480">
        <f t="shared" si="103"/>
        <v>5071655.7692307699</v>
      </c>
      <c r="K191" s="479">
        <f t="shared" si="104"/>
        <v>1053291.5249999999</v>
      </c>
      <c r="L191" s="452">
        <f t="shared" si="105"/>
        <v>1254207.201923077</v>
      </c>
      <c r="M191" s="480">
        <f t="shared" si="106"/>
        <v>552810.47884615394</v>
      </c>
      <c r="V191" s="8"/>
      <c r="X191" s="8"/>
    </row>
    <row r="192" spans="2:24" x14ac:dyDescent="0.25">
      <c r="B192" s="8" t="s">
        <v>45</v>
      </c>
      <c r="C192" s="477" t="s">
        <v>212</v>
      </c>
      <c r="D192" s="432" t="s">
        <v>46</v>
      </c>
      <c r="E192" s="477">
        <f t="shared" si="100"/>
        <v>1350</v>
      </c>
      <c r="F192" s="432">
        <f t="shared" si="100"/>
        <v>838.46153846153834</v>
      </c>
      <c r="G192" s="478">
        <f t="shared" si="100"/>
        <v>161.53846153846155</v>
      </c>
      <c r="H192" s="479">
        <f t="shared" si="101"/>
        <v>1262250</v>
      </c>
      <c r="I192" s="452">
        <f t="shared" si="102"/>
        <v>783961.53846153838</v>
      </c>
      <c r="J192" s="480">
        <f t="shared" si="103"/>
        <v>151038.46153846156</v>
      </c>
      <c r="K192" s="479">
        <f t="shared" si="104"/>
        <v>137585.25</v>
      </c>
      <c r="L192" s="452">
        <f t="shared" si="105"/>
        <v>59973.057692307688</v>
      </c>
      <c r="M192" s="480">
        <f t="shared" si="106"/>
        <v>16463.192307692309</v>
      </c>
      <c r="V192" s="8"/>
      <c r="X192" s="8"/>
    </row>
    <row r="193" spans="2:24" x14ac:dyDescent="0.25">
      <c r="B193" s="8" t="s">
        <v>47</v>
      </c>
      <c r="C193" s="477" t="s">
        <v>212</v>
      </c>
      <c r="D193" s="432" t="s">
        <v>48</v>
      </c>
      <c r="E193" s="477">
        <f t="shared" si="100"/>
        <v>499.23076923076917</v>
      </c>
      <c r="F193" s="432">
        <f t="shared" si="100"/>
        <v>1089.6153846153848</v>
      </c>
      <c r="G193" s="478">
        <f t="shared" si="100"/>
        <v>615</v>
      </c>
      <c r="H193" s="479">
        <f t="shared" si="101"/>
        <v>466780.76923076919</v>
      </c>
      <c r="I193" s="452">
        <f t="shared" si="102"/>
        <v>1018790.3846153847</v>
      </c>
      <c r="J193" s="480">
        <f t="shared" si="103"/>
        <v>575025</v>
      </c>
      <c r="K193" s="479">
        <f t="shared" si="104"/>
        <v>50879.103846153841</v>
      </c>
      <c r="L193" s="452">
        <f t="shared" si="105"/>
        <v>77937.464423076934</v>
      </c>
      <c r="M193" s="480">
        <f t="shared" si="106"/>
        <v>62677.724999999999</v>
      </c>
      <c r="V193" s="8"/>
      <c r="X193" s="8"/>
    </row>
    <row r="194" spans="2:24" x14ac:dyDescent="0.25">
      <c r="B194" s="8" t="s">
        <v>49</v>
      </c>
      <c r="C194" s="477" t="s">
        <v>213</v>
      </c>
      <c r="D194" s="432" t="s">
        <v>50</v>
      </c>
      <c r="E194" s="477">
        <f t="shared" si="100"/>
        <v>1044.2307692307693</v>
      </c>
      <c r="F194" s="432">
        <f t="shared" si="100"/>
        <v>193.46153846153845</v>
      </c>
      <c r="G194" s="478">
        <f t="shared" si="100"/>
        <v>0</v>
      </c>
      <c r="H194" s="479">
        <f t="shared" si="101"/>
        <v>976355.76923076925</v>
      </c>
      <c r="I194" s="452">
        <f t="shared" si="102"/>
        <v>180886.53846153844</v>
      </c>
      <c r="J194" s="480">
        <f t="shared" si="103"/>
        <v>0</v>
      </c>
      <c r="K194" s="479">
        <f t="shared" si="104"/>
        <v>106422.77884615384</v>
      </c>
      <c r="L194" s="452">
        <f t="shared" si="105"/>
        <v>13837.82019230769</v>
      </c>
      <c r="M194" s="480">
        <f t="shared" si="106"/>
        <v>0</v>
      </c>
      <c r="V194" s="8"/>
      <c r="X194" s="8"/>
    </row>
    <row r="195" spans="2:24" x14ac:dyDescent="0.25">
      <c r="B195" s="8" t="s">
        <v>51</v>
      </c>
      <c r="C195" s="477" t="s">
        <v>213</v>
      </c>
      <c r="D195" s="432" t="s">
        <v>52</v>
      </c>
      <c r="E195" s="477">
        <f t="shared" si="100"/>
        <v>0</v>
      </c>
      <c r="F195" s="432">
        <f t="shared" si="100"/>
        <v>0</v>
      </c>
      <c r="G195" s="478">
        <f t="shared" si="100"/>
        <v>0</v>
      </c>
      <c r="H195" s="479">
        <f t="shared" si="101"/>
        <v>0</v>
      </c>
      <c r="I195" s="452">
        <f t="shared" si="102"/>
        <v>0</v>
      </c>
      <c r="J195" s="480">
        <f t="shared" si="103"/>
        <v>0</v>
      </c>
      <c r="K195" s="479">
        <f t="shared" si="104"/>
        <v>0</v>
      </c>
      <c r="L195" s="452">
        <f t="shared" si="105"/>
        <v>0</v>
      </c>
      <c r="M195" s="480">
        <f t="shared" si="106"/>
        <v>0</v>
      </c>
      <c r="V195" s="8"/>
      <c r="X195" s="8"/>
    </row>
    <row r="196" spans="2:24" x14ac:dyDescent="0.25">
      <c r="B196" s="8" t="s">
        <v>53</v>
      </c>
      <c r="C196" s="477" t="s">
        <v>213</v>
      </c>
      <c r="D196" s="432" t="s">
        <v>54</v>
      </c>
      <c r="E196" s="477">
        <f t="shared" si="100"/>
        <v>0</v>
      </c>
      <c r="F196" s="432">
        <f t="shared" si="100"/>
        <v>0</v>
      </c>
      <c r="G196" s="478">
        <f t="shared" si="100"/>
        <v>0</v>
      </c>
      <c r="H196" s="479">
        <f t="shared" si="101"/>
        <v>0</v>
      </c>
      <c r="I196" s="452">
        <f t="shared" si="102"/>
        <v>0</v>
      </c>
      <c r="J196" s="480">
        <f t="shared" si="103"/>
        <v>0</v>
      </c>
      <c r="K196" s="479">
        <f t="shared" si="104"/>
        <v>0</v>
      </c>
      <c r="L196" s="452">
        <f t="shared" si="105"/>
        <v>0</v>
      </c>
      <c r="M196" s="480">
        <f t="shared" si="106"/>
        <v>0</v>
      </c>
      <c r="V196" s="8"/>
      <c r="X196" s="8"/>
    </row>
    <row r="197" spans="2:24" x14ac:dyDescent="0.25">
      <c r="C197" s="481" t="s">
        <v>55</v>
      </c>
      <c r="D197" s="482"/>
      <c r="E197" s="481">
        <f t="shared" ref="E197" si="107">SUM(E186:E196)</f>
        <v>48818.076923076915</v>
      </c>
      <c r="F197" s="482">
        <f t="shared" ref="F197" si="108">SUM(F186:F196)</f>
        <v>51909.615384615383</v>
      </c>
      <c r="G197" s="483">
        <f t="shared" ref="G197" si="109">SUM(G186:G196)</f>
        <v>24828.461538461535</v>
      </c>
      <c r="H197" s="481">
        <f t="shared" ref="H197" si="110">SUM(H186:H196)</f>
        <v>45644901.92307692</v>
      </c>
      <c r="I197" s="482">
        <f t="shared" ref="I197" si="111">SUM(I186:I196)</f>
        <v>48535490.384615377</v>
      </c>
      <c r="J197" s="483">
        <f t="shared" ref="J197" si="112">SUM(J186:J196)</f>
        <v>23214611.538461532</v>
      </c>
      <c r="K197" s="481">
        <f t="shared" ref="K197" si="113">SUM(K186:K196)</f>
        <v>4975294.3096153839</v>
      </c>
      <c r="L197" s="482">
        <f t="shared" ref="L197" si="114">SUM(L186:L196)</f>
        <v>3712965.0144230761</v>
      </c>
      <c r="M197" s="483">
        <f t="shared" ref="M197" si="115">SUM(M186:M196)</f>
        <v>2530392.6576923076</v>
      </c>
      <c r="V197" s="8"/>
      <c r="X197" s="8"/>
    </row>
    <row r="198" spans="2:24" x14ac:dyDescent="0.25">
      <c r="E198" s="131"/>
      <c r="F198" s="131"/>
      <c r="G198" s="131"/>
      <c r="H198" s="131"/>
      <c r="I198" s="131"/>
      <c r="J198" s="131"/>
      <c r="K198" s="131"/>
      <c r="V198" s="8"/>
      <c r="X198" s="8"/>
    </row>
    <row r="199" spans="2:24" x14ac:dyDescent="0.25">
      <c r="E199" s="131"/>
      <c r="F199" s="131"/>
      <c r="G199" s="131"/>
      <c r="H199" s="131"/>
      <c r="I199" s="131"/>
      <c r="J199" s="131"/>
      <c r="K199" s="131"/>
      <c r="V199" s="8"/>
      <c r="X199" s="8"/>
    </row>
    <row r="200" spans="2:24" x14ac:dyDescent="0.25">
      <c r="E200" s="131"/>
      <c r="F200" s="131"/>
      <c r="G200" s="131"/>
      <c r="H200" s="131"/>
      <c r="I200" s="131"/>
      <c r="J200" s="131"/>
      <c r="K200" s="131"/>
      <c r="V200" s="8"/>
      <c r="X200" s="8"/>
    </row>
    <row r="201" spans="2:24" x14ac:dyDescent="0.25">
      <c r="E201" s="131"/>
      <c r="F201" s="131"/>
      <c r="G201" s="131"/>
      <c r="H201" s="131"/>
      <c r="I201" s="131"/>
      <c r="J201" s="131"/>
      <c r="K201" s="131"/>
      <c r="V201" s="8"/>
      <c r="X201" s="8"/>
    </row>
    <row r="202" spans="2:24" x14ac:dyDescent="0.25">
      <c r="E202" s="131"/>
      <c r="F202" s="131"/>
      <c r="G202" s="131"/>
      <c r="H202" s="131"/>
      <c r="I202" s="131"/>
      <c r="J202" s="131"/>
      <c r="K202" s="131"/>
      <c r="V202" s="8"/>
      <c r="X202" s="8"/>
    </row>
    <row r="203" spans="2:24" x14ac:dyDescent="0.25">
      <c r="E203" s="131"/>
      <c r="F203" s="131"/>
      <c r="G203" s="131"/>
      <c r="H203" s="131"/>
      <c r="I203" s="131"/>
      <c r="J203" s="131"/>
      <c r="K203" s="131"/>
      <c r="V203" s="8"/>
      <c r="X203" s="8"/>
    </row>
  </sheetData>
  <mergeCells count="7">
    <mergeCell ref="C80:D80"/>
    <mergeCell ref="C6:D6"/>
    <mergeCell ref="C12:D12"/>
    <mergeCell ref="C20:D20"/>
    <mergeCell ref="C35:D35"/>
    <mergeCell ref="C50:D50"/>
    <mergeCell ref="C65:D65"/>
  </mergeCells>
  <pageMargins left="0.7" right="0.7" top="0.75" bottom="0.75" header="0.3" footer="0.3"/>
  <headerFooter>
    <oddHeader>&amp;C&amp;"Aptos"&amp;12&amp;K000000 LGE Internal Use Only&amp;1#_x000D_</oddHeader>
  </headerFooter>
  <customProperties>
    <customPr name="_pios_id" r:id="rId1"/>
  </customProperties>
  <ignoredErrors>
    <ignoredError sqref="G50" formulaRange="1"/>
    <ignoredError sqref="L69:L80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E451-E514-44A3-A760-B3B711CE6786}">
  <dimension ref="B1:AF40"/>
  <sheetViews>
    <sheetView topLeftCell="E1" zoomScale="90" zoomScaleNormal="90" workbookViewId="0">
      <selection activeCell="J17" sqref="J17:J30"/>
    </sheetView>
  </sheetViews>
  <sheetFormatPr defaultRowHeight="13" x14ac:dyDescent="0.3"/>
  <cols>
    <col min="1" max="5" width="8.7265625" style="1"/>
    <col min="6" max="6" width="40" style="1" bestFit="1" customWidth="1"/>
    <col min="7" max="7" width="6.26953125" style="1" bestFit="1" customWidth="1"/>
    <col min="8" max="8" width="10.36328125" style="1" bestFit="1" customWidth="1"/>
    <col min="9" max="9" width="12.7265625" style="1" bestFit="1" customWidth="1"/>
    <col min="10" max="10" width="9.08984375" style="1" bestFit="1" customWidth="1"/>
    <col min="11" max="11" width="10.08984375" style="1" bestFit="1" customWidth="1"/>
    <col min="12" max="16384" width="8.7265625" style="1"/>
  </cols>
  <sheetData>
    <row r="1" spans="2:32" x14ac:dyDescent="0.3">
      <c r="B1" s="2" t="s">
        <v>173</v>
      </c>
    </row>
    <row r="2" spans="2:32" s="5" customFormat="1" x14ac:dyDescent="0.3">
      <c r="B2" s="400">
        <v>2026</v>
      </c>
      <c r="C2" s="401"/>
      <c r="D2" s="402"/>
      <c r="E2" s="401"/>
      <c r="F2" s="401"/>
      <c r="G2" s="403"/>
      <c r="H2" s="404"/>
      <c r="I2" s="401"/>
      <c r="J2" s="405" t="str">
        <f>IFERROR(VLOOKUP(I2,Map!$F$18:$G$56,2,0),"Add in Map")</f>
        <v>Add in Map</v>
      </c>
      <c r="K2" s="405" t="str">
        <f>VLOOKUP(L2,Map!$C$18:$D$29,2,0)</f>
        <v>CNT</v>
      </c>
      <c r="L2" s="401" t="s">
        <v>31</v>
      </c>
      <c r="M2" s="406"/>
      <c r="N2" s="407">
        <f t="shared" ref="N2:N13" si="0">IF(L2="TOTAL",(M2*0.19),0)</f>
        <v>0</v>
      </c>
      <c r="O2" s="407">
        <f t="shared" ref="O2:O13" si="1">M2*1.19</f>
        <v>0</v>
      </c>
      <c r="P2" s="408" t="e">
        <f t="shared" ref="P2:P13" si="2">M2/S2</f>
        <v>#N/A</v>
      </c>
      <c r="Q2" s="408">
        <f t="shared" ref="Q2:Q13" si="3">IF(L2="TOTAL",(P2*0.19),0)</f>
        <v>0</v>
      </c>
      <c r="R2" s="409" t="e">
        <f t="shared" ref="R2:R13" si="4">P2*1.19</f>
        <v>#N/A</v>
      </c>
      <c r="S2" s="410" t="e">
        <f>INDEX(FX!$D$3:$O$19,MATCH(B2,FX!$B$3:$B$32,0),MATCH(D2,FX!$D$2:$O$2,0))</f>
        <v>#N/A</v>
      </c>
      <c r="T2" s="401"/>
      <c r="U2" s="401"/>
      <c r="V2" s="401"/>
      <c r="W2" s="405" t="e">
        <f>VLOOKUP(I2,Map!$F$18:$H$51,3,0)</f>
        <v>#N/A</v>
      </c>
      <c r="X2" s="411"/>
      <c r="Y2" s="405" t="str">
        <f>VLOOKUP(L2,Map!$C$18:$D$29,2,0)</f>
        <v>CNT</v>
      </c>
      <c r="Z2" s="406"/>
      <c r="AA2" s="407">
        <f t="shared" ref="AA2:AA13" si="5">IF(Y2="TOTAL",(Z2*0.19),0)</f>
        <v>0</v>
      </c>
      <c r="AB2" s="407">
        <f t="shared" ref="AB2:AB13" si="6">Z2*1.19</f>
        <v>0</v>
      </c>
      <c r="AC2" s="408" t="e">
        <f t="shared" ref="AC2:AC13" si="7">Z2/S2</f>
        <v>#N/A</v>
      </c>
      <c r="AD2" s="408">
        <f t="shared" ref="AD2:AD13" si="8">IF(Y2="TOTAL",(AC2*0.19),0)</f>
        <v>0</v>
      </c>
      <c r="AE2" s="409" t="e">
        <f t="shared" ref="AE2:AE13" si="9">AC2*1.19</f>
        <v>#N/A</v>
      </c>
      <c r="AF2" s="412"/>
    </row>
    <row r="3" spans="2:32" x14ac:dyDescent="0.3">
      <c r="B3" s="383">
        <v>2026</v>
      </c>
      <c r="C3" s="360"/>
      <c r="D3" s="361"/>
      <c r="E3" s="360"/>
      <c r="F3" s="360"/>
      <c r="G3" s="362"/>
      <c r="H3" s="363"/>
      <c r="I3" s="360"/>
      <c r="J3" s="364" t="str">
        <f>IFERROR(VLOOKUP(I3,Map!$F$18:$G$56,2,0),"Add in Map")</f>
        <v>Add in Map</v>
      </c>
      <c r="K3" s="364" t="str">
        <f>VLOOKUP(L3,Map!$C$18:$D$29,2,0)</f>
        <v>CVT</v>
      </c>
      <c r="L3" s="360" t="s">
        <v>36</v>
      </c>
      <c r="M3" s="365"/>
      <c r="N3" s="366">
        <f t="shared" si="0"/>
        <v>0</v>
      </c>
      <c r="O3" s="366">
        <f t="shared" si="1"/>
        <v>0</v>
      </c>
      <c r="P3" s="367" t="e">
        <f t="shared" si="2"/>
        <v>#N/A</v>
      </c>
      <c r="Q3" s="367">
        <f t="shared" si="3"/>
        <v>0</v>
      </c>
      <c r="R3" s="368" t="e">
        <f t="shared" si="4"/>
        <v>#N/A</v>
      </c>
      <c r="S3" s="384" t="e">
        <f>INDEX(FX!$D$3:$O$19,MATCH(B3,FX!$B$3:$B$32,0),MATCH(D3,FX!$D$2:$O$2,0))</f>
        <v>#N/A</v>
      </c>
      <c r="T3" s="360"/>
      <c r="U3" s="360"/>
      <c r="V3" s="360"/>
      <c r="W3" s="364" t="e">
        <f>VLOOKUP(I3,Map!$F$18:$H$51,3,0)</f>
        <v>#N/A</v>
      </c>
      <c r="X3" s="370"/>
      <c r="Y3" s="364" t="str">
        <f>VLOOKUP(L3,Map!$C$18:$D$29,2,0)</f>
        <v>CVT</v>
      </c>
      <c r="Z3" s="365"/>
      <c r="AA3" s="366">
        <f t="shared" si="5"/>
        <v>0</v>
      </c>
      <c r="AB3" s="366">
        <f t="shared" si="6"/>
        <v>0</v>
      </c>
      <c r="AC3" s="367" t="e">
        <f t="shared" si="7"/>
        <v>#N/A</v>
      </c>
      <c r="AD3" s="367">
        <f t="shared" si="8"/>
        <v>0</v>
      </c>
      <c r="AE3" s="368" t="e">
        <f t="shared" si="9"/>
        <v>#N/A</v>
      </c>
      <c r="AF3" s="385"/>
    </row>
    <row r="4" spans="2:32" x14ac:dyDescent="0.3">
      <c r="B4" s="383">
        <v>2026</v>
      </c>
      <c r="C4" s="360"/>
      <c r="D4" s="361"/>
      <c r="E4" s="360"/>
      <c r="F4" s="360"/>
      <c r="G4" s="362"/>
      <c r="H4" s="363"/>
      <c r="I4" s="360"/>
      <c r="J4" s="364" t="str">
        <f>IFERROR(VLOOKUP(I4,Map!$F$18:$G$56,2,0),"Add in Map")</f>
        <v>Add in Map</v>
      </c>
      <c r="K4" s="364" t="str">
        <f>VLOOKUP(L4,Map!$C$18:$D$29,2,0)</f>
        <v>CDT</v>
      </c>
      <c r="L4" s="360" t="s">
        <v>38</v>
      </c>
      <c r="M4" s="365"/>
      <c r="N4" s="366">
        <f t="shared" si="0"/>
        <v>0</v>
      </c>
      <c r="O4" s="366">
        <f t="shared" si="1"/>
        <v>0</v>
      </c>
      <c r="P4" s="367" t="e">
        <f t="shared" si="2"/>
        <v>#N/A</v>
      </c>
      <c r="Q4" s="367">
        <f t="shared" si="3"/>
        <v>0</v>
      </c>
      <c r="R4" s="368" t="e">
        <f t="shared" si="4"/>
        <v>#N/A</v>
      </c>
      <c r="S4" s="384" t="e">
        <f>INDEX(FX!$D$3:$O$19,MATCH(B4,FX!$B$3:$B$32,0),MATCH(D4,FX!$D$2:$O$2,0))</f>
        <v>#N/A</v>
      </c>
      <c r="T4" s="360"/>
      <c r="U4" s="360"/>
      <c r="V4" s="360"/>
      <c r="W4" s="364" t="e">
        <f>VLOOKUP(I4,Map!$F$18:$H$51,3,0)</f>
        <v>#N/A</v>
      </c>
      <c r="X4" s="370"/>
      <c r="Y4" s="364" t="str">
        <f>VLOOKUP(L4,Map!$C$18:$D$29,2,0)</f>
        <v>CDT</v>
      </c>
      <c r="Z4" s="365"/>
      <c r="AA4" s="366">
        <f t="shared" si="5"/>
        <v>0</v>
      </c>
      <c r="AB4" s="366">
        <f t="shared" si="6"/>
        <v>0</v>
      </c>
      <c r="AC4" s="367" t="e">
        <f t="shared" si="7"/>
        <v>#N/A</v>
      </c>
      <c r="AD4" s="367">
        <f t="shared" si="8"/>
        <v>0</v>
      </c>
      <c r="AE4" s="368" t="e">
        <f t="shared" si="9"/>
        <v>#N/A</v>
      </c>
      <c r="AF4" s="385"/>
    </row>
    <row r="5" spans="2:32" x14ac:dyDescent="0.3">
      <c r="B5" s="383">
        <v>2026</v>
      </c>
      <c r="C5" s="360"/>
      <c r="D5" s="361"/>
      <c r="E5" s="360"/>
      <c r="F5" s="360"/>
      <c r="G5" s="362"/>
      <c r="H5" s="363"/>
      <c r="I5" s="360"/>
      <c r="J5" s="364" t="str">
        <f>IFERROR(VLOOKUP(I5,Map!$F$18:$G$56,2,0),"Add in Map")</f>
        <v>Add in Map</v>
      </c>
      <c r="K5" s="364" t="str">
        <f>VLOOKUP(L5,Map!$C$18:$D$29,2,0)</f>
        <v>DFT</v>
      </c>
      <c r="L5" s="360" t="s">
        <v>40</v>
      </c>
      <c r="M5" s="365"/>
      <c r="N5" s="366">
        <f t="shared" si="0"/>
        <v>0</v>
      </c>
      <c r="O5" s="366">
        <f t="shared" si="1"/>
        <v>0</v>
      </c>
      <c r="P5" s="367" t="e">
        <f t="shared" si="2"/>
        <v>#N/A</v>
      </c>
      <c r="Q5" s="367">
        <f t="shared" si="3"/>
        <v>0</v>
      </c>
      <c r="R5" s="368" t="e">
        <f t="shared" si="4"/>
        <v>#N/A</v>
      </c>
      <c r="S5" s="384" t="e">
        <f>INDEX(FX!$D$3:$O$19,MATCH(B5,FX!$B$3:$B$32,0),MATCH(D5,FX!$D$2:$O$2,0))</f>
        <v>#N/A</v>
      </c>
      <c r="T5" s="360"/>
      <c r="U5" s="360"/>
      <c r="V5" s="360"/>
      <c r="W5" s="364" t="e">
        <f>VLOOKUP(I5,Map!$F$18:$H$51,3,0)</f>
        <v>#N/A</v>
      </c>
      <c r="X5" s="370"/>
      <c r="Y5" s="364" t="str">
        <f>VLOOKUP(L5,Map!$C$18:$D$29,2,0)</f>
        <v>DFT</v>
      </c>
      <c r="Z5" s="365"/>
      <c r="AA5" s="366">
        <f t="shared" si="5"/>
        <v>0</v>
      </c>
      <c r="AB5" s="366">
        <f t="shared" si="6"/>
        <v>0</v>
      </c>
      <c r="AC5" s="367" t="e">
        <f t="shared" si="7"/>
        <v>#N/A</v>
      </c>
      <c r="AD5" s="367">
        <f t="shared" si="8"/>
        <v>0</v>
      </c>
      <c r="AE5" s="368" t="e">
        <f t="shared" si="9"/>
        <v>#N/A</v>
      </c>
      <c r="AF5" s="385"/>
    </row>
    <row r="6" spans="2:32" x14ac:dyDescent="0.3">
      <c r="B6" s="383">
        <v>2026</v>
      </c>
      <c r="C6" s="360"/>
      <c r="D6" s="361"/>
      <c r="E6" s="360"/>
      <c r="F6" s="360"/>
      <c r="G6" s="362"/>
      <c r="H6" s="363"/>
      <c r="I6" s="360"/>
      <c r="J6" s="364" t="str">
        <f>IFERROR(VLOOKUP(I6,Map!$F$18:$G$56,2,0),"Add in Map")</f>
        <v>Add in Map</v>
      </c>
      <c r="K6" s="364" t="str">
        <f>VLOOKUP(L6,Map!$C$18:$D$29,2,0)</f>
        <v>DVT</v>
      </c>
      <c r="L6" s="360" t="s">
        <v>42</v>
      </c>
      <c r="M6" s="365"/>
      <c r="N6" s="366">
        <f t="shared" si="0"/>
        <v>0</v>
      </c>
      <c r="O6" s="366">
        <f t="shared" si="1"/>
        <v>0</v>
      </c>
      <c r="P6" s="367" t="e">
        <f t="shared" si="2"/>
        <v>#N/A</v>
      </c>
      <c r="Q6" s="367">
        <f t="shared" si="3"/>
        <v>0</v>
      </c>
      <c r="R6" s="368" t="e">
        <f t="shared" si="4"/>
        <v>#N/A</v>
      </c>
      <c r="S6" s="384" t="e">
        <f>INDEX(FX!$D$3:$O$19,MATCH(B6,FX!$B$3:$B$32,0),MATCH(D6,FX!$D$2:$O$2,0))</f>
        <v>#N/A</v>
      </c>
      <c r="T6" s="360"/>
      <c r="U6" s="360"/>
      <c r="V6" s="360"/>
      <c r="W6" s="364" t="e">
        <f>VLOOKUP(I6,Map!$F$18:$H$51,3,0)</f>
        <v>#N/A</v>
      </c>
      <c r="X6" s="370"/>
      <c r="Y6" s="364" t="str">
        <f>VLOOKUP(L6,Map!$C$18:$D$29,2,0)</f>
        <v>DVT</v>
      </c>
      <c r="Z6" s="365"/>
      <c r="AA6" s="366">
        <f t="shared" si="5"/>
        <v>0</v>
      </c>
      <c r="AB6" s="366">
        <f t="shared" si="6"/>
        <v>0</v>
      </c>
      <c r="AC6" s="367" t="e">
        <f t="shared" si="7"/>
        <v>#N/A</v>
      </c>
      <c r="AD6" s="367">
        <f t="shared" si="8"/>
        <v>0</v>
      </c>
      <c r="AE6" s="368" t="e">
        <f t="shared" si="9"/>
        <v>#N/A</v>
      </c>
      <c r="AF6" s="385"/>
    </row>
    <row r="7" spans="2:32" x14ac:dyDescent="0.3">
      <c r="B7" s="383">
        <v>2026</v>
      </c>
      <c r="C7" s="360"/>
      <c r="D7" s="361"/>
      <c r="E7" s="360"/>
      <c r="F7" s="360"/>
      <c r="G7" s="362"/>
      <c r="H7" s="363"/>
      <c r="I7" s="360"/>
      <c r="J7" s="364" t="str">
        <f>IFERROR(VLOOKUP(I7,Map!$F$18:$G$56,2,0),"Add in Map")</f>
        <v>Add in Map</v>
      </c>
      <c r="K7" s="364" t="str">
        <f>VLOOKUP(L7,Map!$C$18:$D$29,2,0)</f>
        <v>GLT</v>
      </c>
      <c r="L7" s="360" t="s">
        <v>44</v>
      </c>
      <c r="M7" s="365"/>
      <c r="N7" s="366">
        <f t="shared" si="0"/>
        <v>0</v>
      </c>
      <c r="O7" s="366">
        <f t="shared" si="1"/>
        <v>0</v>
      </c>
      <c r="P7" s="367" t="e">
        <f t="shared" si="2"/>
        <v>#N/A</v>
      </c>
      <c r="Q7" s="367">
        <f t="shared" si="3"/>
        <v>0</v>
      </c>
      <c r="R7" s="368" t="e">
        <f t="shared" si="4"/>
        <v>#N/A</v>
      </c>
      <c r="S7" s="384" t="e">
        <f>INDEX(FX!$D$3:$O$19,MATCH(B7,FX!$B$3:$B$32,0),MATCH(D7,FX!$D$2:$O$2,0))</f>
        <v>#N/A</v>
      </c>
      <c r="T7" s="360"/>
      <c r="U7" s="360"/>
      <c r="V7" s="360"/>
      <c r="W7" s="364" t="e">
        <f>VLOOKUP(I7,Map!$F$18:$H$51,3,0)</f>
        <v>#N/A</v>
      </c>
      <c r="X7" s="370"/>
      <c r="Y7" s="364" t="str">
        <f>VLOOKUP(L7,Map!$C$18:$D$29,2,0)</f>
        <v>GLT</v>
      </c>
      <c r="Z7" s="365"/>
      <c r="AA7" s="366">
        <f t="shared" si="5"/>
        <v>0</v>
      </c>
      <c r="AB7" s="366">
        <f t="shared" si="6"/>
        <v>0</v>
      </c>
      <c r="AC7" s="367" t="e">
        <f t="shared" si="7"/>
        <v>#N/A</v>
      </c>
      <c r="AD7" s="367">
        <f t="shared" si="8"/>
        <v>0</v>
      </c>
      <c r="AE7" s="368" t="e">
        <f t="shared" si="9"/>
        <v>#N/A</v>
      </c>
      <c r="AF7" s="385"/>
    </row>
    <row r="8" spans="2:32" x14ac:dyDescent="0.3">
      <c r="B8" s="383">
        <v>2026</v>
      </c>
      <c r="C8" s="360"/>
      <c r="D8" s="361"/>
      <c r="E8" s="360"/>
      <c r="F8" s="360"/>
      <c r="G8" s="362"/>
      <c r="H8" s="363"/>
      <c r="I8" s="360"/>
      <c r="J8" s="364" t="str">
        <f>IFERROR(VLOOKUP(I8,Map!$F$18:$G$56,2,0),"Add in Map")</f>
        <v>Add in Map</v>
      </c>
      <c r="K8" s="364" t="str">
        <f>VLOOKUP(L8,Map!$C$18:$D$29,2,0)</f>
        <v>PNT</v>
      </c>
      <c r="L8" s="360" t="s">
        <v>46</v>
      </c>
      <c r="M8" s="365"/>
      <c r="N8" s="366">
        <f t="shared" si="0"/>
        <v>0</v>
      </c>
      <c r="O8" s="366">
        <f t="shared" si="1"/>
        <v>0</v>
      </c>
      <c r="P8" s="367" t="e">
        <f t="shared" si="2"/>
        <v>#N/A</v>
      </c>
      <c r="Q8" s="367">
        <f t="shared" si="3"/>
        <v>0</v>
      </c>
      <c r="R8" s="368" t="e">
        <f t="shared" si="4"/>
        <v>#N/A</v>
      </c>
      <c r="S8" s="384" t="e">
        <f>INDEX(FX!$D$3:$O$19,MATCH(B8,FX!$B$3:$B$32,0),MATCH(D8,FX!$D$2:$O$2,0))</f>
        <v>#N/A</v>
      </c>
      <c r="T8" s="360"/>
      <c r="U8" s="360"/>
      <c r="V8" s="360"/>
      <c r="W8" s="364" t="e">
        <f>VLOOKUP(I8,Map!$F$18:$H$51,3,0)</f>
        <v>#N/A</v>
      </c>
      <c r="X8" s="370"/>
      <c r="Y8" s="364" t="str">
        <f>VLOOKUP(L8,Map!$C$18:$D$29,2,0)</f>
        <v>PNT</v>
      </c>
      <c r="Z8" s="365"/>
      <c r="AA8" s="366">
        <f t="shared" si="5"/>
        <v>0</v>
      </c>
      <c r="AB8" s="366">
        <f t="shared" si="6"/>
        <v>0</v>
      </c>
      <c r="AC8" s="367" t="e">
        <f t="shared" si="7"/>
        <v>#N/A</v>
      </c>
      <c r="AD8" s="367">
        <f t="shared" si="8"/>
        <v>0</v>
      </c>
      <c r="AE8" s="368" t="e">
        <f t="shared" si="9"/>
        <v>#N/A</v>
      </c>
      <c r="AF8" s="385"/>
    </row>
    <row r="9" spans="2:32" x14ac:dyDescent="0.3">
      <c r="B9" s="383">
        <v>2026</v>
      </c>
      <c r="C9" s="360"/>
      <c r="D9" s="361"/>
      <c r="E9" s="360"/>
      <c r="F9" s="360"/>
      <c r="G9" s="362"/>
      <c r="H9" s="363"/>
      <c r="I9" s="360"/>
      <c r="J9" s="364" t="str">
        <f>IFERROR(VLOOKUP(I9,Map!$F$18:$G$56,2,0),"Add in Map")</f>
        <v>Add in Map</v>
      </c>
      <c r="K9" s="364" t="str">
        <f>VLOOKUP(L9,Map!$C$18:$D$29,2,0)</f>
        <v>GTT</v>
      </c>
      <c r="L9" s="360" t="s">
        <v>48</v>
      </c>
      <c r="M9" s="365"/>
      <c r="N9" s="366">
        <f t="shared" si="0"/>
        <v>0</v>
      </c>
      <c r="O9" s="366">
        <f t="shared" si="1"/>
        <v>0</v>
      </c>
      <c r="P9" s="367" t="e">
        <f t="shared" si="2"/>
        <v>#N/A</v>
      </c>
      <c r="Q9" s="367">
        <f t="shared" si="3"/>
        <v>0</v>
      </c>
      <c r="R9" s="368" t="e">
        <f t="shared" si="4"/>
        <v>#N/A</v>
      </c>
      <c r="S9" s="384" t="e">
        <f>INDEX(FX!$D$3:$O$19,MATCH(B9,FX!$B$3:$B$32,0),MATCH(D9,FX!$D$2:$O$2,0))</f>
        <v>#N/A</v>
      </c>
      <c r="T9" s="360"/>
      <c r="U9" s="360"/>
      <c r="V9" s="360"/>
      <c r="W9" s="364" t="e">
        <f>VLOOKUP(I9,Map!$F$18:$H$51,3,0)</f>
        <v>#N/A</v>
      </c>
      <c r="X9" s="370"/>
      <c r="Y9" s="364" t="str">
        <f>VLOOKUP(L9,Map!$C$18:$D$29,2,0)</f>
        <v>GTT</v>
      </c>
      <c r="Z9" s="365"/>
      <c r="AA9" s="366">
        <f t="shared" si="5"/>
        <v>0</v>
      </c>
      <c r="AB9" s="366">
        <f t="shared" si="6"/>
        <v>0</v>
      </c>
      <c r="AC9" s="367" t="e">
        <f t="shared" si="7"/>
        <v>#N/A</v>
      </c>
      <c r="AD9" s="367">
        <f t="shared" si="8"/>
        <v>0</v>
      </c>
      <c r="AE9" s="368" t="e">
        <f t="shared" si="9"/>
        <v>#N/A</v>
      </c>
      <c r="AF9" s="385"/>
    </row>
    <row r="10" spans="2:32" x14ac:dyDescent="0.3">
      <c r="B10" s="383">
        <v>2026</v>
      </c>
      <c r="C10" s="360"/>
      <c r="D10" s="361"/>
      <c r="E10" s="360"/>
      <c r="F10" s="360"/>
      <c r="G10" s="362"/>
      <c r="H10" s="363"/>
      <c r="I10" s="360"/>
      <c r="J10" s="364" t="str">
        <f>IFERROR(VLOOKUP(I10,Map!$F$18:$G$56,2,0),"Add in Map")</f>
        <v>Add in Map</v>
      </c>
      <c r="K10" s="364" t="str">
        <f>VLOOKUP(L10,Map!$C$18:$D$29,2,0)</f>
        <v>DGT</v>
      </c>
      <c r="L10" s="360" t="s">
        <v>50</v>
      </c>
      <c r="M10" s="365"/>
      <c r="N10" s="366">
        <f t="shared" si="0"/>
        <v>0</v>
      </c>
      <c r="O10" s="366">
        <f t="shared" si="1"/>
        <v>0</v>
      </c>
      <c r="P10" s="367" t="e">
        <f t="shared" si="2"/>
        <v>#N/A</v>
      </c>
      <c r="Q10" s="367">
        <f t="shared" si="3"/>
        <v>0</v>
      </c>
      <c r="R10" s="368" t="e">
        <f t="shared" si="4"/>
        <v>#N/A</v>
      </c>
      <c r="S10" s="384" t="e">
        <f>INDEX(FX!$D$3:$O$19,MATCH(B10,FX!$B$3:$B$32,0),MATCH(D10,FX!$D$2:$O$2,0))</f>
        <v>#N/A</v>
      </c>
      <c r="T10" s="360"/>
      <c r="U10" s="360"/>
      <c r="V10" s="360"/>
      <c r="W10" s="364" t="e">
        <f>VLOOKUP(I10,Map!$F$18:$H$51,3,0)</f>
        <v>#N/A</v>
      </c>
      <c r="X10" s="370"/>
      <c r="Y10" s="364" t="str">
        <f>VLOOKUP(L10,Map!$C$18:$D$29,2,0)</f>
        <v>DGT</v>
      </c>
      <c r="Z10" s="365"/>
      <c r="AA10" s="366">
        <f t="shared" si="5"/>
        <v>0</v>
      </c>
      <c r="AB10" s="366">
        <f t="shared" si="6"/>
        <v>0</v>
      </c>
      <c r="AC10" s="367" t="e">
        <f t="shared" si="7"/>
        <v>#N/A</v>
      </c>
      <c r="AD10" s="367">
        <f t="shared" si="8"/>
        <v>0</v>
      </c>
      <c r="AE10" s="368" t="e">
        <f t="shared" si="9"/>
        <v>#N/A</v>
      </c>
      <c r="AF10" s="385"/>
    </row>
    <row r="11" spans="2:32" x14ac:dyDescent="0.3">
      <c r="B11" s="383">
        <v>2026</v>
      </c>
      <c r="C11" s="360"/>
      <c r="D11" s="361"/>
      <c r="E11" s="360"/>
      <c r="F11" s="360"/>
      <c r="G11" s="362"/>
      <c r="H11" s="363"/>
      <c r="I11" s="360"/>
      <c r="J11" s="364" t="str">
        <f>IFERROR(VLOOKUP(I11,Map!$F$18:$G$56,2,0),"Add in Map")</f>
        <v>Add in Map</v>
      </c>
      <c r="K11" s="364" t="str">
        <f>VLOOKUP(L11,Map!$C$18:$D$29,2,0)</f>
        <v>DLT</v>
      </c>
      <c r="L11" s="360" t="s">
        <v>52</v>
      </c>
      <c r="M11" s="365"/>
      <c r="N11" s="366">
        <f t="shared" si="0"/>
        <v>0</v>
      </c>
      <c r="O11" s="366">
        <f t="shared" si="1"/>
        <v>0</v>
      </c>
      <c r="P11" s="367" t="e">
        <f t="shared" si="2"/>
        <v>#N/A</v>
      </c>
      <c r="Q11" s="367">
        <f t="shared" si="3"/>
        <v>0</v>
      </c>
      <c r="R11" s="368" t="e">
        <f t="shared" si="4"/>
        <v>#N/A</v>
      </c>
      <c r="S11" s="384" t="e">
        <f>INDEX(FX!$D$3:$O$19,MATCH(B11,FX!$B$3:$B$32,0),MATCH(D11,FX!$D$2:$O$2,0))</f>
        <v>#N/A</v>
      </c>
      <c r="T11" s="360"/>
      <c r="U11" s="360"/>
      <c r="V11" s="360"/>
      <c r="W11" s="364" t="e">
        <f>VLOOKUP(I11,Map!$F$18:$H$51,3,0)</f>
        <v>#N/A</v>
      </c>
      <c r="X11" s="370"/>
      <c r="Y11" s="364" t="str">
        <f>VLOOKUP(L11,Map!$C$18:$D$29,2,0)</f>
        <v>DLT</v>
      </c>
      <c r="Z11" s="365"/>
      <c r="AA11" s="366">
        <f t="shared" si="5"/>
        <v>0</v>
      </c>
      <c r="AB11" s="366">
        <f t="shared" si="6"/>
        <v>0</v>
      </c>
      <c r="AC11" s="367" t="e">
        <f t="shared" si="7"/>
        <v>#N/A</v>
      </c>
      <c r="AD11" s="367">
        <f t="shared" si="8"/>
        <v>0</v>
      </c>
      <c r="AE11" s="368" t="e">
        <f t="shared" si="9"/>
        <v>#N/A</v>
      </c>
      <c r="AF11" s="385"/>
    </row>
    <row r="12" spans="2:32" x14ac:dyDescent="0.3">
      <c r="B12" s="383">
        <v>2026</v>
      </c>
      <c r="C12" s="360"/>
      <c r="D12" s="361"/>
      <c r="E12" s="360"/>
      <c r="F12" s="360"/>
      <c r="G12" s="362"/>
      <c r="H12" s="363"/>
      <c r="I12" s="360"/>
      <c r="J12" s="364" t="str">
        <f>IFERROR(VLOOKUP(I12,Map!$F$18:$G$56,2,0),"Add in Map")</f>
        <v>Add in Map</v>
      </c>
      <c r="K12" s="364" t="str">
        <f>VLOOKUP(L12,Map!$C$18:$D$29,2,0)</f>
        <v>DMT</v>
      </c>
      <c r="L12" s="360" t="s">
        <v>54</v>
      </c>
      <c r="M12" s="365"/>
      <c r="N12" s="366">
        <f t="shared" si="0"/>
        <v>0</v>
      </c>
      <c r="O12" s="366">
        <f t="shared" si="1"/>
        <v>0</v>
      </c>
      <c r="P12" s="386" t="e">
        <f t="shared" si="2"/>
        <v>#N/A</v>
      </c>
      <c r="Q12" s="367">
        <f t="shared" si="3"/>
        <v>0</v>
      </c>
      <c r="R12" s="368" t="e">
        <f t="shared" si="4"/>
        <v>#N/A</v>
      </c>
      <c r="S12" s="384" t="e">
        <f>INDEX(FX!$D$3:$O$19,MATCH(B12,FX!$B$3:$B$32,0),MATCH(D12,FX!$D$2:$O$2,0))</f>
        <v>#N/A</v>
      </c>
      <c r="T12" s="360"/>
      <c r="U12" s="360"/>
      <c r="V12" s="360"/>
      <c r="W12" s="364" t="e">
        <f>VLOOKUP(I12,Map!$F$18:$H$51,3,0)</f>
        <v>#N/A</v>
      </c>
      <c r="X12" s="370"/>
      <c r="Y12" s="364" t="str">
        <f>VLOOKUP(L12,Map!$C$18:$D$29,2,0)</f>
        <v>DMT</v>
      </c>
      <c r="Z12" s="365"/>
      <c r="AA12" s="366">
        <f t="shared" si="5"/>
        <v>0</v>
      </c>
      <c r="AB12" s="366">
        <f t="shared" si="6"/>
        <v>0</v>
      </c>
      <c r="AC12" s="386" t="e">
        <f t="shared" si="7"/>
        <v>#N/A</v>
      </c>
      <c r="AD12" s="367">
        <f t="shared" si="8"/>
        <v>0</v>
      </c>
      <c r="AE12" s="368" t="e">
        <f t="shared" si="9"/>
        <v>#N/A</v>
      </c>
      <c r="AF12" s="385"/>
    </row>
    <row r="13" spans="2:32" s="37" customFormat="1" ht="14.5" x14ac:dyDescent="0.35">
      <c r="B13" s="387">
        <v>2026</v>
      </c>
      <c r="C13" s="388"/>
      <c r="D13" s="389"/>
      <c r="E13" s="388"/>
      <c r="F13" s="388"/>
      <c r="G13" s="390"/>
      <c r="H13" s="391"/>
      <c r="I13" s="388"/>
      <c r="J13" s="392" t="str">
        <f>IFERROR(VLOOKUP(I13,Map!$F$18:$G$56,2,0),"Add in Map")</f>
        <v>Add in Map</v>
      </c>
      <c r="K13" s="392" t="str">
        <f>VLOOKUP(L13,Map!$C$18:$D$29,2,0)</f>
        <v>TOTAL</v>
      </c>
      <c r="L13" s="388" t="s">
        <v>56</v>
      </c>
      <c r="M13" s="393">
        <f>SUM(M2:M12)</f>
        <v>0</v>
      </c>
      <c r="N13" s="393">
        <f t="shared" si="0"/>
        <v>0</v>
      </c>
      <c r="O13" s="393">
        <f t="shared" si="1"/>
        <v>0</v>
      </c>
      <c r="P13" s="394" t="e">
        <f t="shared" si="2"/>
        <v>#N/A</v>
      </c>
      <c r="Q13" s="394" t="e">
        <f t="shared" si="3"/>
        <v>#N/A</v>
      </c>
      <c r="R13" s="395" t="e">
        <f t="shared" si="4"/>
        <v>#N/A</v>
      </c>
      <c r="S13" s="396" t="e">
        <f>INDEX(FX!$D$3:$O$19,MATCH(B13,FX!$B$3:$B$32,0),MATCH(D13,FX!$D$2:$O$2,0))</f>
        <v>#N/A</v>
      </c>
      <c r="T13" s="388"/>
      <c r="U13" s="388"/>
      <c r="V13" s="388"/>
      <c r="W13" s="392" t="e">
        <f>VLOOKUP(I13,Map!$F$18:$H$51,3,0)</f>
        <v>#N/A</v>
      </c>
      <c r="X13" s="397"/>
      <c r="Y13" s="392" t="str">
        <f>VLOOKUP(L13,Map!$C$18:$D$29,2,0)</f>
        <v>TOTAL</v>
      </c>
      <c r="Z13" s="393">
        <f>SUM(Z2:Z12)</f>
        <v>0</v>
      </c>
      <c r="AA13" s="393">
        <f t="shared" si="5"/>
        <v>0</v>
      </c>
      <c r="AB13" s="393">
        <f t="shared" si="6"/>
        <v>0</v>
      </c>
      <c r="AC13" s="394" t="e">
        <f t="shared" si="7"/>
        <v>#N/A</v>
      </c>
      <c r="AD13" s="394" t="e">
        <f t="shared" si="8"/>
        <v>#N/A</v>
      </c>
      <c r="AE13" s="395" t="e">
        <f t="shared" si="9"/>
        <v>#N/A</v>
      </c>
      <c r="AF13" s="398"/>
    </row>
    <row r="16" spans="2:32" x14ac:dyDescent="0.3">
      <c r="B16" s="2" t="s">
        <v>174</v>
      </c>
      <c r="F16" s="34" t="s">
        <v>21</v>
      </c>
      <c r="G16" s="69" t="s">
        <v>20</v>
      </c>
      <c r="H16" s="69" t="s">
        <v>139</v>
      </c>
      <c r="I16" s="69" t="s">
        <v>300</v>
      </c>
      <c r="J16" s="69" t="s">
        <v>5</v>
      </c>
      <c r="K16" s="35" t="s">
        <v>318</v>
      </c>
    </row>
    <row r="17" spans="3:11" x14ac:dyDescent="0.3">
      <c r="C17" s="34" t="s">
        <v>22</v>
      </c>
      <c r="D17" s="35" t="s">
        <v>90</v>
      </c>
      <c r="F17" s="6" t="s">
        <v>301</v>
      </c>
      <c r="G17" s="1" t="s">
        <v>28</v>
      </c>
      <c r="I17" s="1">
        <v>20167</v>
      </c>
      <c r="K17" s="32">
        <v>51357755</v>
      </c>
    </row>
    <row r="18" spans="3:11" x14ac:dyDescent="0.3">
      <c r="C18" s="6" t="s">
        <v>31</v>
      </c>
      <c r="D18" s="32" t="s">
        <v>30</v>
      </c>
      <c r="F18" s="6" t="s">
        <v>29</v>
      </c>
      <c r="G18" s="1" t="s">
        <v>28</v>
      </c>
      <c r="H18" s="1" t="s">
        <v>33</v>
      </c>
      <c r="I18" s="1">
        <v>20168</v>
      </c>
      <c r="J18" s="1" t="s">
        <v>7</v>
      </c>
      <c r="K18" s="32">
        <v>51357755</v>
      </c>
    </row>
    <row r="19" spans="3:11" x14ac:dyDescent="0.3">
      <c r="C19" s="6" t="s">
        <v>36</v>
      </c>
      <c r="D19" s="32" t="s">
        <v>35</v>
      </c>
      <c r="F19" s="6" t="s">
        <v>148</v>
      </c>
      <c r="G19" s="1" t="s">
        <v>28</v>
      </c>
      <c r="H19" s="1" t="s">
        <v>33</v>
      </c>
      <c r="I19" s="1">
        <v>20169</v>
      </c>
      <c r="J19" s="1" t="s">
        <v>10</v>
      </c>
      <c r="K19" s="32">
        <v>51357755</v>
      </c>
    </row>
    <row r="20" spans="3:11" x14ac:dyDescent="0.3">
      <c r="C20" s="6" t="s">
        <v>38</v>
      </c>
      <c r="D20" s="32" t="s">
        <v>37</v>
      </c>
      <c r="F20" s="6" t="s">
        <v>147</v>
      </c>
      <c r="G20" s="1" t="s">
        <v>28</v>
      </c>
      <c r="H20" s="1" t="s">
        <v>33</v>
      </c>
      <c r="I20" s="1">
        <v>20170</v>
      </c>
      <c r="J20" s="1" t="s">
        <v>10</v>
      </c>
      <c r="K20" s="32">
        <v>51357755</v>
      </c>
    </row>
    <row r="21" spans="3:11" x14ac:dyDescent="0.3">
      <c r="C21" s="6" t="s">
        <v>40</v>
      </c>
      <c r="D21" s="32" t="s">
        <v>39</v>
      </c>
      <c r="F21" s="6" t="s">
        <v>175</v>
      </c>
      <c r="G21" s="1" t="s">
        <v>28</v>
      </c>
      <c r="H21" s="1" t="s">
        <v>33</v>
      </c>
      <c r="I21" s="1">
        <v>20171</v>
      </c>
      <c r="J21" s="1" t="s">
        <v>10</v>
      </c>
      <c r="K21" s="32">
        <v>51357755</v>
      </c>
    </row>
    <row r="22" spans="3:11" x14ac:dyDescent="0.3">
      <c r="C22" s="6" t="s">
        <v>42</v>
      </c>
      <c r="D22" s="32" t="s">
        <v>41</v>
      </c>
      <c r="F22" s="6" t="s">
        <v>180</v>
      </c>
      <c r="G22" s="1" t="s">
        <v>181</v>
      </c>
      <c r="H22" s="1" t="s">
        <v>33</v>
      </c>
      <c r="I22" s="1">
        <v>20148</v>
      </c>
      <c r="J22" s="1" t="s">
        <v>8</v>
      </c>
      <c r="K22" s="32">
        <v>51357755</v>
      </c>
    </row>
    <row r="23" spans="3:11" x14ac:dyDescent="0.3">
      <c r="C23" s="6" t="s">
        <v>44</v>
      </c>
      <c r="D23" s="32" t="s">
        <v>43</v>
      </c>
      <c r="F23" s="6" t="s">
        <v>146</v>
      </c>
      <c r="G23" s="1" t="s">
        <v>181</v>
      </c>
      <c r="H23" s="1" t="s">
        <v>33</v>
      </c>
      <c r="I23" s="1">
        <v>20148</v>
      </c>
      <c r="J23" s="1" t="s">
        <v>6</v>
      </c>
      <c r="K23" s="32">
        <v>51357755</v>
      </c>
    </row>
    <row r="24" spans="3:11" x14ac:dyDescent="0.3">
      <c r="C24" s="6" t="s">
        <v>46</v>
      </c>
      <c r="D24" s="32" t="s">
        <v>45</v>
      </c>
      <c r="F24" s="6" t="s">
        <v>315</v>
      </c>
      <c r="G24" s="1" t="s">
        <v>181</v>
      </c>
      <c r="H24" s="1" t="s">
        <v>33</v>
      </c>
      <c r="I24" s="1">
        <v>20148</v>
      </c>
      <c r="J24" s="1" t="s">
        <v>9</v>
      </c>
      <c r="K24" s="32">
        <v>51357755</v>
      </c>
    </row>
    <row r="25" spans="3:11" x14ac:dyDescent="0.3">
      <c r="C25" s="6" t="s">
        <v>48</v>
      </c>
      <c r="D25" s="32" t="s">
        <v>47</v>
      </c>
      <c r="F25" s="6" t="s">
        <v>317</v>
      </c>
      <c r="G25" s="1" t="s">
        <v>181</v>
      </c>
      <c r="H25" s="1" t="s">
        <v>314</v>
      </c>
      <c r="I25" s="1">
        <v>20148</v>
      </c>
      <c r="J25" s="1" t="s">
        <v>9</v>
      </c>
      <c r="K25" s="32">
        <v>51351103</v>
      </c>
    </row>
    <row r="26" spans="3:11" x14ac:dyDescent="0.3">
      <c r="C26" s="6" t="s">
        <v>50</v>
      </c>
      <c r="D26" s="32" t="s">
        <v>49</v>
      </c>
      <c r="F26" s="6" t="s">
        <v>312</v>
      </c>
      <c r="G26" s="1" t="s">
        <v>181</v>
      </c>
      <c r="H26" s="1" t="s">
        <v>314</v>
      </c>
      <c r="I26" s="1">
        <v>20148</v>
      </c>
      <c r="J26" s="1" t="s">
        <v>9</v>
      </c>
      <c r="K26" s="32">
        <v>51351105</v>
      </c>
    </row>
    <row r="27" spans="3:11" x14ac:dyDescent="0.3">
      <c r="C27" s="6" t="s">
        <v>52</v>
      </c>
      <c r="D27" s="32" t="s">
        <v>51</v>
      </c>
      <c r="F27" s="6" t="s">
        <v>313</v>
      </c>
      <c r="G27" s="1" t="s">
        <v>181</v>
      </c>
      <c r="H27" s="1" t="s">
        <v>314</v>
      </c>
      <c r="I27" s="1">
        <v>20167</v>
      </c>
      <c r="J27" s="1" t="s">
        <v>10</v>
      </c>
      <c r="K27" s="32">
        <v>51351105</v>
      </c>
    </row>
    <row r="28" spans="3:11" x14ac:dyDescent="0.3">
      <c r="C28" s="6" t="s">
        <v>54</v>
      </c>
      <c r="D28" s="32" t="s">
        <v>53</v>
      </c>
      <c r="F28" s="6" t="s">
        <v>450</v>
      </c>
      <c r="G28" s="1" t="s">
        <v>181</v>
      </c>
      <c r="H28" s="1" t="s">
        <v>314</v>
      </c>
      <c r="I28" s="1">
        <v>20148</v>
      </c>
      <c r="K28" s="32">
        <v>51351103</v>
      </c>
    </row>
    <row r="29" spans="3:11" x14ac:dyDescent="0.3">
      <c r="C29" s="7" t="s">
        <v>56</v>
      </c>
      <c r="D29" s="33" t="s">
        <v>56</v>
      </c>
      <c r="F29" s="6" t="s">
        <v>451</v>
      </c>
      <c r="G29" s="1" t="s">
        <v>181</v>
      </c>
      <c r="H29" s="1" t="s">
        <v>314</v>
      </c>
      <c r="I29" s="1">
        <v>20148</v>
      </c>
      <c r="K29" s="32">
        <v>51357777</v>
      </c>
    </row>
    <row r="30" spans="3:11" x14ac:dyDescent="0.3">
      <c r="F30" s="7"/>
      <c r="G30" s="37"/>
      <c r="H30" s="37"/>
      <c r="I30" s="37"/>
      <c r="J30" s="37"/>
      <c r="K30" s="33"/>
    </row>
    <row r="34" spans="13:15" ht="14.5" x14ac:dyDescent="0.35">
      <c r="M34"/>
      <c r="N34"/>
      <c r="O34"/>
    </row>
    <row r="35" spans="13:15" ht="14.5" x14ac:dyDescent="0.35">
      <c r="M35"/>
      <c r="N35"/>
      <c r="O35"/>
    </row>
    <row r="36" spans="13:15" ht="14.5" x14ac:dyDescent="0.35">
      <c r="M36"/>
      <c r="N36"/>
      <c r="O36"/>
    </row>
    <row r="37" spans="13:15" ht="14.5" x14ac:dyDescent="0.35">
      <c r="M37"/>
      <c r="N37"/>
      <c r="O37"/>
    </row>
    <row r="38" spans="13:15" ht="14.5" x14ac:dyDescent="0.35">
      <c r="M38"/>
      <c r="N38"/>
      <c r="O38"/>
    </row>
    <row r="39" spans="13:15" ht="14.5" x14ac:dyDescent="0.35">
      <c r="M39"/>
      <c r="N39"/>
      <c r="O39"/>
    </row>
    <row r="40" spans="13:15" ht="14.5" x14ac:dyDescent="0.35">
      <c r="M40"/>
      <c r="N40"/>
      <c r="O40"/>
    </row>
  </sheetData>
  <conditionalFormatting sqref="P2:P13 AC2:AC13">
    <cfRule type="cellIs" dxfId="0" priority="1" operator="lessThan">
      <formula>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A01B-1FB4-4573-BEA9-EBFB5D769237}">
  <sheetPr>
    <tabColor theme="0" tint="-0.499984740745262"/>
  </sheetPr>
  <dimension ref="B2:K20"/>
  <sheetViews>
    <sheetView topLeftCell="D1" workbookViewId="0">
      <selection activeCell="H5" sqref="H5"/>
    </sheetView>
  </sheetViews>
  <sheetFormatPr defaultRowHeight="13" outlineLevelCol="1" x14ac:dyDescent="0.3"/>
  <cols>
    <col min="1" max="1" width="4.36328125" style="62" customWidth="1"/>
    <col min="2" max="2" width="18.26953125" style="62" hidden="1" customWidth="1" outlineLevel="1"/>
    <col min="3" max="3" width="8.90625" style="62" customWidth="1" collapsed="1"/>
    <col min="4" max="4" width="12" style="62" bestFit="1" customWidth="1"/>
    <col min="5" max="5" width="18.6328125" style="62" bestFit="1" customWidth="1"/>
    <col min="6" max="6" width="12.26953125" style="62" bestFit="1" customWidth="1"/>
    <col min="7" max="7" width="12.26953125" style="62" customWidth="1"/>
    <col min="8" max="8" width="12" style="62" bestFit="1" customWidth="1"/>
    <col min="9" max="9" width="13.90625" style="62" bestFit="1" customWidth="1"/>
    <col min="10" max="10" width="3.26953125" style="62" customWidth="1"/>
    <col min="11" max="11" width="12" style="62" bestFit="1" customWidth="1"/>
    <col min="12" max="16384" width="8.7265625" style="62"/>
  </cols>
  <sheetData>
    <row r="2" spans="2:11" x14ac:dyDescent="0.3">
      <c r="B2" s="1"/>
      <c r="C2" s="1"/>
      <c r="D2" s="1"/>
      <c r="E2" s="2" t="s">
        <v>122</v>
      </c>
      <c r="F2" s="1"/>
      <c r="H2" s="1"/>
    </row>
    <row r="3" spans="2:11" x14ac:dyDescent="0.3">
      <c r="B3" s="1"/>
      <c r="C3" s="1"/>
      <c r="D3" s="1"/>
      <c r="E3" s="2" t="s">
        <v>125</v>
      </c>
      <c r="F3" s="1"/>
      <c r="G3" s="81">
        <f>G5</f>
        <v>7255544</v>
      </c>
      <c r="H3" s="81">
        <f t="shared" ref="H3:I3" si="0">H5</f>
        <v>1378553.36</v>
      </c>
      <c r="I3" s="81">
        <f t="shared" si="0"/>
        <v>8634097.3599999994</v>
      </c>
    </row>
    <row r="4" spans="2:11" x14ac:dyDescent="0.3">
      <c r="B4" s="1"/>
      <c r="C4" s="1"/>
      <c r="D4" s="1"/>
      <c r="E4" s="9"/>
      <c r="F4" s="1"/>
      <c r="G4" s="63" t="s">
        <v>96</v>
      </c>
      <c r="H4" s="5" t="s">
        <v>16</v>
      </c>
      <c r="I4" s="64" t="s">
        <v>123</v>
      </c>
      <c r="K4" s="65" t="s">
        <v>97</v>
      </c>
    </row>
    <row r="5" spans="2:11" x14ac:dyDescent="0.3">
      <c r="B5" s="1"/>
      <c r="C5" s="1"/>
      <c r="D5" s="34" t="s">
        <v>55</v>
      </c>
      <c r="E5" s="66">
        <f>SUM(E8:E18)</f>
        <v>7255543</v>
      </c>
      <c r="F5" s="66">
        <f>SUM(F8:F18)</f>
        <v>7255544</v>
      </c>
      <c r="G5" s="330">
        <f>SUM(G8:G18)</f>
        <v>7255544</v>
      </c>
      <c r="H5" s="331">
        <f>G5*0.19</f>
        <v>1378553.36</v>
      </c>
      <c r="I5" s="332">
        <f>G5*1.19</f>
        <v>8634097.3599999994</v>
      </c>
      <c r="K5" s="82">
        <f>COUNTIF(G8:G18,"&lt;&gt;0")+1</f>
        <v>10</v>
      </c>
    </row>
    <row r="6" spans="2:11" x14ac:dyDescent="0.3">
      <c r="B6" s="1"/>
      <c r="C6" s="1"/>
      <c r="G6" s="67"/>
      <c r="H6" s="9"/>
    </row>
    <row r="7" spans="2:11" x14ac:dyDescent="0.3">
      <c r="B7" s="1"/>
      <c r="C7" s="1"/>
      <c r="D7" s="1"/>
      <c r="E7" s="68" t="s">
        <v>98</v>
      </c>
      <c r="F7" s="69" t="s">
        <v>99</v>
      </c>
      <c r="G7" s="70" t="s">
        <v>124</v>
      </c>
      <c r="H7" s="1"/>
    </row>
    <row r="8" spans="2:11" x14ac:dyDescent="0.3">
      <c r="B8" s="1" t="s">
        <v>111</v>
      </c>
      <c r="C8" s="1" t="s">
        <v>100</v>
      </c>
      <c r="D8" s="1" t="s">
        <v>30</v>
      </c>
      <c r="E8" s="71">
        <v>1508792.3878151153</v>
      </c>
      <c r="F8" s="72">
        <f>ROUND(E8,0)</f>
        <v>1508792</v>
      </c>
      <c r="G8" s="77">
        <f t="shared" ref="G8:G18" si="1">F8</f>
        <v>1508792</v>
      </c>
      <c r="H8" s="1" t="s">
        <v>100</v>
      </c>
    </row>
    <row r="9" spans="2:11" x14ac:dyDescent="0.3">
      <c r="B9" s="1" t="s">
        <v>112</v>
      </c>
      <c r="C9" s="1" t="s">
        <v>101</v>
      </c>
      <c r="D9" s="1" t="s">
        <v>35</v>
      </c>
      <c r="E9" s="73">
        <v>549.64013115870512</v>
      </c>
      <c r="F9" s="74">
        <f>ROUND(E9,0)</f>
        <v>550</v>
      </c>
      <c r="G9" s="78">
        <f t="shared" si="1"/>
        <v>550</v>
      </c>
      <c r="H9" s="1" t="s">
        <v>101</v>
      </c>
    </row>
    <row r="10" spans="2:11" x14ac:dyDescent="0.3">
      <c r="B10" s="1" t="s">
        <v>113</v>
      </c>
      <c r="C10" s="1" t="s">
        <v>102</v>
      </c>
      <c r="D10" s="1" t="s">
        <v>37</v>
      </c>
      <c r="E10" s="73">
        <v>64184.819888635509</v>
      </c>
      <c r="F10" s="74">
        <f>ROUND(E10,0)</f>
        <v>64185</v>
      </c>
      <c r="G10" s="78">
        <f t="shared" si="1"/>
        <v>64185</v>
      </c>
      <c r="H10" s="1" t="s">
        <v>102</v>
      </c>
    </row>
    <row r="11" spans="2:11" x14ac:dyDescent="0.3">
      <c r="B11" s="1" t="s">
        <v>114</v>
      </c>
      <c r="C11" s="1" t="s">
        <v>103</v>
      </c>
      <c r="D11" s="1" t="s">
        <v>39</v>
      </c>
      <c r="E11" s="73">
        <v>3153038.821222038</v>
      </c>
      <c r="F11" s="74">
        <f>ROUND((E11+E19),0)</f>
        <v>3153039</v>
      </c>
      <c r="G11" s="78">
        <f t="shared" si="1"/>
        <v>3153039</v>
      </c>
      <c r="H11" s="1" t="s">
        <v>103</v>
      </c>
    </row>
    <row r="12" spans="2:11" x14ac:dyDescent="0.3">
      <c r="B12" s="1" t="s">
        <v>115</v>
      </c>
      <c r="C12" s="1" t="s">
        <v>104</v>
      </c>
      <c r="D12" s="1" t="s">
        <v>41</v>
      </c>
      <c r="E12" s="73">
        <v>0</v>
      </c>
      <c r="F12" s="74">
        <f t="shared" ref="F12:F18" si="2">ROUND(E12,0)</f>
        <v>0</v>
      </c>
      <c r="G12" s="78">
        <f t="shared" si="1"/>
        <v>0</v>
      </c>
      <c r="H12" s="1" t="s">
        <v>104</v>
      </c>
    </row>
    <row r="13" spans="2:11" x14ac:dyDescent="0.3">
      <c r="B13" s="1" t="s">
        <v>116</v>
      </c>
      <c r="C13" s="1" t="s">
        <v>105</v>
      </c>
      <c r="D13" s="1" t="s">
        <v>43</v>
      </c>
      <c r="E13" s="73">
        <v>1999164.7574092748</v>
      </c>
      <c r="F13" s="74">
        <f t="shared" si="2"/>
        <v>1999165</v>
      </c>
      <c r="G13" s="78">
        <f t="shared" si="1"/>
        <v>1999165</v>
      </c>
      <c r="H13" s="1" t="s">
        <v>105</v>
      </c>
    </row>
    <row r="14" spans="2:11" x14ac:dyDescent="0.3">
      <c r="B14" s="1" t="s">
        <v>117</v>
      </c>
      <c r="C14" s="1" t="s">
        <v>106</v>
      </c>
      <c r="D14" s="1" t="s">
        <v>45</v>
      </c>
      <c r="E14" s="73">
        <v>159502.40841765926</v>
      </c>
      <c r="F14" s="74">
        <f t="shared" si="2"/>
        <v>159502</v>
      </c>
      <c r="G14" s="78">
        <f t="shared" si="1"/>
        <v>159502</v>
      </c>
      <c r="H14" s="1" t="s">
        <v>106</v>
      </c>
    </row>
    <row r="15" spans="2:11" x14ac:dyDescent="0.3">
      <c r="B15" s="1" t="s">
        <v>118</v>
      </c>
      <c r="C15" s="1" t="s">
        <v>107</v>
      </c>
      <c r="D15" s="1" t="s">
        <v>47</v>
      </c>
      <c r="E15" s="73">
        <v>211100.50968184744</v>
      </c>
      <c r="F15" s="74">
        <f t="shared" si="2"/>
        <v>211101</v>
      </c>
      <c r="G15" s="78">
        <f t="shared" si="1"/>
        <v>211101</v>
      </c>
      <c r="H15" s="1" t="s">
        <v>107</v>
      </c>
    </row>
    <row r="16" spans="2:11" x14ac:dyDescent="0.3">
      <c r="B16" s="1" t="s">
        <v>119</v>
      </c>
      <c r="C16" s="1" t="s">
        <v>108</v>
      </c>
      <c r="D16" s="1" t="s">
        <v>49</v>
      </c>
      <c r="E16" s="73">
        <v>151982.73567036001</v>
      </c>
      <c r="F16" s="74">
        <f t="shared" si="2"/>
        <v>151983</v>
      </c>
      <c r="G16" s="78">
        <f t="shared" si="1"/>
        <v>151983</v>
      </c>
      <c r="H16" s="1" t="s">
        <v>108</v>
      </c>
    </row>
    <row r="17" spans="2:8" x14ac:dyDescent="0.3">
      <c r="B17" s="1" t="s">
        <v>120</v>
      </c>
      <c r="C17" s="1" t="s">
        <v>109</v>
      </c>
      <c r="D17" s="1" t="s">
        <v>51</v>
      </c>
      <c r="E17" s="73">
        <v>7226.9197639116492</v>
      </c>
      <c r="F17" s="74">
        <f t="shared" si="2"/>
        <v>7227</v>
      </c>
      <c r="G17" s="78">
        <f t="shared" si="1"/>
        <v>7227</v>
      </c>
      <c r="H17" s="1" t="s">
        <v>109</v>
      </c>
    </row>
    <row r="18" spans="2:8" x14ac:dyDescent="0.3">
      <c r="B18" s="1" t="s">
        <v>121</v>
      </c>
      <c r="C18" s="1" t="s">
        <v>110</v>
      </c>
      <c r="D18" s="1" t="s">
        <v>53</v>
      </c>
      <c r="E18" s="75">
        <v>0</v>
      </c>
      <c r="F18" s="76">
        <f t="shared" si="2"/>
        <v>0</v>
      </c>
      <c r="G18" s="79">
        <f t="shared" si="1"/>
        <v>0</v>
      </c>
      <c r="H18" s="1" t="s">
        <v>110</v>
      </c>
    </row>
    <row r="19" spans="2:8" x14ac:dyDescent="0.3">
      <c r="G19" s="80"/>
    </row>
    <row r="20" spans="2:8" x14ac:dyDescent="0.3">
      <c r="H20" s="62">
        <v>8932653</v>
      </c>
    </row>
  </sheetData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A4-10CD-4F63-8581-B40A53C8FC5D}">
  <dimension ref="B2:AR36"/>
  <sheetViews>
    <sheetView workbookViewId="0">
      <selection activeCell="N28" sqref="N28"/>
    </sheetView>
  </sheetViews>
  <sheetFormatPr defaultRowHeight="13" x14ac:dyDescent="0.3"/>
  <cols>
    <col min="1" max="1" width="3.08984375" style="1" customWidth="1"/>
    <col min="2" max="2" width="4.1796875" style="1" bestFit="1" customWidth="1"/>
    <col min="3" max="3" width="5.7265625" style="1" bestFit="1" customWidth="1"/>
    <col min="4" max="22" width="5.7265625" style="1" customWidth="1"/>
    <col min="23" max="23" width="4.90625" style="1" customWidth="1"/>
    <col min="24" max="24" width="8.54296875" style="3" bestFit="1" customWidth="1"/>
    <col min="25" max="25" width="8.81640625" style="1" bestFit="1" customWidth="1"/>
    <col min="26" max="26" width="7.7265625" style="1" bestFit="1" customWidth="1"/>
    <col min="27" max="28" width="8" style="1" bestFit="1" customWidth="1"/>
    <col min="29" max="29" width="7.7265625" style="1" bestFit="1" customWidth="1"/>
    <col min="30" max="30" width="8.36328125" style="1" bestFit="1" customWidth="1"/>
    <col min="31" max="31" width="7.7265625" style="1" bestFit="1" customWidth="1"/>
    <col min="32" max="32" width="7.1796875" style="1" bestFit="1" customWidth="1"/>
    <col min="33" max="34" width="8" style="1" bestFit="1" customWidth="1"/>
    <col min="35" max="35" width="7.7265625" style="1" bestFit="1" customWidth="1"/>
    <col min="36" max="36" width="8.1796875" style="1" bestFit="1" customWidth="1"/>
    <col min="37" max="37" width="8" style="1" bestFit="1" customWidth="1"/>
    <col min="38" max="43" width="7.36328125" style="1" bestFit="1" customWidth="1"/>
    <col min="44" max="44" width="6.36328125" style="1" bestFit="1" customWidth="1"/>
    <col min="45" max="16384" width="8.7265625" style="1"/>
  </cols>
  <sheetData>
    <row r="2" spans="2:44" x14ac:dyDescent="0.3">
      <c r="B2" s="4" t="s">
        <v>18</v>
      </c>
      <c r="C2" s="4" t="s">
        <v>58</v>
      </c>
      <c r="D2" s="14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14" t="s">
        <v>71</v>
      </c>
      <c r="O2" s="14" t="s">
        <v>72</v>
      </c>
      <c r="P2" s="4" t="s">
        <v>73</v>
      </c>
      <c r="Q2" s="4" t="s">
        <v>74</v>
      </c>
      <c r="R2" s="4" t="s">
        <v>75</v>
      </c>
      <c r="S2" s="4" t="s">
        <v>76</v>
      </c>
      <c r="T2" s="4" t="s">
        <v>77</v>
      </c>
      <c r="U2" s="4" t="s">
        <v>78</v>
      </c>
      <c r="V2" s="4" t="s">
        <v>79</v>
      </c>
      <c r="X2" s="15" t="s">
        <v>18</v>
      </c>
      <c r="Y2" s="16" t="s">
        <v>58</v>
      </c>
      <c r="Z2" s="16" t="s">
        <v>61</v>
      </c>
      <c r="AA2" s="16" t="s">
        <v>62</v>
      </c>
      <c r="AB2" s="16" t="s">
        <v>63</v>
      </c>
      <c r="AC2" s="16" t="s">
        <v>64</v>
      </c>
      <c r="AD2" s="16" t="s">
        <v>65</v>
      </c>
      <c r="AE2" s="16" t="s">
        <v>66</v>
      </c>
      <c r="AF2" s="16" t="s">
        <v>67</v>
      </c>
      <c r="AG2" s="16" t="s">
        <v>68</v>
      </c>
      <c r="AH2" s="16" t="s">
        <v>69</v>
      </c>
      <c r="AI2" s="16" t="s">
        <v>70</v>
      </c>
      <c r="AJ2" s="16" t="s">
        <v>71</v>
      </c>
      <c r="AK2" s="16" t="s">
        <v>72</v>
      </c>
      <c r="AL2" s="16" t="s">
        <v>73</v>
      </c>
      <c r="AM2" s="16" t="s">
        <v>74</v>
      </c>
      <c r="AN2" s="16" t="s">
        <v>75</v>
      </c>
      <c r="AO2" s="16" t="s">
        <v>76</v>
      </c>
      <c r="AP2" s="16" t="s">
        <v>77</v>
      </c>
      <c r="AQ2" s="16" t="s">
        <v>78</v>
      </c>
      <c r="AR2" s="16" t="s">
        <v>79</v>
      </c>
    </row>
    <row r="3" spans="2:44" x14ac:dyDescent="0.3">
      <c r="B3" s="4">
        <v>2010</v>
      </c>
      <c r="C3" s="4" t="s">
        <v>60</v>
      </c>
      <c r="D3" s="4">
        <v>528</v>
      </c>
      <c r="E3" s="4">
        <v>529</v>
      </c>
      <c r="F3" s="4">
        <v>526</v>
      </c>
      <c r="G3" s="4">
        <v>519</v>
      </c>
      <c r="H3" s="4">
        <v>529</v>
      </c>
      <c r="I3" s="4">
        <v>545</v>
      </c>
      <c r="J3" s="4">
        <v>523</v>
      </c>
      <c r="K3" s="4">
        <v>500</v>
      </c>
      <c r="L3" s="4">
        <v>486</v>
      </c>
      <c r="M3" s="4">
        <v>490</v>
      </c>
      <c r="N3" s="4">
        <v>486</v>
      </c>
      <c r="O3" s="4">
        <v>467</v>
      </c>
      <c r="P3" s="4">
        <v>528</v>
      </c>
      <c r="Q3" s="4">
        <v>531</v>
      </c>
      <c r="R3" s="4">
        <v>503</v>
      </c>
      <c r="S3" s="4">
        <v>481</v>
      </c>
      <c r="T3" s="4">
        <v>529</v>
      </c>
      <c r="U3" s="4">
        <v>492</v>
      </c>
      <c r="V3" s="4">
        <v>511</v>
      </c>
      <c r="X3" s="17">
        <v>2010</v>
      </c>
      <c r="Y3" s="16" t="s">
        <v>59</v>
      </c>
      <c r="Z3" s="16">
        <v>502</v>
      </c>
      <c r="AA3" s="16">
        <v>532</v>
      </c>
      <c r="AB3" s="16">
        <v>523</v>
      </c>
      <c r="AC3" s="16">
        <v>520</v>
      </c>
      <c r="AD3" s="16">
        <v>532</v>
      </c>
      <c r="AE3" s="16">
        <v>536</v>
      </c>
      <c r="AF3" s="16">
        <v>531</v>
      </c>
      <c r="AG3" s="16">
        <v>509</v>
      </c>
      <c r="AH3" s="16">
        <v>494</v>
      </c>
      <c r="AI3" s="16">
        <v>484</v>
      </c>
      <c r="AJ3" s="16">
        <v>482</v>
      </c>
      <c r="AK3" s="16">
        <v>475</v>
      </c>
      <c r="AL3" s="16">
        <v>519</v>
      </c>
      <c r="AM3" s="16">
        <v>529</v>
      </c>
      <c r="AN3" s="16">
        <v>511</v>
      </c>
      <c r="AO3" s="16">
        <v>480</v>
      </c>
      <c r="AP3" s="16">
        <v>524</v>
      </c>
      <c r="AQ3" s="16">
        <v>496</v>
      </c>
      <c r="AR3" s="16">
        <v>510</v>
      </c>
    </row>
    <row r="4" spans="2:44" x14ac:dyDescent="0.3">
      <c r="B4" s="4">
        <v>2011</v>
      </c>
      <c r="C4" s="4" t="s">
        <v>60</v>
      </c>
      <c r="D4" s="4">
        <v>484</v>
      </c>
      <c r="E4" s="4">
        <v>474</v>
      </c>
      <c r="F4" s="4">
        <v>481</v>
      </c>
      <c r="G4" s="4">
        <v>460</v>
      </c>
      <c r="H4" s="4">
        <v>468</v>
      </c>
      <c r="I4" s="4">
        <v>469</v>
      </c>
      <c r="J4" s="4">
        <v>456</v>
      </c>
      <c r="K4" s="4">
        <v>466</v>
      </c>
      <c r="L4" s="4">
        <v>513</v>
      </c>
      <c r="M4" s="4">
        <v>489</v>
      </c>
      <c r="N4" s="4">
        <v>525</v>
      </c>
      <c r="O4" s="4">
        <v>520</v>
      </c>
      <c r="P4" s="4">
        <v>480</v>
      </c>
      <c r="Q4" s="4">
        <v>466</v>
      </c>
      <c r="R4" s="4">
        <v>478</v>
      </c>
      <c r="S4" s="4">
        <v>511</v>
      </c>
      <c r="T4" s="4">
        <v>473</v>
      </c>
      <c r="U4" s="4">
        <v>495</v>
      </c>
      <c r="V4" s="4">
        <v>484</v>
      </c>
      <c r="X4" s="18">
        <f>X3</f>
        <v>2010</v>
      </c>
      <c r="Y4" s="16" t="s">
        <v>60</v>
      </c>
      <c r="Z4" s="16">
        <v>528</v>
      </c>
      <c r="AA4" s="16">
        <v>529</v>
      </c>
      <c r="AB4" s="16">
        <v>526</v>
      </c>
      <c r="AC4" s="16">
        <v>519</v>
      </c>
      <c r="AD4" s="16">
        <v>529</v>
      </c>
      <c r="AE4" s="16">
        <v>545</v>
      </c>
      <c r="AF4" s="16">
        <v>523</v>
      </c>
      <c r="AG4" s="16">
        <v>500</v>
      </c>
      <c r="AH4" s="16">
        <v>486</v>
      </c>
      <c r="AI4" s="16">
        <v>490</v>
      </c>
      <c r="AJ4" s="16">
        <v>486</v>
      </c>
      <c r="AK4" s="16">
        <v>467</v>
      </c>
      <c r="AL4" s="16">
        <v>528</v>
      </c>
      <c r="AM4" s="16">
        <v>531</v>
      </c>
      <c r="AN4" s="16">
        <v>503</v>
      </c>
      <c r="AO4" s="16">
        <v>481</v>
      </c>
      <c r="AP4" s="16">
        <v>529</v>
      </c>
      <c r="AQ4" s="16">
        <v>492</v>
      </c>
      <c r="AR4" s="16">
        <v>511</v>
      </c>
    </row>
    <row r="5" spans="2:44" x14ac:dyDescent="0.3">
      <c r="B5" s="4">
        <v>2012</v>
      </c>
      <c r="C5" s="4" t="s">
        <v>60</v>
      </c>
      <c r="D5" s="4">
        <v>491</v>
      </c>
      <c r="E5" s="4">
        <v>477</v>
      </c>
      <c r="F5" s="4">
        <v>488</v>
      </c>
      <c r="G5" s="4">
        <v>485</v>
      </c>
      <c r="H5" s="4">
        <v>519</v>
      </c>
      <c r="I5" s="4">
        <v>511</v>
      </c>
      <c r="J5" s="4">
        <v>481</v>
      </c>
      <c r="K5" s="4">
        <v>481</v>
      </c>
      <c r="L5" s="4">
        <v>470</v>
      </c>
      <c r="M5" s="4">
        <v>480</v>
      </c>
      <c r="N5" s="4">
        <v>478</v>
      </c>
      <c r="O5" s="4">
        <v>478</v>
      </c>
      <c r="P5" s="4">
        <v>486</v>
      </c>
      <c r="Q5" s="4">
        <v>505</v>
      </c>
      <c r="R5" s="4">
        <v>477</v>
      </c>
      <c r="S5" s="4">
        <v>479</v>
      </c>
      <c r="T5" s="4">
        <v>495</v>
      </c>
      <c r="U5" s="4">
        <v>478</v>
      </c>
      <c r="V5" s="4">
        <v>487</v>
      </c>
      <c r="X5" s="17">
        <v>2011</v>
      </c>
      <c r="Y5" s="16" t="s">
        <v>59</v>
      </c>
      <c r="Z5" s="16">
        <v>488</v>
      </c>
      <c r="AA5" s="16">
        <v>476</v>
      </c>
      <c r="AB5" s="16">
        <v>480</v>
      </c>
      <c r="AC5" s="16">
        <v>471</v>
      </c>
      <c r="AD5" s="16">
        <v>467</v>
      </c>
      <c r="AE5" s="16">
        <v>469</v>
      </c>
      <c r="AF5" s="16">
        <v>462</v>
      </c>
      <c r="AG5" s="16">
        <v>467</v>
      </c>
      <c r="AH5" s="16">
        <v>482</v>
      </c>
      <c r="AI5" s="16">
        <v>510</v>
      </c>
      <c r="AJ5" s="16">
        <v>507</v>
      </c>
      <c r="AK5" s="16">
        <v>516</v>
      </c>
      <c r="AL5" s="16">
        <v>481</v>
      </c>
      <c r="AM5" s="16">
        <v>469</v>
      </c>
      <c r="AN5" s="16">
        <v>470</v>
      </c>
      <c r="AO5" s="16">
        <v>511</v>
      </c>
      <c r="AP5" s="16">
        <v>475</v>
      </c>
      <c r="AQ5" s="16">
        <v>491</v>
      </c>
      <c r="AR5" s="16">
        <v>483</v>
      </c>
    </row>
    <row r="6" spans="2:44" x14ac:dyDescent="0.3">
      <c r="B6" s="4">
        <v>2013</v>
      </c>
      <c r="C6" s="4" t="s">
        <v>60</v>
      </c>
      <c r="D6" s="4">
        <v>471</v>
      </c>
      <c r="E6" s="4">
        <v>474</v>
      </c>
      <c r="F6" s="4">
        <v>471</v>
      </c>
      <c r="G6" s="4">
        <v>472</v>
      </c>
      <c r="H6" s="4">
        <v>495</v>
      </c>
      <c r="I6" s="4">
        <v>504</v>
      </c>
      <c r="J6" s="4">
        <v>516</v>
      </c>
      <c r="K6" s="4">
        <v>510</v>
      </c>
      <c r="L6" s="4">
        <v>503</v>
      </c>
      <c r="M6" s="4">
        <v>510</v>
      </c>
      <c r="N6" s="4">
        <v>528</v>
      </c>
      <c r="O6" s="4">
        <v>525</v>
      </c>
      <c r="P6" s="4">
        <v>472</v>
      </c>
      <c r="Q6" s="4">
        <v>490</v>
      </c>
      <c r="R6" s="4">
        <v>509</v>
      </c>
      <c r="S6" s="4">
        <v>521</v>
      </c>
      <c r="T6" s="4">
        <v>481</v>
      </c>
      <c r="U6" s="4">
        <v>515</v>
      </c>
      <c r="V6" s="4">
        <v>498</v>
      </c>
      <c r="X6" s="18">
        <f>X5</f>
        <v>2011</v>
      </c>
      <c r="Y6" s="16" t="s">
        <v>60</v>
      </c>
      <c r="Z6" s="16">
        <v>484</v>
      </c>
      <c r="AA6" s="16">
        <v>474</v>
      </c>
      <c r="AB6" s="16">
        <v>481</v>
      </c>
      <c r="AC6" s="16">
        <v>460</v>
      </c>
      <c r="AD6" s="16">
        <v>468</v>
      </c>
      <c r="AE6" s="16">
        <v>469</v>
      </c>
      <c r="AF6" s="16">
        <v>456</v>
      </c>
      <c r="AG6" s="16">
        <v>466</v>
      </c>
      <c r="AH6" s="16">
        <v>513</v>
      </c>
      <c r="AI6" s="16">
        <v>489</v>
      </c>
      <c r="AJ6" s="16">
        <v>525</v>
      </c>
      <c r="AK6" s="16">
        <v>520</v>
      </c>
      <c r="AL6" s="16">
        <v>480</v>
      </c>
      <c r="AM6" s="16">
        <v>466</v>
      </c>
      <c r="AN6" s="16">
        <v>478</v>
      </c>
      <c r="AO6" s="16">
        <v>511</v>
      </c>
      <c r="AP6" s="16">
        <v>473</v>
      </c>
      <c r="AQ6" s="16">
        <v>495</v>
      </c>
      <c r="AR6" s="16">
        <v>484</v>
      </c>
    </row>
    <row r="7" spans="2:44" x14ac:dyDescent="0.3">
      <c r="B7" s="4">
        <v>2014</v>
      </c>
      <c r="C7" s="4" t="s">
        <v>60</v>
      </c>
      <c r="D7" s="4">
        <v>548</v>
      </c>
      <c r="E7" s="4">
        <v>562</v>
      </c>
      <c r="F7" s="4">
        <v>551</v>
      </c>
      <c r="G7" s="4">
        <v>564</v>
      </c>
      <c r="H7" s="4">
        <v>549</v>
      </c>
      <c r="I7" s="4">
        <v>551</v>
      </c>
      <c r="J7" s="4">
        <v>572</v>
      </c>
      <c r="K7" s="4">
        <v>596</v>
      </c>
      <c r="L7" s="4">
        <v>600</v>
      </c>
      <c r="M7" s="4">
        <v>576</v>
      </c>
      <c r="N7" s="4">
        <v>602</v>
      </c>
      <c r="O7" s="4">
        <v>607</v>
      </c>
      <c r="P7" s="4">
        <v>554</v>
      </c>
      <c r="Q7" s="4">
        <v>555</v>
      </c>
      <c r="R7" s="4">
        <v>590</v>
      </c>
      <c r="S7" s="4">
        <v>595</v>
      </c>
      <c r="T7" s="4">
        <v>554</v>
      </c>
      <c r="U7" s="4">
        <v>592</v>
      </c>
      <c r="V7" s="4">
        <v>573</v>
      </c>
      <c r="X7" s="17">
        <v>2012</v>
      </c>
      <c r="Y7" s="16" t="s">
        <v>59</v>
      </c>
      <c r="Z7" s="16">
        <v>500</v>
      </c>
      <c r="AA7" s="16">
        <v>482</v>
      </c>
      <c r="AB7" s="16">
        <v>485</v>
      </c>
      <c r="AC7" s="16">
        <v>485</v>
      </c>
      <c r="AD7" s="16">
        <v>496</v>
      </c>
      <c r="AE7" s="16">
        <v>505</v>
      </c>
      <c r="AF7" s="16">
        <v>492</v>
      </c>
      <c r="AG7" s="16">
        <v>481</v>
      </c>
      <c r="AH7" s="16">
        <v>474</v>
      </c>
      <c r="AI7" s="16">
        <v>474</v>
      </c>
      <c r="AJ7" s="16">
        <v>480</v>
      </c>
      <c r="AK7" s="16">
        <v>477</v>
      </c>
      <c r="AL7" s="16">
        <v>489</v>
      </c>
      <c r="AM7" s="16">
        <v>495</v>
      </c>
      <c r="AN7" s="16">
        <v>482</v>
      </c>
      <c r="AO7" s="16">
        <v>477</v>
      </c>
      <c r="AP7" s="16">
        <v>492</v>
      </c>
      <c r="AQ7" s="16">
        <v>479</v>
      </c>
      <c r="AR7" s="16">
        <v>486</v>
      </c>
    </row>
    <row r="8" spans="2:44" x14ac:dyDescent="0.3">
      <c r="B8" s="4">
        <v>2015</v>
      </c>
      <c r="C8" s="4" t="s">
        <v>60</v>
      </c>
      <c r="D8" s="4">
        <v>627</v>
      </c>
      <c r="E8" s="4">
        <v>621</v>
      </c>
      <c r="F8" s="4">
        <v>628</v>
      </c>
      <c r="G8" s="4">
        <v>610</v>
      </c>
      <c r="H8" s="4">
        <v>616</v>
      </c>
      <c r="I8" s="4">
        <v>639</v>
      </c>
      <c r="J8" s="4">
        <v>670</v>
      </c>
      <c r="K8" s="4">
        <v>692</v>
      </c>
      <c r="L8" s="4">
        <v>703</v>
      </c>
      <c r="M8" s="4">
        <v>688</v>
      </c>
      <c r="N8" s="4">
        <v>715</v>
      </c>
      <c r="O8" s="4">
        <v>710</v>
      </c>
      <c r="P8" s="4">
        <v>625</v>
      </c>
      <c r="Q8" s="4">
        <v>622</v>
      </c>
      <c r="R8" s="4">
        <v>688</v>
      </c>
      <c r="S8" s="4">
        <v>704</v>
      </c>
      <c r="T8" s="4">
        <v>623</v>
      </c>
      <c r="U8" s="4">
        <v>696</v>
      </c>
      <c r="V8" s="4">
        <v>660</v>
      </c>
      <c r="X8" s="18">
        <f>X7</f>
        <v>2012</v>
      </c>
      <c r="Y8" s="16" t="s">
        <v>60</v>
      </c>
      <c r="Z8" s="16">
        <v>491</v>
      </c>
      <c r="AA8" s="16">
        <v>477</v>
      </c>
      <c r="AB8" s="16">
        <v>488</v>
      </c>
      <c r="AC8" s="16">
        <v>485</v>
      </c>
      <c r="AD8" s="16">
        <v>519</v>
      </c>
      <c r="AE8" s="16">
        <v>511</v>
      </c>
      <c r="AF8" s="16">
        <v>481</v>
      </c>
      <c r="AG8" s="16">
        <v>481</v>
      </c>
      <c r="AH8" s="16">
        <v>470</v>
      </c>
      <c r="AI8" s="16">
        <v>480</v>
      </c>
      <c r="AJ8" s="16">
        <v>478</v>
      </c>
      <c r="AK8" s="16">
        <v>478</v>
      </c>
      <c r="AL8" s="16">
        <v>486</v>
      </c>
      <c r="AM8" s="16">
        <v>505</v>
      </c>
      <c r="AN8" s="16">
        <v>477</v>
      </c>
      <c r="AO8" s="16">
        <v>479</v>
      </c>
      <c r="AP8" s="16">
        <v>495</v>
      </c>
      <c r="AQ8" s="16">
        <v>478</v>
      </c>
      <c r="AR8" s="16">
        <v>487</v>
      </c>
    </row>
    <row r="9" spans="2:44" x14ac:dyDescent="0.3">
      <c r="B9" s="4">
        <v>2016</v>
      </c>
      <c r="C9" s="4" t="s">
        <v>60</v>
      </c>
      <c r="D9" s="4">
        <v>711</v>
      </c>
      <c r="E9" s="4">
        <v>694</v>
      </c>
      <c r="F9" s="4">
        <v>671</v>
      </c>
      <c r="G9" s="4">
        <v>661</v>
      </c>
      <c r="H9" s="4">
        <v>688</v>
      </c>
      <c r="I9" s="4">
        <v>662</v>
      </c>
      <c r="J9" s="4">
        <v>666</v>
      </c>
      <c r="K9" s="4">
        <v>674</v>
      </c>
      <c r="L9" s="4">
        <v>660</v>
      </c>
      <c r="M9" s="4">
        <v>654</v>
      </c>
      <c r="N9" s="4">
        <v>672</v>
      </c>
      <c r="O9" s="4">
        <v>668</v>
      </c>
      <c r="P9" s="4">
        <v>692</v>
      </c>
      <c r="Q9" s="4">
        <v>670</v>
      </c>
      <c r="R9" s="4">
        <v>667</v>
      </c>
      <c r="S9" s="4">
        <v>665</v>
      </c>
      <c r="T9" s="4">
        <v>681</v>
      </c>
      <c r="U9" s="4">
        <v>666</v>
      </c>
      <c r="V9" s="4">
        <v>673</v>
      </c>
      <c r="X9" s="17">
        <v>2013</v>
      </c>
      <c r="Y9" s="16" t="s">
        <v>59</v>
      </c>
      <c r="Z9" s="16">
        <v>472</v>
      </c>
      <c r="AA9" s="16">
        <v>472</v>
      </c>
      <c r="AB9" s="16">
        <v>472</v>
      </c>
      <c r="AC9" s="16">
        <v>472</v>
      </c>
      <c r="AD9" s="16">
        <v>479</v>
      </c>
      <c r="AE9" s="16">
        <v>502</v>
      </c>
      <c r="AF9" s="16">
        <v>504</v>
      </c>
      <c r="AG9" s="16">
        <v>512</v>
      </c>
      <c r="AH9" s="16">
        <v>504</v>
      </c>
      <c r="AI9" s="16">
        <v>500</v>
      </c>
      <c r="AJ9" s="16">
        <v>519</v>
      </c>
      <c r="AK9" s="16">
        <v>529</v>
      </c>
      <c r="AL9" s="16">
        <v>472</v>
      </c>
      <c r="AM9" s="16">
        <v>484</v>
      </c>
      <c r="AN9" s="16">
        <v>507</v>
      </c>
      <c r="AO9" s="16">
        <v>516</v>
      </c>
      <c r="AP9" s="16">
        <v>478</v>
      </c>
      <c r="AQ9" s="16">
        <v>511</v>
      </c>
      <c r="AR9" s="16">
        <v>495</v>
      </c>
    </row>
    <row r="10" spans="2:44" x14ac:dyDescent="0.3">
      <c r="B10" s="4">
        <v>2017</v>
      </c>
      <c r="C10" s="4" t="s">
        <v>60</v>
      </c>
      <c r="D10" s="4">
        <v>647</v>
      </c>
      <c r="E10" s="4">
        <v>647</v>
      </c>
      <c r="F10" s="4">
        <v>664</v>
      </c>
      <c r="G10" s="4">
        <v>665</v>
      </c>
      <c r="H10" s="4">
        <v>673</v>
      </c>
      <c r="I10" s="4">
        <v>666</v>
      </c>
      <c r="J10" s="4">
        <v>654</v>
      </c>
      <c r="K10" s="4">
        <v>631</v>
      </c>
      <c r="L10" s="4">
        <v>637</v>
      </c>
      <c r="M10" s="4">
        <v>639</v>
      </c>
      <c r="N10" s="4">
        <v>644</v>
      </c>
      <c r="O10" s="4">
        <v>616</v>
      </c>
      <c r="P10" s="4">
        <v>653</v>
      </c>
      <c r="Q10" s="4">
        <v>668</v>
      </c>
      <c r="R10" s="4">
        <v>641</v>
      </c>
      <c r="S10" s="4">
        <v>633</v>
      </c>
      <c r="T10" s="4">
        <v>660</v>
      </c>
      <c r="U10" s="4">
        <v>637</v>
      </c>
      <c r="V10" s="4">
        <v>649</v>
      </c>
      <c r="X10" s="18">
        <f>X9</f>
        <v>2013</v>
      </c>
      <c r="Y10" s="16" t="s">
        <v>60</v>
      </c>
      <c r="Z10" s="16">
        <v>471</v>
      </c>
      <c r="AA10" s="16">
        <v>474</v>
      </c>
      <c r="AB10" s="16">
        <v>471</v>
      </c>
      <c r="AC10" s="16">
        <v>472</v>
      </c>
      <c r="AD10" s="16">
        <v>495</v>
      </c>
      <c r="AE10" s="16">
        <v>504</v>
      </c>
      <c r="AF10" s="16">
        <v>516</v>
      </c>
      <c r="AG10" s="16">
        <v>510</v>
      </c>
      <c r="AH10" s="16">
        <v>503</v>
      </c>
      <c r="AI10" s="16">
        <v>510</v>
      </c>
      <c r="AJ10" s="16">
        <v>528</v>
      </c>
      <c r="AK10" s="16">
        <v>525</v>
      </c>
      <c r="AL10" s="16">
        <v>472</v>
      </c>
      <c r="AM10" s="16">
        <v>490</v>
      </c>
      <c r="AN10" s="16">
        <v>509</v>
      </c>
      <c r="AO10" s="16">
        <v>521</v>
      </c>
      <c r="AP10" s="16">
        <v>481</v>
      </c>
      <c r="AQ10" s="16">
        <v>515</v>
      </c>
      <c r="AR10" s="16">
        <v>498</v>
      </c>
    </row>
    <row r="11" spans="2:44" x14ac:dyDescent="0.3">
      <c r="B11" s="4">
        <v>2018</v>
      </c>
      <c r="C11" s="4" t="s">
        <v>60</v>
      </c>
      <c r="D11" s="4">
        <v>605</v>
      </c>
      <c r="E11" s="4">
        <v>592</v>
      </c>
      <c r="F11" s="4">
        <v>603</v>
      </c>
      <c r="G11" s="4">
        <v>605</v>
      </c>
      <c r="H11" s="4">
        <v>629</v>
      </c>
      <c r="I11" s="4">
        <v>648</v>
      </c>
      <c r="J11" s="4">
        <v>638</v>
      </c>
      <c r="K11" s="4">
        <v>680</v>
      </c>
      <c r="L11" s="4">
        <v>658</v>
      </c>
      <c r="M11" s="4">
        <v>695</v>
      </c>
      <c r="N11" s="4">
        <v>672</v>
      </c>
      <c r="O11" s="4">
        <v>694</v>
      </c>
      <c r="P11" s="4">
        <v>600</v>
      </c>
      <c r="Q11" s="4">
        <v>627</v>
      </c>
      <c r="R11" s="4">
        <v>659</v>
      </c>
      <c r="S11" s="4">
        <v>687</v>
      </c>
      <c r="T11" s="4">
        <v>614</v>
      </c>
      <c r="U11" s="4">
        <v>673</v>
      </c>
      <c r="V11" s="4">
        <v>643</v>
      </c>
      <c r="X11" s="17">
        <v>2014</v>
      </c>
      <c r="Y11" s="16" t="s">
        <v>59</v>
      </c>
      <c r="Z11" s="16">
        <v>537</v>
      </c>
      <c r="AA11" s="16">
        <v>553</v>
      </c>
      <c r="AB11" s="16">
        <v>564</v>
      </c>
      <c r="AC11" s="16">
        <v>555</v>
      </c>
      <c r="AD11" s="16">
        <v>555</v>
      </c>
      <c r="AE11" s="16">
        <v>553</v>
      </c>
      <c r="AF11" s="16">
        <v>558</v>
      </c>
      <c r="AG11" s="16">
        <v>580</v>
      </c>
      <c r="AH11" s="16">
        <v>595</v>
      </c>
      <c r="AI11" s="16">
        <v>589</v>
      </c>
      <c r="AJ11" s="16">
        <v>593</v>
      </c>
      <c r="AK11" s="16">
        <v>613</v>
      </c>
      <c r="AL11" s="16">
        <v>551</v>
      </c>
      <c r="AM11" s="16">
        <v>555</v>
      </c>
      <c r="AN11" s="16">
        <v>578</v>
      </c>
      <c r="AO11" s="16">
        <v>598</v>
      </c>
      <c r="AP11" s="16">
        <v>553</v>
      </c>
      <c r="AQ11" s="16">
        <v>588</v>
      </c>
      <c r="AR11" s="16">
        <v>570</v>
      </c>
    </row>
    <row r="12" spans="2:44" x14ac:dyDescent="0.3">
      <c r="B12" s="4">
        <v>2019</v>
      </c>
      <c r="C12" s="4" t="s">
        <v>60</v>
      </c>
      <c r="D12" s="4">
        <v>665</v>
      </c>
      <c r="E12" s="4">
        <v>650</v>
      </c>
      <c r="F12" s="4">
        <v>681</v>
      </c>
      <c r="G12" s="4">
        <v>677</v>
      </c>
      <c r="H12" s="4">
        <v>708</v>
      </c>
      <c r="I12" s="4">
        <v>680</v>
      </c>
      <c r="J12" s="4">
        <v>699</v>
      </c>
      <c r="K12" s="4">
        <v>719</v>
      </c>
      <c r="L12" s="4">
        <v>728</v>
      </c>
      <c r="M12" s="4">
        <v>739</v>
      </c>
      <c r="N12" s="4">
        <v>830</v>
      </c>
      <c r="O12" s="4">
        <v>752</v>
      </c>
      <c r="P12" s="4">
        <v>665</v>
      </c>
      <c r="Q12" s="4">
        <v>689</v>
      </c>
      <c r="R12" s="4">
        <v>716</v>
      </c>
      <c r="S12" s="4">
        <v>774</v>
      </c>
      <c r="T12" s="4">
        <v>677</v>
      </c>
      <c r="U12" s="4">
        <v>745</v>
      </c>
      <c r="V12" s="4">
        <v>711</v>
      </c>
      <c r="X12" s="18">
        <f>X11</f>
        <v>2014</v>
      </c>
      <c r="Y12" s="16" t="s">
        <v>60</v>
      </c>
      <c r="Z12" s="16">
        <v>548</v>
      </c>
      <c r="AA12" s="16">
        <v>562</v>
      </c>
      <c r="AB12" s="16">
        <v>551</v>
      </c>
      <c r="AC12" s="16">
        <v>564</v>
      </c>
      <c r="AD12" s="16">
        <v>549</v>
      </c>
      <c r="AE12" s="16">
        <v>551</v>
      </c>
      <c r="AF12" s="16">
        <v>572</v>
      </c>
      <c r="AG12" s="16">
        <v>596</v>
      </c>
      <c r="AH12" s="16">
        <v>600</v>
      </c>
      <c r="AI12" s="16">
        <v>576</v>
      </c>
      <c r="AJ12" s="16">
        <v>602</v>
      </c>
      <c r="AK12" s="16">
        <v>607</v>
      </c>
      <c r="AL12" s="16">
        <v>554</v>
      </c>
      <c r="AM12" s="16">
        <v>555</v>
      </c>
      <c r="AN12" s="16">
        <v>590</v>
      </c>
      <c r="AO12" s="16">
        <v>595</v>
      </c>
      <c r="AP12" s="16">
        <v>554</v>
      </c>
      <c r="AQ12" s="16">
        <v>592</v>
      </c>
      <c r="AR12" s="16">
        <v>573</v>
      </c>
    </row>
    <row r="13" spans="2:44" x14ac:dyDescent="0.3">
      <c r="B13" s="4">
        <v>2020</v>
      </c>
      <c r="C13" s="4" t="s">
        <v>60</v>
      </c>
      <c r="D13" s="4">
        <v>800</v>
      </c>
      <c r="E13" s="4">
        <v>816</v>
      </c>
      <c r="F13" s="4">
        <v>861</v>
      </c>
      <c r="G13" s="4">
        <v>845</v>
      </c>
      <c r="H13" s="4">
        <v>810</v>
      </c>
      <c r="I13" s="4">
        <v>822</v>
      </c>
      <c r="J13" s="4">
        <v>764</v>
      </c>
      <c r="K13" s="4">
        <v>780</v>
      </c>
      <c r="L13" s="4">
        <v>782</v>
      </c>
      <c r="M13" s="4">
        <v>771</v>
      </c>
      <c r="N13" s="4">
        <v>767</v>
      </c>
      <c r="O13" s="4">
        <v>711</v>
      </c>
      <c r="P13" s="4">
        <v>826</v>
      </c>
      <c r="Q13" s="4">
        <v>826</v>
      </c>
      <c r="R13" s="4">
        <v>775</v>
      </c>
      <c r="S13" s="4">
        <v>750</v>
      </c>
      <c r="T13" s="4">
        <v>826</v>
      </c>
      <c r="U13" s="4">
        <v>762</v>
      </c>
      <c r="V13" s="4">
        <v>794</v>
      </c>
      <c r="X13" s="17">
        <v>2015</v>
      </c>
      <c r="Y13" s="16" t="s">
        <v>59</v>
      </c>
      <c r="Z13" s="16">
        <v>620</v>
      </c>
      <c r="AA13" s="16">
        <v>623</v>
      </c>
      <c r="AB13" s="16">
        <v>629</v>
      </c>
      <c r="AC13" s="16">
        <v>614</v>
      </c>
      <c r="AD13" s="16">
        <v>607</v>
      </c>
      <c r="AE13" s="16">
        <v>631</v>
      </c>
      <c r="AF13" s="16">
        <v>649</v>
      </c>
      <c r="AG13" s="16">
        <v>687</v>
      </c>
      <c r="AH13" s="16">
        <v>689</v>
      </c>
      <c r="AI13" s="16">
        <v>685</v>
      </c>
      <c r="AJ13" s="16">
        <v>703</v>
      </c>
      <c r="AK13" s="16">
        <v>703</v>
      </c>
      <c r="AL13" s="16">
        <v>624</v>
      </c>
      <c r="AM13" s="16">
        <v>617</v>
      </c>
      <c r="AN13" s="16">
        <v>675</v>
      </c>
      <c r="AO13" s="16">
        <v>697</v>
      </c>
      <c r="AP13" s="16">
        <v>620</v>
      </c>
      <c r="AQ13" s="16">
        <v>686</v>
      </c>
      <c r="AR13" s="16">
        <v>653</v>
      </c>
    </row>
    <row r="14" spans="2:44" x14ac:dyDescent="0.3">
      <c r="B14" s="4">
        <v>2021</v>
      </c>
      <c r="C14" s="4" t="s">
        <v>60</v>
      </c>
      <c r="D14" s="4">
        <v>738</v>
      </c>
      <c r="E14" s="4">
        <v>715</v>
      </c>
      <c r="F14" s="4">
        <v>731</v>
      </c>
      <c r="G14" s="4">
        <v>710</v>
      </c>
      <c r="H14" s="4">
        <v>725</v>
      </c>
      <c r="I14" s="4">
        <v>729</v>
      </c>
      <c r="J14" s="4">
        <v>760</v>
      </c>
      <c r="K14" s="4">
        <v>781</v>
      </c>
      <c r="L14" s="4">
        <v>812</v>
      </c>
      <c r="M14" s="4">
        <v>808</v>
      </c>
      <c r="N14" s="4">
        <v>846</v>
      </c>
      <c r="O14" s="4">
        <v>853</v>
      </c>
      <c r="P14" s="4">
        <v>728</v>
      </c>
      <c r="Q14" s="4">
        <v>721</v>
      </c>
      <c r="R14" s="4">
        <v>784</v>
      </c>
      <c r="S14" s="4">
        <v>836</v>
      </c>
      <c r="T14" s="4">
        <v>725</v>
      </c>
      <c r="U14" s="4">
        <v>810</v>
      </c>
      <c r="V14" s="4">
        <v>767</v>
      </c>
      <c r="X14" s="18">
        <f>X13</f>
        <v>2015</v>
      </c>
      <c r="Y14" s="16" t="s">
        <v>60</v>
      </c>
      <c r="Z14" s="16">
        <v>627</v>
      </c>
      <c r="AA14" s="16">
        <v>621</v>
      </c>
      <c r="AB14" s="16">
        <v>628</v>
      </c>
      <c r="AC14" s="16">
        <v>610</v>
      </c>
      <c r="AD14" s="16">
        <v>616</v>
      </c>
      <c r="AE14" s="16">
        <v>639</v>
      </c>
      <c r="AF14" s="16">
        <v>670</v>
      </c>
      <c r="AG14" s="16">
        <v>692</v>
      </c>
      <c r="AH14" s="16">
        <v>703</v>
      </c>
      <c r="AI14" s="16">
        <v>688</v>
      </c>
      <c r="AJ14" s="16">
        <v>715</v>
      </c>
      <c r="AK14" s="16">
        <v>710</v>
      </c>
      <c r="AL14" s="16">
        <v>625</v>
      </c>
      <c r="AM14" s="16">
        <v>622</v>
      </c>
      <c r="AN14" s="16">
        <v>688</v>
      </c>
      <c r="AO14" s="16">
        <v>704</v>
      </c>
      <c r="AP14" s="16">
        <v>623</v>
      </c>
      <c r="AQ14" s="16">
        <v>696</v>
      </c>
      <c r="AR14" s="16">
        <v>660</v>
      </c>
    </row>
    <row r="15" spans="2:44" x14ac:dyDescent="0.3">
      <c r="B15" s="4">
        <v>2022</v>
      </c>
      <c r="C15" s="4" t="s">
        <v>60</v>
      </c>
      <c r="D15" s="4">
        <v>807</v>
      </c>
      <c r="E15" s="4">
        <v>802</v>
      </c>
      <c r="F15" s="4">
        <v>791</v>
      </c>
      <c r="G15" s="4">
        <v>858</v>
      </c>
      <c r="H15" s="4">
        <v>831</v>
      </c>
      <c r="I15" s="4">
        <v>924</v>
      </c>
      <c r="J15" s="4">
        <v>912</v>
      </c>
      <c r="K15" s="4">
        <v>892</v>
      </c>
      <c r="L15" s="4">
        <v>963</v>
      </c>
      <c r="M15" s="4">
        <v>946</v>
      </c>
      <c r="N15" s="4">
        <v>900</v>
      </c>
      <c r="O15" s="4">
        <v>856</v>
      </c>
      <c r="P15" s="4">
        <v>800</v>
      </c>
      <c r="Q15" s="4">
        <v>871</v>
      </c>
      <c r="R15" s="4">
        <v>922</v>
      </c>
      <c r="S15" s="4">
        <v>901</v>
      </c>
      <c r="T15" s="4">
        <v>835</v>
      </c>
      <c r="U15" s="4">
        <v>912</v>
      </c>
      <c r="V15" s="4">
        <v>873</v>
      </c>
      <c r="X15" s="17">
        <v>2016</v>
      </c>
      <c r="Y15" s="16" t="s">
        <v>59</v>
      </c>
      <c r="Z15" s="16">
        <v>721</v>
      </c>
      <c r="AA15" s="16">
        <v>701</v>
      </c>
      <c r="AB15" s="16">
        <v>681</v>
      </c>
      <c r="AC15" s="16">
        <v>670</v>
      </c>
      <c r="AD15" s="16">
        <v>682</v>
      </c>
      <c r="AE15" s="16">
        <v>681</v>
      </c>
      <c r="AF15" s="16">
        <v>659</v>
      </c>
      <c r="AG15" s="16">
        <v>657</v>
      </c>
      <c r="AH15" s="16">
        <v>668</v>
      </c>
      <c r="AI15" s="16">
        <v>663</v>
      </c>
      <c r="AJ15" s="16">
        <v>666</v>
      </c>
      <c r="AK15" s="16">
        <v>667</v>
      </c>
      <c r="AL15" s="16">
        <v>701</v>
      </c>
      <c r="AM15" s="16">
        <v>678</v>
      </c>
      <c r="AN15" s="16">
        <v>661</v>
      </c>
      <c r="AO15" s="16">
        <v>665</v>
      </c>
      <c r="AP15" s="16">
        <v>689</v>
      </c>
      <c r="AQ15" s="16">
        <v>663</v>
      </c>
      <c r="AR15" s="16">
        <v>676</v>
      </c>
    </row>
    <row r="16" spans="2:44" x14ac:dyDescent="0.3">
      <c r="B16" s="4">
        <v>2023</v>
      </c>
      <c r="C16" s="4" t="s">
        <v>60</v>
      </c>
      <c r="D16" s="4">
        <v>808</v>
      </c>
      <c r="E16" s="4">
        <v>834</v>
      </c>
      <c r="F16" s="4">
        <v>790</v>
      </c>
      <c r="G16" s="4">
        <v>802</v>
      </c>
      <c r="H16" s="4">
        <v>806</v>
      </c>
      <c r="I16" s="4">
        <v>805</v>
      </c>
      <c r="J16" s="4">
        <v>831</v>
      </c>
      <c r="K16" s="4">
        <v>853</v>
      </c>
      <c r="L16" s="4">
        <v>903</v>
      </c>
      <c r="M16" s="4">
        <v>908</v>
      </c>
      <c r="N16" s="4">
        <v>871</v>
      </c>
      <c r="O16" s="4">
        <v>883</v>
      </c>
      <c r="P16" s="4">
        <v>811</v>
      </c>
      <c r="Q16" s="4">
        <v>805</v>
      </c>
      <c r="R16" s="4">
        <v>862</v>
      </c>
      <c r="S16" s="4">
        <v>887</v>
      </c>
      <c r="T16" s="4">
        <v>808</v>
      </c>
      <c r="U16" s="4">
        <v>875</v>
      </c>
      <c r="V16" s="4">
        <v>841</v>
      </c>
      <c r="X16" s="18">
        <f>X15</f>
        <v>2016</v>
      </c>
      <c r="Y16" s="16" t="s">
        <v>60</v>
      </c>
      <c r="Z16" s="16">
        <v>711</v>
      </c>
      <c r="AA16" s="16">
        <v>694</v>
      </c>
      <c r="AB16" s="16">
        <v>671</v>
      </c>
      <c r="AC16" s="16">
        <v>661</v>
      </c>
      <c r="AD16" s="16">
        <v>688</v>
      </c>
      <c r="AE16" s="16">
        <v>662</v>
      </c>
      <c r="AF16" s="16">
        <v>666</v>
      </c>
      <c r="AG16" s="16">
        <v>674</v>
      </c>
      <c r="AH16" s="16">
        <v>660</v>
      </c>
      <c r="AI16" s="16">
        <v>654</v>
      </c>
      <c r="AJ16" s="16">
        <v>672</v>
      </c>
      <c r="AK16" s="16">
        <v>668</v>
      </c>
      <c r="AL16" s="16">
        <v>692</v>
      </c>
      <c r="AM16" s="16">
        <v>670</v>
      </c>
      <c r="AN16" s="16">
        <v>667</v>
      </c>
      <c r="AO16" s="16">
        <v>665</v>
      </c>
      <c r="AP16" s="16">
        <v>681</v>
      </c>
      <c r="AQ16" s="16">
        <v>666</v>
      </c>
      <c r="AR16" s="16">
        <v>673</v>
      </c>
    </row>
    <row r="17" spans="2:44" x14ac:dyDescent="0.3">
      <c r="B17" s="4">
        <v>2024</v>
      </c>
      <c r="C17" s="4" t="s">
        <v>60</v>
      </c>
      <c r="D17" s="4">
        <v>930</v>
      </c>
      <c r="E17" s="4">
        <v>974</v>
      </c>
      <c r="F17" s="4">
        <v>983</v>
      </c>
      <c r="G17" s="4">
        <v>944</v>
      </c>
      <c r="H17" s="4">
        <v>918</v>
      </c>
      <c r="I17" s="4">
        <v>958</v>
      </c>
      <c r="J17" s="4">
        <v>955</v>
      </c>
      <c r="K17" s="4">
        <v>915</v>
      </c>
      <c r="L17" s="4">
        <v>898</v>
      </c>
      <c r="M17" s="4">
        <v>961</v>
      </c>
      <c r="N17" s="4">
        <v>975</v>
      </c>
      <c r="O17" s="4">
        <v>993</v>
      </c>
      <c r="P17" s="4">
        <v>962</v>
      </c>
      <c r="Q17" s="4">
        <v>940</v>
      </c>
      <c r="R17" s="4">
        <v>922</v>
      </c>
      <c r="S17" s="4">
        <v>976</v>
      </c>
      <c r="T17" s="4">
        <v>951</v>
      </c>
      <c r="U17" s="4">
        <v>949</v>
      </c>
      <c r="V17" s="4">
        <v>950</v>
      </c>
      <c r="X17" s="17">
        <v>2017</v>
      </c>
      <c r="Y17" s="16" t="s">
        <v>59</v>
      </c>
      <c r="Z17" s="16">
        <v>660</v>
      </c>
      <c r="AA17" s="16">
        <v>643</v>
      </c>
      <c r="AB17" s="16">
        <v>661</v>
      </c>
      <c r="AC17" s="16">
        <v>656</v>
      </c>
      <c r="AD17" s="16">
        <v>671</v>
      </c>
      <c r="AE17" s="16">
        <v>666</v>
      </c>
      <c r="AF17" s="16">
        <v>659</v>
      </c>
      <c r="AG17" s="16">
        <v>644</v>
      </c>
      <c r="AH17" s="16">
        <v>625</v>
      </c>
      <c r="AI17" s="16">
        <v>631</v>
      </c>
      <c r="AJ17" s="16">
        <v>633</v>
      </c>
      <c r="AK17" s="16">
        <v>636</v>
      </c>
      <c r="AL17" s="16">
        <v>655</v>
      </c>
      <c r="AM17" s="16">
        <v>664</v>
      </c>
      <c r="AN17" s="16">
        <v>643</v>
      </c>
      <c r="AO17" s="16">
        <v>633</v>
      </c>
      <c r="AP17" s="16">
        <v>659</v>
      </c>
      <c r="AQ17" s="16">
        <v>638</v>
      </c>
      <c r="AR17" s="16">
        <v>649</v>
      </c>
    </row>
    <row r="18" spans="2:44" x14ac:dyDescent="0.3">
      <c r="B18" s="4">
        <v>2025</v>
      </c>
      <c r="C18" s="4" t="s">
        <v>60</v>
      </c>
      <c r="D18" s="4">
        <v>982</v>
      </c>
      <c r="E18" s="4">
        <v>953</v>
      </c>
      <c r="F18" s="4">
        <v>952</v>
      </c>
      <c r="G18" s="4">
        <v>946</v>
      </c>
      <c r="H18" s="4">
        <v>933</v>
      </c>
      <c r="I18" s="4">
        <v>942</v>
      </c>
      <c r="J18" s="4">
        <v>981</v>
      </c>
      <c r="K18" s="4">
        <v>971</v>
      </c>
      <c r="L18" s="4">
        <v>967</v>
      </c>
      <c r="M18" s="4">
        <v>943</v>
      </c>
      <c r="N18" s="4">
        <v>927</v>
      </c>
      <c r="O18" s="4">
        <v>902</v>
      </c>
      <c r="P18" s="4">
        <v>962</v>
      </c>
      <c r="Q18" s="4">
        <v>941</v>
      </c>
      <c r="R18" s="4">
        <v>973</v>
      </c>
      <c r="S18" s="4">
        <v>924</v>
      </c>
      <c r="T18" s="4">
        <v>952</v>
      </c>
      <c r="U18" s="4">
        <v>948</v>
      </c>
      <c r="V18" s="4">
        <v>950</v>
      </c>
      <c r="X18" s="18">
        <f>X17</f>
        <v>2017</v>
      </c>
      <c r="Y18" s="16" t="s">
        <v>60</v>
      </c>
      <c r="Z18" s="16">
        <v>647</v>
      </c>
      <c r="AA18" s="16">
        <v>647</v>
      </c>
      <c r="AB18" s="16">
        <v>664</v>
      </c>
      <c r="AC18" s="16">
        <v>665</v>
      </c>
      <c r="AD18" s="16">
        <v>673</v>
      </c>
      <c r="AE18" s="16">
        <v>666</v>
      </c>
      <c r="AF18" s="16">
        <v>654</v>
      </c>
      <c r="AG18" s="16">
        <v>631</v>
      </c>
      <c r="AH18" s="16">
        <v>637</v>
      </c>
      <c r="AI18" s="16">
        <v>639</v>
      </c>
      <c r="AJ18" s="16">
        <v>644</v>
      </c>
      <c r="AK18" s="16">
        <v>616</v>
      </c>
      <c r="AL18" s="16">
        <v>653</v>
      </c>
      <c r="AM18" s="16">
        <v>668</v>
      </c>
      <c r="AN18" s="16">
        <v>641</v>
      </c>
      <c r="AO18" s="16">
        <v>633</v>
      </c>
      <c r="AP18" s="16">
        <v>660</v>
      </c>
      <c r="AQ18" s="16">
        <v>637</v>
      </c>
      <c r="AR18" s="16">
        <v>649</v>
      </c>
    </row>
    <row r="19" spans="2:44" x14ac:dyDescent="0.3">
      <c r="B19" s="19">
        <v>2026</v>
      </c>
      <c r="C19" s="19" t="s">
        <v>60</v>
      </c>
      <c r="D19" s="14">
        <v>860</v>
      </c>
      <c r="E19" s="14">
        <v>869</v>
      </c>
      <c r="F19" s="14">
        <v>934</v>
      </c>
      <c r="G19" s="14">
        <v>906</v>
      </c>
      <c r="H19" s="14">
        <v>891</v>
      </c>
      <c r="I19" s="14">
        <v>923</v>
      </c>
      <c r="J19" s="14">
        <v>924</v>
      </c>
      <c r="K19" s="14">
        <v>919</v>
      </c>
      <c r="L19" s="14">
        <v>935</v>
      </c>
      <c r="M19" s="14"/>
      <c r="N19" s="14"/>
      <c r="O19" s="14"/>
      <c r="P19" s="4">
        <v>887</v>
      </c>
      <c r="Q19" s="4">
        <v>907</v>
      </c>
      <c r="R19" s="4">
        <v>924</v>
      </c>
      <c r="S19" s="4" t="s">
        <v>57</v>
      </c>
      <c r="T19" s="4">
        <v>897</v>
      </c>
      <c r="U19" s="4">
        <v>924</v>
      </c>
      <c r="V19" s="4">
        <v>901</v>
      </c>
      <c r="X19" s="17">
        <v>2018</v>
      </c>
      <c r="Y19" s="16" t="s">
        <v>59</v>
      </c>
      <c r="Z19" s="16">
        <v>605</v>
      </c>
      <c r="AA19" s="16">
        <v>597</v>
      </c>
      <c r="AB19" s="16">
        <v>603</v>
      </c>
      <c r="AC19" s="16">
        <v>600</v>
      </c>
      <c r="AD19" s="16">
        <v>625</v>
      </c>
      <c r="AE19" s="16">
        <v>636</v>
      </c>
      <c r="AF19" s="16">
        <v>653</v>
      </c>
      <c r="AG19" s="16">
        <v>658</v>
      </c>
      <c r="AH19" s="16">
        <v>679</v>
      </c>
      <c r="AI19" s="16">
        <v>678</v>
      </c>
      <c r="AJ19" s="16">
        <v>678</v>
      </c>
      <c r="AK19" s="16">
        <v>684</v>
      </c>
      <c r="AL19" s="16">
        <v>602</v>
      </c>
      <c r="AM19" s="16">
        <v>621</v>
      </c>
      <c r="AN19" s="16">
        <v>663</v>
      </c>
      <c r="AO19" s="16">
        <v>680</v>
      </c>
      <c r="AP19" s="16">
        <v>611</v>
      </c>
      <c r="AQ19" s="16">
        <v>672</v>
      </c>
      <c r="AR19" s="16">
        <v>641</v>
      </c>
    </row>
    <row r="20" spans="2:44" x14ac:dyDescent="0.3">
      <c r="X20" s="18">
        <f>X19</f>
        <v>2018</v>
      </c>
      <c r="Y20" s="16" t="s">
        <v>60</v>
      </c>
      <c r="Z20" s="16">
        <v>605</v>
      </c>
      <c r="AA20" s="16">
        <v>592</v>
      </c>
      <c r="AB20" s="16">
        <v>603</v>
      </c>
      <c r="AC20" s="16">
        <v>605</v>
      </c>
      <c r="AD20" s="16">
        <v>629</v>
      </c>
      <c r="AE20" s="16">
        <v>648</v>
      </c>
      <c r="AF20" s="16">
        <v>638</v>
      </c>
      <c r="AG20" s="16">
        <v>680</v>
      </c>
      <c r="AH20" s="16">
        <v>658</v>
      </c>
      <c r="AI20" s="16">
        <v>695</v>
      </c>
      <c r="AJ20" s="16">
        <v>672</v>
      </c>
      <c r="AK20" s="16">
        <v>694</v>
      </c>
      <c r="AL20" s="16">
        <v>600</v>
      </c>
      <c r="AM20" s="16">
        <v>627</v>
      </c>
      <c r="AN20" s="16">
        <v>659</v>
      </c>
      <c r="AO20" s="16">
        <v>687</v>
      </c>
      <c r="AP20" s="16">
        <v>614</v>
      </c>
      <c r="AQ20" s="16">
        <v>673</v>
      </c>
      <c r="AR20" s="16">
        <v>643</v>
      </c>
    </row>
    <row r="21" spans="2:44" x14ac:dyDescent="0.3">
      <c r="X21" s="17">
        <v>2019</v>
      </c>
      <c r="Y21" s="16" t="s">
        <v>59</v>
      </c>
      <c r="Z21" s="16">
        <v>677</v>
      </c>
      <c r="AA21" s="16">
        <v>656</v>
      </c>
      <c r="AB21" s="16">
        <v>668</v>
      </c>
      <c r="AC21" s="16">
        <v>666</v>
      </c>
      <c r="AD21" s="16">
        <v>691</v>
      </c>
      <c r="AE21" s="16">
        <v>693</v>
      </c>
      <c r="AF21" s="16">
        <v>686</v>
      </c>
      <c r="AG21" s="16">
        <v>713</v>
      </c>
      <c r="AH21" s="16">
        <v>718</v>
      </c>
      <c r="AI21" s="16">
        <v>721</v>
      </c>
      <c r="AJ21" s="16">
        <v>775</v>
      </c>
      <c r="AK21" s="16">
        <v>768</v>
      </c>
      <c r="AL21" s="16">
        <v>667</v>
      </c>
      <c r="AM21" s="16">
        <v>683</v>
      </c>
      <c r="AN21" s="16">
        <v>706</v>
      </c>
      <c r="AO21" s="16">
        <v>755</v>
      </c>
      <c r="AP21" s="16">
        <v>675</v>
      </c>
      <c r="AQ21" s="16">
        <v>730</v>
      </c>
      <c r="AR21" s="16">
        <v>703</v>
      </c>
    </row>
    <row r="22" spans="2:44" x14ac:dyDescent="0.3">
      <c r="X22" s="18">
        <f>X21</f>
        <v>2019</v>
      </c>
      <c r="Y22" s="16" t="s">
        <v>60</v>
      </c>
      <c r="Z22" s="16">
        <v>665</v>
      </c>
      <c r="AA22" s="16">
        <v>650</v>
      </c>
      <c r="AB22" s="16">
        <v>681</v>
      </c>
      <c r="AC22" s="16">
        <v>677</v>
      </c>
      <c r="AD22" s="16">
        <v>708</v>
      </c>
      <c r="AE22" s="16">
        <v>680</v>
      </c>
      <c r="AF22" s="16">
        <v>699</v>
      </c>
      <c r="AG22" s="16">
        <v>719</v>
      </c>
      <c r="AH22" s="16">
        <v>728</v>
      </c>
      <c r="AI22" s="16">
        <v>739</v>
      </c>
      <c r="AJ22" s="16">
        <v>830</v>
      </c>
      <c r="AK22" s="16">
        <v>752</v>
      </c>
      <c r="AL22" s="16">
        <v>665</v>
      </c>
      <c r="AM22" s="16">
        <v>689</v>
      </c>
      <c r="AN22" s="16">
        <v>716</v>
      </c>
      <c r="AO22" s="16">
        <v>774</v>
      </c>
      <c r="AP22" s="16">
        <v>677</v>
      </c>
      <c r="AQ22" s="16">
        <v>745</v>
      </c>
      <c r="AR22" s="16">
        <v>711</v>
      </c>
    </row>
    <row r="23" spans="2:44" x14ac:dyDescent="0.3">
      <c r="X23" s="17">
        <v>2020</v>
      </c>
      <c r="Y23" s="16" t="s">
        <v>59</v>
      </c>
      <c r="Z23" s="16">
        <v>771</v>
      </c>
      <c r="AA23" s="16">
        <v>797</v>
      </c>
      <c r="AB23" s="16">
        <v>839</v>
      </c>
      <c r="AC23" s="16">
        <v>854</v>
      </c>
      <c r="AD23" s="16">
        <v>823</v>
      </c>
      <c r="AE23" s="16">
        <v>796</v>
      </c>
      <c r="AF23" s="16">
        <v>785</v>
      </c>
      <c r="AG23" s="16">
        <v>784</v>
      </c>
      <c r="AH23" s="16">
        <v>774</v>
      </c>
      <c r="AI23" s="16">
        <v>788</v>
      </c>
      <c r="AJ23" s="16">
        <v>762</v>
      </c>
      <c r="AK23" s="16">
        <v>732</v>
      </c>
      <c r="AL23" s="16">
        <v>803</v>
      </c>
      <c r="AM23" s="16">
        <v>824</v>
      </c>
      <c r="AN23" s="16">
        <v>781</v>
      </c>
      <c r="AO23" s="16">
        <v>761</v>
      </c>
      <c r="AP23" s="16">
        <v>813</v>
      </c>
      <c r="AQ23" s="16">
        <v>771</v>
      </c>
      <c r="AR23" s="16">
        <v>792</v>
      </c>
    </row>
    <row r="24" spans="2:44" x14ac:dyDescent="0.3">
      <c r="X24" s="18">
        <f>X23</f>
        <v>2020</v>
      </c>
      <c r="Y24" s="16" t="s">
        <v>60</v>
      </c>
      <c r="Z24" s="16">
        <v>800</v>
      </c>
      <c r="AA24" s="16">
        <v>816</v>
      </c>
      <c r="AB24" s="16">
        <v>861</v>
      </c>
      <c r="AC24" s="16">
        <v>845</v>
      </c>
      <c r="AD24" s="16">
        <v>810</v>
      </c>
      <c r="AE24" s="16">
        <v>822</v>
      </c>
      <c r="AF24" s="16">
        <v>764</v>
      </c>
      <c r="AG24" s="16">
        <v>780</v>
      </c>
      <c r="AH24" s="16">
        <v>782</v>
      </c>
      <c r="AI24" s="16">
        <v>771</v>
      </c>
      <c r="AJ24" s="16">
        <v>767</v>
      </c>
      <c r="AK24" s="16">
        <v>711</v>
      </c>
      <c r="AL24" s="16">
        <v>826</v>
      </c>
      <c r="AM24" s="16">
        <v>826</v>
      </c>
      <c r="AN24" s="16">
        <v>775</v>
      </c>
      <c r="AO24" s="16">
        <v>750</v>
      </c>
      <c r="AP24" s="16">
        <v>826</v>
      </c>
      <c r="AQ24" s="16">
        <v>762</v>
      </c>
      <c r="AR24" s="16">
        <v>794</v>
      </c>
    </row>
    <row r="25" spans="2:44" x14ac:dyDescent="0.3">
      <c r="X25" s="17">
        <v>2021</v>
      </c>
      <c r="Y25" s="16" t="s">
        <v>59</v>
      </c>
      <c r="Z25" s="16">
        <v>722</v>
      </c>
      <c r="AA25" s="16">
        <v>723</v>
      </c>
      <c r="AB25" s="16">
        <v>725</v>
      </c>
      <c r="AC25" s="16">
        <v>709</v>
      </c>
      <c r="AD25" s="16">
        <v>713</v>
      </c>
      <c r="AE25" s="16">
        <v>728</v>
      </c>
      <c r="AF25" s="16">
        <v>751</v>
      </c>
      <c r="AG25" s="16">
        <v>780</v>
      </c>
      <c r="AH25" s="16">
        <v>784</v>
      </c>
      <c r="AI25" s="16">
        <v>814</v>
      </c>
      <c r="AJ25" s="16">
        <v>814</v>
      </c>
      <c r="AK25" s="16">
        <v>849</v>
      </c>
      <c r="AL25" s="16">
        <v>724</v>
      </c>
      <c r="AM25" s="16">
        <v>716</v>
      </c>
      <c r="AN25" s="16">
        <v>772</v>
      </c>
      <c r="AO25" s="16">
        <v>825</v>
      </c>
      <c r="AP25" s="16">
        <v>720</v>
      </c>
      <c r="AQ25" s="16">
        <v>799</v>
      </c>
      <c r="AR25" s="16">
        <v>759</v>
      </c>
    </row>
    <row r="26" spans="2:44" x14ac:dyDescent="0.3">
      <c r="X26" s="18">
        <f>X25</f>
        <v>2021</v>
      </c>
      <c r="Y26" s="16" t="s">
        <v>60</v>
      </c>
      <c r="Z26" s="16">
        <v>738</v>
      </c>
      <c r="AA26" s="16">
        <v>715</v>
      </c>
      <c r="AB26" s="16">
        <v>731</v>
      </c>
      <c r="AC26" s="16">
        <v>710</v>
      </c>
      <c r="AD26" s="16">
        <v>725</v>
      </c>
      <c r="AE26" s="16">
        <v>729</v>
      </c>
      <c r="AF26" s="16">
        <v>760</v>
      </c>
      <c r="AG26" s="16">
        <v>781</v>
      </c>
      <c r="AH26" s="16">
        <v>812</v>
      </c>
      <c r="AI26" s="16">
        <v>808</v>
      </c>
      <c r="AJ26" s="16">
        <v>846</v>
      </c>
      <c r="AK26" s="16">
        <v>853</v>
      </c>
      <c r="AL26" s="16">
        <v>728</v>
      </c>
      <c r="AM26" s="16">
        <v>721</v>
      </c>
      <c r="AN26" s="16">
        <v>784</v>
      </c>
      <c r="AO26" s="16">
        <v>836</v>
      </c>
      <c r="AP26" s="16">
        <v>725</v>
      </c>
      <c r="AQ26" s="16">
        <v>810</v>
      </c>
      <c r="AR26" s="16">
        <v>767</v>
      </c>
    </row>
    <row r="27" spans="2:44" x14ac:dyDescent="0.3">
      <c r="X27" s="17">
        <v>2022</v>
      </c>
      <c r="Y27" s="16" t="s">
        <v>59</v>
      </c>
      <c r="Z27" s="16">
        <v>822</v>
      </c>
      <c r="AA27" s="16">
        <v>808</v>
      </c>
      <c r="AB27" s="16">
        <v>798</v>
      </c>
      <c r="AC27" s="16">
        <v>815</v>
      </c>
      <c r="AD27" s="16">
        <v>849</v>
      </c>
      <c r="AE27" s="16">
        <v>859</v>
      </c>
      <c r="AF27" s="16">
        <v>951</v>
      </c>
      <c r="AG27" s="16">
        <v>903</v>
      </c>
      <c r="AH27" s="16">
        <v>918</v>
      </c>
      <c r="AI27" s="16">
        <v>954</v>
      </c>
      <c r="AJ27" s="16">
        <v>918</v>
      </c>
      <c r="AK27" s="16">
        <v>874</v>
      </c>
      <c r="AL27" s="16">
        <v>809</v>
      </c>
      <c r="AM27" s="16">
        <v>841</v>
      </c>
      <c r="AN27" s="16">
        <v>924</v>
      </c>
      <c r="AO27" s="16">
        <v>915</v>
      </c>
      <c r="AP27" s="16">
        <v>825</v>
      </c>
      <c r="AQ27" s="16">
        <v>920</v>
      </c>
      <c r="AR27" s="16">
        <v>872</v>
      </c>
    </row>
    <row r="28" spans="2:44" x14ac:dyDescent="0.3">
      <c r="X28" s="18">
        <f>X27</f>
        <v>2022</v>
      </c>
      <c r="Y28" s="16" t="s">
        <v>60</v>
      </c>
      <c r="Z28" s="16">
        <v>807</v>
      </c>
      <c r="AA28" s="16">
        <v>802</v>
      </c>
      <c r="AB28" s="16">
        <v>791</v>
      </c>
      <c r="AC28" s="16">
        <v>858</v>
      </c>
      <c r="AD28" s="16">
        <v>831</v>
      </c>
      <c r="AE28" s="16">
        <v>924</v>
      </c>
      <c r="AF28" s="16">
        <v>912</v>
      </c>
      <c r="AG28" s="16">
        <v>892</v>
      </c>
      <c r="AH28" s="16">
        <v>963</v>
      </c>
      <c r="AI28" s="16">
        <v>946</v>
      </c>
      <c r="AJ28" s="16">
        <v>900</v>
      </c>
      <c r="AK28" s="16">
        <v>856</v>
      </c>
      <c r="AL28" s="16">
        <v>800</v>
      </c>
      <c r="AM28" s="16">
        <v>871</v>
      </c>
      <c r="AN28" s="16">
        <v>922</v>
      </c>
      <c r="AO28" s="16">
        <v>901</v>
      </c>
      <c r="AP28" s="16">
        <v>835</v>
      </c>
      <c r="AQ28" s="16">
        <v>912</v>
      </c>
      <c r="AR28" s="16">
        <v>873</v>
      </c>
    </row>
    <row r="29" spans="2:44" x14ac:dyDescent="0.3">
      <c r="X29" s="17">
        <v>2023</v>
      </c>
      <c r="Y29" s="16" t="s">
        <v>59</v>
      </c>
      <c r="Z29" s="16">
        <v>827</v>
      </c>
      <c r="AA29" s="16">
        <v>798</v>
      </c>
      <c r="AB29" s="16">
        <v>809</v>
      </c>
      <c r="AC29" s="16">
        <v>803</v>
      </c>
      <c r="AD29" s="16">
        <v>800</v>
      </c>
      <c r="AE29" s="16">
        <v>799</v>
      </c>
      <c r="AF29" s="16">
        <v>814</v>
      </c>
      <c r="AG29" s="16">
        <v>855</v>
      </c>
      <c r="AH29" s="16">
        <v>884</v>
      </c>
      <c r="AI29" s="16">
        <v>926</v>
      </c>
      <c r="AJ29" s="16">
        <v>887</v>
      </c>
      <c r="AK29" s="16">
        <v>875</v>
      </c>
      <c r="AL29" s="16">
        <v>811</v>
      </c>
      <c r="AM29" s="16">
        <v>801</v>
      </c>
      <c r="AN29" s="16">
        <v>851</v>
      </c>
      <c r="AO29" s="16">
        <v>896</v>
      </c>
      <c r="AP29" s="16">
        <v>806</v>
      </c>
      <c r="AQ29" s="16">
        <v>873</v>
      </c>
      <c r="AR29" s="16">
        <v>840</v>
      </c>
    </row>
    <row r="30" spans="2:44" x14ac:dyDescent="0.3">
      <c r="X30" s="18">
        <f>X29</f>
        <v>2023</v>
      </c>
      <c r="Y30" s="16" t="s">
        <v>60</v>
      </c>
      <c r="Z30" s="16">
        <v>808</v>
      </c>
      <c r="AA30" s="16">
        <v>834</v>
      </c>
      <c r="AB30" s="16">
        <v>790</v>
      </c>
      <c r="AC30" s="16">
        <v>802</v>
      </c>
      <c r="AD30" s="16">
        <v>806</v>
      </c>
      <c r="AE30" s="16">
        <v>805</v>
      </c>
      <c r="AF30" s="16">
        <v>831</v>
      </c>
      <c r="AG30" s="16">
        <v>853</v>
      </c>
      <c r="AH30" s="16">
        <v>903</v>
      </c>
      <c r="AI30" s="16">
        <v>908</v>
      </c>
      <c r="AJ30" s="16">
        <v>871</v>
      </c>
      <c r="AK30" s="16">
        <v>883</v>
      </c>
      <c r="AL30" s="16">
        <v>811</v>
      </c>
      <c r="AM30" s="16">
        <v>805</v>
      </c>
      <c r="AN30" s="16">
        <v>862</v>
      </c>
      <c r="AO30" s="16">
        <v>887</v>
      </c>
      <c r="AP30" s="16">
        <v>808</v>
      </c>
      <c r="AQ30" s="16">
        <v>875</v>
      </c>
      <c r="AR30" s="16">
        <v>841</v>
      </c>
    </row>
    <row r="31" spans="2:44" x14ac:dyDescent="0.3">
      <c r="X31" s="17">
        <v>2024</v>
      </c>
      <c r="Y31" s="16" t="s">
        <v>59</v>
      </c>
      <c r="Z31" s="16">
        <v>907</v>
      </c>
      <c r="AA31" s="16">
        <v>961</v>
      </c>
      <c r="AB31" s="16">
        <v>968</v>
      </c>
      <c r="AC31" s="16">
        <v>957</v>
      </c>
      <c r="AD31" s="16">
        <v>918</v>
      </c>
      <c r="AE31" s="16">
        <v>928</v>
      </c>
      <c r="AF31" s="16">
        <v>936</v>
      </c>
      <c r="AG31" s="16">
        <v>932</v>
      </c>
      <c r="AH31" s="16">
        <v>926</v>
      </c>
      <c r="AI31" s="16">
        <v>936</v>
      </c>
      <c r="AJ31" s="16">
        <v>970</v>
      </c>
      <c r="AK31" s="16">
        <v>983</v>
      </c>
      <c r="AL31" s="16">
        <v>945</v>
      </c>
      <c r="AM31" s="16">
        <v>934</v>
      </c>
      <c r="AN31" s="16">
        <v>931</v>
      </c>
      <c r="AO31" s="16">
        <v>963</v>
      </c>
      <c r="AP31" s="16">
        <v>940</v>
      </c>
      <c r="AQ31" s="16">
        <v>947</v>
      </c>
      <c r="AR31" s="16">
        <v>944</v>
      </c>
    </row>
    <row r="32" spans="2:44" x14ac:dyDescent="0.3">
      <c r="X32" s="18">
        <f>X31</f>
        <v>2024</v>
      </c>
      <c r="Y32" s="16" t="s">
        <v>60</v>
      </c>
      <c r="Z32" s="16">
        <v>930</v>
      </c>
      <c r="AA32" s="16">
        <v>974</v>
      </c>
      <c r="AB32" s="16">
        <v>983</v>
      </c>
      <c r="AC32" s="16">
        <v>944</v>
      </c>
      <c r="AD32" s="16">
        <v>918</v>
      </c>
      <c r="AE32" s="16">
        <v>958</v>
      </c>
      <c r="AF32" s="16">
        <v>955</v>
      </c>
      <c r="AG32" s="16">
        <v>915</v>
      </c>
      <c r="AH32" s="16">
        <v>898</v>
      </c>
      <c r="AI32" s="16">
        <v>961</v>
      </c>
      <c r="AJ32" s="16">
        <v>975</v>
      </c>
      <c r="AK32" s="16">
        <v>993</v>
      </c>
      <c r="AL32" s="16">
        <v>962</v>
      </c>
      <c r="AM32" s="16">
        <v>940</v>
      </c>
      <c r="AN32" s="16">
        <v>922</v>
      </c>
      <c r="AO32" s="16">
        <v>976</v>
      </c>
      <c r="AP32" s="16">
        <v>951</v>
      </c>
      <c r="AQ32" s="16">
        <v>949</v>
      </c>
      <c r="AR32" s="16">
        <v>950</v>
      </c>
    </row>
    <row r="33" spans="24:44" x14ac:dyDescent="0.3">
      <c r="X33" s="17">
        <v>2025</v>
      </c>
      <c r="Y33" s="16" t="s">
        <v>59</v>
      </c>
      <c r="Z33" s="20">
        <v>1000</v>
      </c>
      <c r="AA33" s="16">
        <v>956</v>
      </c>
      <c r="AB33" s="16">
        <v>934</v>
      </c>
      <c r="AC33" s="16">
        <v>961</v>
      </c>
      <c r="AD33" s="16">
        <v>942</v>
      </c>
      <c r="AE33" s="16">
        <v>937</v>
      </c>
      <c r="AF33" s="16">
        <v>951</v>
      </c>
      <c r="AG33" s="16">
        <v>967</v>
      </c>
      <c r="AH33" s="16">
        <v>960</v>
      </c>
      <c r="AI33" s="16">
        <v>953</v>
      </c>
      <c r="AJ33" s="16">
        <v>935</v>
      </c>
      <c r="AK33" s="16">
        <v>915</v>
      </c>
      <c r="AL33" s="16">
        <v>963</v>
      </c>
      <c r="AM33" s="16">
        <v>947</v>
      </c>
      <c r="AN33" s="16">
        <v>959</v>
      </c>
      <c r="AO33" s="16">
        <v>934</v>
      </c>
      <c r="AP33" s="16">
        <v>955</v>
      </c>
      <c r="AQ33" s="16">
        <v>947</v>
      </c>
      <c r="AR33" s="16">
        <v>951</v>
      </c>
    </row>
    <row r="34" spans="24:44" ht="13.5" thickBot="1" x14ac:dyDescent="0.35">
      <c r="X34" s="21">
        <f>X33</f>
        <v>2025</v>
      </c>
      <c r="Y34" s="22" t="s">
        <v>60</v>
      </c>
      <c r="Z34" s="22">
        <v>982</v>
      </c>
      <c r="AA34" s="22">
        <v>953</v>
      </c>
      <c r="AB34" s="22">
        <v>952</v>
      </c>
      <c r="AC34" s="22">
        <v>946</v>
      </c>
      <c r="AD34" s="22">
        <v>933</v>
      </c>
      <c r="AE34" s="22">
        <v>942</v>
      </c>
      <c r="AF34" s="22">
        <v>981</v>
      </c>
      <c r="AG34" s="22">
        <v>971</v>
      </c>
      <c r="AH34" s="22">
        <v>967</v>
      </c>
      <c r="AI34" s="22">
        <v>943</v>
      </c>
      <c r="AJ34" s="22">
        <v>927</v>
      </c>
      <c r="AK34" s="22">
        <v>902</v>
      </c>
      <c r="AL34" s="22">
        <v>962</v>
      </c>
      <c r="AM34" s="22">
        <v>941</v>
      </c>
      <c r="AN34" s="22">
        <v>973</v>
      </c>
      <c r="AO34" s="22">
        <v>924</v>
      </c>
      <c r="AP34" s="22">
        <v>952</v>
      </c>
      <c r="AQ34" s="22">
        <v>948</v>
      </c>
      <c r="AR34" s="22">
        <v>950</v>
      </c>
    </row>
    <row r="35" spans="24:44" x14ac:dyDescent="0.3">
      <c r="X35" s="23">
        <v>2026</v>
      </c>
      <c r="Y35" s="24" t="s">
        <v>59</v>
      </c>
      <c r="Z35" s="24">
        <v>884</v>
      </c>
      <c r="AA35" s="24">
        <v>862</v>
      </c>
      <c r="AB35" s="24">
        <v>912</v>
      </c>
      <c r="AC35" s="24">
        <v>899</v>
      </c>
      <c r="AD35" s="24">
        <v>898</v>
      </c>
      <c r="AE35" s="24">
        <v>905</v>
      </c>
      <c r="AF35" s="24">
        <v>931</v>
      </c>
      <c r="AG35" s="24">
        <v>960</v>
      </c>
      <c r="AH35" s="24">
        <v>945</v>
      </c>
      <c r="AI35" s="24">
        <v>945</v>
      </c>
      <c r="AJ35" s="24">
        <v>945</v>
      </c>
      <c r="AK35" s="24">
        <v>945</v>
      </c>
      <c r="AL35" s="24">
        <v>886</v>
      </c>
      <c r="AM35" s="24">
        <v>901</v>
      </c>
      <c r="AN35" s="24">
        <v>945</v>
      </c>
      <c r="AO35" s="24">
        <v>945</v>
      </c>
      <c r="AP35" s="24">
        <v>893</v>
      </c>
      <c r="AQ35" s="24">
        <v>945</v>
      </c>
      <c r="AR35" s="25">
        <v>919</v>
      </c>
    </row>
    <row r="36" spans="24:44" ht="13.5" thickBot="1" x14ac:dyDescent="0.35">
      <c r="X36" s="26">
        <f>X35</f>
        <v>2026</v>
      </c>
      <c r="Y36" s="27" t="s">
        <v>60</v>
      </c>
      <c r="Z36" s="27">
        <v>860</v>
      </c>
      <c r="AA36" s="27">
        <v>869</v>
      </c>
      <c r="AB36" s="27">
        <v>934</v>
      </c>
      <c r="AC36" s="27">
        <v>906</v>
      </c>
      <c r="AD36" s="27">
        <v>891</v>
      </c>
      <c r="AE36" s="27">
        <v>923</v>
      </c>
      <c r="AF36" s="27">
        <v>924</v>
      </c>
      <c r="AG36" s="27"/>
      <c r="AH36" s="27"/>
      <c r="AI36" s="27"/>
      <c r="AJ36" s="27"/>
      <c r="AK36" s="27"/>
      <c r="AL36" s="27">
        <v>887</v>
      </c>
      <c r="AM36" s="27">
        <v>907</v>
      </c>
      <c r="AN36" s="27">
        <v>924</v>
      </c>
      <c r="AO36" s="27" t="s">
        <v>57</v>
      </c>
      <c r="AP36" s="27">
        <v>897</v>
      </c>
      <c r="AQ36" s="27">
        <v>924</v>
      </c>
      <c r="AR36" s="28">
        <v>901</v>
      </c>
    </row>
  </sheetData>
  <autoFilter ref="X2:AR36" xr:uid="{7AA9AFA4-10CD-4F63-8581-B40A53C8FC5D}"/>
  <phoneticPr fontId="8" type="noConversion"/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072C-359E-4A54-B7A7-71BC519FD5A3}">
  <sheetPr>
    <tabColor theme="1" tint="4.9989318521683403E-2"/>
  </sheetPr>
  <dimension ref="A2:AD155"/>
  <sheetViews>
    <sheetView showGridLines="0" zoomScaleNormal="100" workbookViewId="0">
      <pane xSplit="3" ySplit="4" topLeftCell="D61" activePane="bottomRight" state="frozen"/>
      <selection pane="topRight" activeCell="D1" sqref="D1"/>
      <selection pane="bottomLeft" activeCell="A7" sqref="A7"/>
      <selection pane="bottomRight" activeCell="Z99" sqref="A99:Z99"/>
    </sheetView>
  </sheetViews>
  <sheetFormatPr defaultColWidth="8.7265625" defaultRowHeight="11.5" outlineLevelRow="1" x14ac:dyDescent="0.25"/>
  <cols>
    <col min="1" max="1" width="8.7265625" style="8"/>
    <col min="2" max="2" width="6.54296875" style="8" customWidth="1"/>
    <col min="3" max="3" width="10.6328125" style="8" bestFit="1" customWidth="1"/>
    <col min="4" max="5" width="10" style="8" customWidth="1"/>
    <col min="6" max="6" width="10.453125" style="8" customWidth="1"/>
    <col min="7" max="10" width="10" style="8" customWidth="1"/>
    <col min="11" max="11" width="8.1796875" style="8" bestFit="1" customWidth="1"/>
    <col min="12" max="12" width="8.54296875" style="8" bestFit="1" customWidth="1"/>
    <col min="13" max="13" width="9.54296875" style="8" customWidth="1"/>
    <col min="14" max="15" width="7.81640625" style="8" customWidth="1"/>
    <col min="16" max="16" width="7.81640625" style="8" bestFit="1" customWidth="1"/>
    <col min="17" max="18" width="9.1796875" style="8" bestFit="1" customWidth="1"/>
    <col min="19" max="19" width="8.7265625" style="8" bestFit="1" customWidth="1"/>
    <col min="20" max="20" width="8.81640625" style="8" bestFit="1" customWidth="1"/>
    <col min="21" max="21" width="10.453125" style="132" bestFit="1" customWidth="1"/>
    <col min="22" max="22" width="8.81640625" style="8" bestFit="1" customWidth="1"/>
    <col min="23" max="23" width="9" style="132" customWidth="1"/>
    <col min="24" max="25" width="13.54296875" style="8" bestFit="1" customWidth="1"/>
    <col min="26" max="27" width="9" style="8" customWidth="1"/>
    <col min="28" max="16384" width="8.7265625" style="8"/>
  </cols>
  <sheetData>
    <row r="2" spans="1:27" s="97" customFormat="1" ht="14" x14ac:dyDescent="0.3">
      <c r="B2" s="129" t="s">
        <v>273</v>
      </c>
      <c r="D2" s="2" t="s">
        <v>186</v>
      </c>
      <c r="U2" s="130"/>
      <c r="W2" s="130"/>
    </row>
    <row r="3" spans="1:27" ht="12" thickBot="1" x14ac:dyDescent="0.3">
      <c r="B3" s="8" t="s">
        <v>187</v>
      </c>
      <c r="E3" s="131"/>
    </row>
    <row r="4" spans="1:27" ht="23.15" customHeight="1" thickTop="1" thickBot="1" x14ac:dyDescent="0.3">
      <c r="B4" s="133" t="s">
        <v>23</v>
      </c>
      <c r="C4" s="134" t="s">
        <v>188</v>
      </c>
      <c r="D4" s="135" t="s">
        <v>189</v>
      </c>
      <c r="E4" s="136" t="s">
        <v>190</v>
      </c>
      <c r="F4" s="137" t="s">
        <v>191</v>
      </c>
      <c r="G4" s="137" t="s">
        <v>192</v>
      </c>
      <c r="H4" s="137" t="s">
        <v>193</v>
      </c>
      <c r="I4" s="137" t="s">
        <v>194</v>
      </c>
      <c r="J4" s="137" t="s">
        <v>195</v>
      </c>
      <c r="K4" s="137" t="s">
        <v>196</v>
      </c>
      <c r="L4" s="137" t="s">
        <v>197</v>
      </c>
      <c r="M4" s="137" t="s">
        <v>198</v>
      </c>
      <c r="N4" s="137" t="s">
        <v>199</v>
      </c>
      <c r="O4" s="137" t="s">
        <v>200</v>
      </c>
      <c r="P4" s="137" t="s">
        <v>201</v>
      </c>
      <c r="Q4" s="138" t="s">
        <v>202</v>
      </c>
      <c r="R4" s="133" t="s">
        <v>203</v>
      </c>
      <c r="S4" s="139"/>
      <c r="T4" s="135" t="s">
        <v>204</v>
      </c>
      <c r="U4" s="140" t="s">
        <v>205</v>
      </c>
      <c r="V4" s="137" t="s">
        <v>206</v>
      </c>
      <c r="W4" s="141" t="s">
        <v>207</v>
      </c>
      <c r="X4" s="133" t="s">
        <v>208</v>
      </c>
      <c r="Y4" s="133" t="s">
        <v>209</v>
      </c>
      <c r="Z4" s="142"/>
      <c r="AA4" s="142"/>
    </row>
    <row r="5" spans="1:27" ht="11.5" customHeight="1" outlineLevel="1" thickTop="1" x14ac:dyDescent="0.25">
      <c r="B5" s="537" t="s">
        <v>210</v>
      </c>
      <c r="C5" s="538"/>
      <c r="D5" s="143">
        <v>1171.8059512</v>
      </c>
      <c r="E5" s="144">
        <v>1489.9217214</v>
      </c>
      <c r="F5" s="145">
        <v>1438.0286193877585</v>
      </c>
      <c r="G5" s="145">
        <v>-43.19116836734689</v>
      </c>
      <c r="H5" s="145">
        <v>760.96541316039884</v>
      </c>
      <c r="I5" s="145">
        <v>1394.837451020411</v>
      </c>
      <c r="J5" s="145">
        <v>187.71708061224487</v>
      </c>
      <c r="K5" s="145">
        <v>94.078271428571469</v>
      </c>
      <c r="L5" s="145">
        <v>75.284214285714313</v>
      </c>
      <c r="M5" s="145">
        <v>18.354594897959188</v>
      </c>
      <c r="N5" s="145">
        <v>0.39443469387755098</v>
      </c>
      <c r="O5" s="145">
        <v>0</v>
      </c>
      <c r="P5" s="145">
        <v>188.11151530612287</v>
      </c>
      <c r="Q5" s="146">
        <v>1582.9489663265306</v>
      </c>
      <c r="R5" s="147">
        <v>1.062437672792043</v>
      </c>
      <c r="S5" s="148"/>
      <c r="T5" s="149">
        <v>597.21833265306157</v>
      </c>
      <c r="U5" s="150">
        <v>985.73063367347004</v>
      </c>
      <c r="V5" s="151">
        <v>589.31551734693926</v>
      </c>
      <c r="W5" s="152">
        <v>184.3383357142859</v>
      </c>
      <c r="X5" s="151">
        <v>133.40434693877549</v>
      </c>
      <c r="Y5" s="151">
        <v>78.672433673469357</v>
      </c>
      <c r="Z5" s="153"/>
      <c r="AA5" s="153"/>
    </row>
    <row r="6" spans="1:27" ht="11.5" customHeight="1" outlineLevel="1" x14ac:dyDescent="0.25">
      <c r="A6" s="8" t="s">
        <v>30</v>
      </c>
      <c r="B6" s="154"/>
      <c r="C6" s="155" t="s">
        <v>31</v>
      </c>
      <c r="D6" s="156">
        <v>408.23798770000002</v>
      </c>
      <c r="E6" s="157">
        <v>462.7770969</v>
      </c>
      <c r="F6" s="158">
        <v>439.46042755102098</v>
      </c>
      <c r="G6" s="158">
        <v>-15.7496102040816</v>
      </c>
      <c r="H6" s="158">
        <v>301.74275713297698</v>
      </c>
      <c r="I6" s="158">
        <v>423.710817346939</v>
      </c>
      <c r="J6" s="158">
        <v>65.083082653061197</v>
      </c>
      <c r="K6" s="158">
        <v>32.208878571428599</v>
      </c>
      <c r="L6" s="158">
        <v>25.0763510204082</v>
      </c>
      <c r="M6" s="158">
        <v>7.7978530612244903</v>
      </c>
      <c r="N6" s="158">
        <v>0</v>
      </c>
      <c r="O6" s="158">
        <v>0</v>
      </c>
      <c r="P6" s="158">
        <v>65.083082653061197</v>
      </c>
      <c r="Q6" s="159">
        <v>488.79390000000097</v>
      </c>
      <c r="R6" s="160">
        <v>1.056218864922831</v>
      </c>
      <c r="S6" s="161"/>
      <c r="T6" s="162">
        <v>190.64126836734701</v>
      </c>
      <c r="U6" s="163">
        <v>298.15263163265325</v>
      </c>
      <c r="V6" s="164">
        <v>176.811879591837</v>
      </c>
      <c r="W6" s="165">
        <v>57.313382653061197</v>
      </c>
      <c r="X6" s="164">
        <v>39.306454081632701</v>
      </c>
      <c r="Y6" s="164">
        <v>24.7209153061224</v>
      </c>
      <c r="Z6" s="166"/>
      <c r="AA6" s="166"/>
    </row>
    <row r="7" spans="1:27" ht="11.5" customHeight="1" outlineLevel="1" x14ac:dyDescent="0.25">
      <c r="A7" s="8" t="s">
        <v>35</v>
      </c>
      <c r="C7" s="167" t="s">
        <v>36</v>
      </c>
      <c r="D7" s="156">
        <v>5.6193144999999998</v>
      </c>
      <c r="E7" s="157">
        <v>0</v>
      </c>
      <c r="F7" s="158">
        <v>6.9448979591836699E-2</v>
      </c>
      <c r="G7" s="158">
        <v>-8.1453061224489795E-2</v>
      </c>
      <c r="H7" s="158">
        <v>5.9381576207351401</v>
      </c>
      <c r="I7" s="158">
        <v>-1.20040816326531E-2</v>
      </c>
      <c r="J7" s="158">
        <v>0</v>
      </c>
      <c r="K7" s="158">
        <v>0</v>
      </c>
      <c r="L7" s="158">
        <v>0</v>
      </c>
      <c r="M7" s="158">
        <v>0</v>
      </c>
      <c r="N7" s="158">
        <v>0</v>
      </c>
      <c r="O7" s="158">
        <v>0</v>
      </c>
      <c r="P7" s="158">
        <v>0</v>
      </c>
      <c r="Q7" s="159">
        <v>-1.20040816326531E-2</v>
      </c>
      <c r="R7" s="160">
        <v>0</v>
      </c>
      <c r="S7" s="161"/>
      <c r="T7" s="162">
        <v>6.9448979591836699E-2</v>
      </c>
      <c r="U7" s="163">
        <v>-8.1453061224489795E-2</v>
      </c>
      <c r="V7" s="164"/>
      <c r="W7" s="165">
        <v>0</v>
      </c>
      <c r="X7" s="164">
        <v>0</v>
      </c>
      <c r="Y7" s="164">
        <v>0</v>
      </c>
      <c r="Z7" s="166"/>
      <c r="AA7" s="166"/>
    </row>
    <row r="8" spans="1:27" ht="11.5" customHeight="1" outlineLevel="1" x14ac:dyDescent="0.25">
      <c r="A8" s="8" t="s">
        <v>37</v>
      </c>
      <c r="B8" s="154"/>
      <c r="C8" s="155" t="s">
        <v>38</v>
      </c>
      <c r="D8" s="156">
        <v>20.2330364</v>
      </c>
      <c r="E8" s="157">
        <v>10.999999999999998</v>
      </c>
      <c r="F8" s="158">
        <v>12.3523285714286</v>
      </c>
      <c r="G8" s="158">
        <v>0</v>
      </c>
      <c r="H8" s="158">
        <v>12.4154635416667</v>
      </c>
      <c r="I8" s="158">
        <v>12.3523285714286</v>
      </c>
      <c r="J8" s="158">
        <v>2.2744479591836702</v>
      </c>
      <c r="K8" s="158">
        <v>0.60023163265306101</v>
      </c>
      <c r="L8" s="158">
        <v>1.67421632653061</v>
      </c>
      <c r="M8" s="158">
        <v>0</v>
      </c>
      <c r="N8" s="158">
        <v>0</v>
      </c>
      <c r="O8" s="158">
        <v>0</v>
      </c>
      <c r="P8" s="158">
        <v>2.2744479591836702</v>
      </c>
      <c r="Q8" s="159">
        <v>14.626776530612201</v>
      </c>
      <c r="R8" s="160">
        <v>1.3297069573283822</v>
      </c>
      <c r="S8" s="161"/>
      <c r="T8" s="162">
        <v>8.1099795918367299</v>
      </c>
      <c r="U8" s="163">
        <v>6.5167969387755118</v>
      </c>
      <c r="V8" s="164">
        <v>2.14367959183673</v>
      </c>
      <c r="W8" s="165">
        <v>3.7728857142857199</v>
      </c>
      <c r="X8" s="164">
        <v>0</v>
      </c>
      <c r="Y8" s="164">
        <v>0.60023163265306101</v>
      </c>
      <c r="Z8" s="166"/>
      <c r="AA8" s="166"/>
    </row>
    <row r="9" spans="1:27" ht="11.5" customHeight="1" outlineLevel="1" x14ac:dyDescent="0.25">
      <c r="A9" s="8" t="s">
        <v>39</v>
      </c>
      <c r="C9" s="167" t="s">
        <v>40</v>
      </c>
      <c r="D9" s="156">
        <v>735.42294500000003</v>
      </c>
      <c r="E9" s="157">
        <v>1016.1446245</v>
      </c>
      <c r="F9" s="158">
        <v>986.14641428571701</v>
      </c>
      <c r="G9" s="158">
        <v>-27.360105102040801</v>
      </c>
      <c r="H9" s="158">
        <v>440.86903486502001</v>
      </c>
      <c r="I9" s="158">
        <v>958.78630918367605</v>
      </c>
      <c r="J9" s="158">
        <v>120.35955</v>
      </c>
      <c r="K9" s="158">
        <v>61.2691612244898</v>
      </c>
      <c r="L9" s="158">
        <v>48.533646938775497</v>
      </c>
      <c r="M9" s="158">
        <v>10.5567418367347</v>
      </c>
      <c r="N9" s="158">
        <v>0.39443469387755098</v>
      </c>
      <c r="O9" s="158">
        <v>0</v>
      </c>
      <c r="P9" s="158">
        <v>120.753984693878</v>
      </c>
      <c r="Q9" s="159">
        <v>1079.5402938775501</v>
      </c>
      <c r="R9" s="160">
        <v>1.0623884315766019</v>
      </c>
      <c r="S9" s="161"/>
      <c r="T9" s="162">
        <v>398.39763571428603</v>
      </c>
      <c r="U9" s="163">
        <v>681.14265816326576</v>
      </c>
      <c r="V9" s="164">
        <v>410.52286428571449</v>
      </c>
      <c r="W9" s="165">
        <v>123.252067346939</v>
      </c>
      <c r="X9" s="164">
        <v>94.097892857142796</v>
      </c>
      <c r="Y9" s="164">
        <v>53.3512867346939</v>
      </c>
      <c r="Z9" s="166"/>
      <c r="AA9" s="166"/>
    </row>
    <row r="10" spans="1:27" ht="11.5" customHeight="1" outlineLevel="1" x14ac:dyDescent="0.25">
      <c r="A10" s="8" t="s">
        <v>41</v>
      </c>
      <c r="B10" s="154"/>
      <c r="C10" s="155" t="s">
        <v>211</v>
      </c>
      <c r="D10" s="156">
        <v>2.2926676000000001</v>
      </c>
      <c r="E10" s="157">
        <v>0</v>
      </c>
      <c r="F10" s="158">
        <v>0</v>
      </c>
      <c r="G10" s="158">
        <v>0</v>
      </c>
      <c r="H10" s="158">
        <v>0</v>
      </c>
      <c r="I10" s="158">
        <v>0</v>
      </c>
      <c r="J10" s="158">
        <v>0</v>
      </c>
      <c r="K10" s="158">
        <v>0</v>
      </c>
      <c r="L10" s="158">
        <v>0</v>
      </c>
      <c r="M10" s="158">
        <v>0</v>
      </c>
      <c r="N10" s="158">
        <v>0</v>
      </c>
      <c r="O10" s="158">
        <v>0</v>
      </c>
      <c r="P10" s="158">
        <v>0</v>
      </c>
      <c r="Q10" s="159">
        <v>0</v>
      </c>
      <c r="R10" s="160">
        <v>0</v>
      </c>
      <c r="S10" s="161"/>
      <c r="T10" s="162">
        <v>0</v>
      </c>
      <c r="U10" s="163">
        <v>0</v>
      </c>
      <c r="V10" s="164">
        <v>0</v>
      </c>
      <c r="W10" s="165">
        <v>0</v>
      </c>
      <c r="X10" s="164">
        <v>0</v>
      </c>
      <c r="Y10" s="164">
        <v>0</v>
      </c>
      <c r="Z10" s="166"/>
      <c r="AA10" s="166"/>
    </row>
    <row r="11" spans="1:27" ht="11.5" customHeight="1" outlineLevel="1" x14ac:dyDescent="0.25">
      <c r="B11" s="537" t="s">
        <v>212</v>
      </c>
      <c r="C11" s="538"/>
      <c r="D11" s="168">
        <v>825.04072039999994</v>
      </c>
      <c r="E11" s="169">
        <v>756.41274469999996</v>
      </c>
      <c r="F11" s="145">
        <v>751.42361938775582</v>
      </c>
      <c r="G11" s="145">
        <v>-23.634746938775539</v>
      </c>
      <c r="H11" s="145">
        <v>445.08928844052622</v>
      </c>
      <c r="I11" s="145">
        <v>727.78887244898067</v>
      </c>
      <c r="J11" s="145">
        <v>53.993576530612195</v>
      </c>
      <c r="K11" s="145">
        <v>27.488377551020463</v>
      </c>
      <c r="L11" s="145">
        <v>15.52916020408167</v>
      </c>
      <c r="M11" s="145">
        <v>10.976038775510204</v>
      </c>
      <c r="N11" s="145">
        <v>5.8024081632653113</v>
      </c>
      <c r="O11" s="145">
        <v>0</v>
      </c>
      <c r="P11" s="145">
        <v>59.795984693877585</v>
      </c>
      <c r="Q11" s="146">
        <v>787.58485714285769</v>
      </c>
      <c r="R11" s="147">
        <v>1.0412104537651872</v>
      </c>
      <c r="S11" s="148"/>
      <c r="T11" s="149">
        <v>299.42854897959188</v>
      </c>
      <c r="U11" s="150">
        <v>488.15630816326575</v>
      </c>
      <c r="V11" s="151">
        <v>328.25734693877587</v>
      </c>
      <c r="W11" s="152">
        <v>59.936302040816386</v>
      </c>
      <c r="X11" s="151">
        <v>74.080228571428563</v>
      </c>
      <c r="Y11" s="151">
        <v>25.882430612244931</v>
      </c>
      <c r="Z11" s="153"/>
      <c r="AA11" s="153"/>
    </row>
    <row r="12" spans="1:27" ht="11.5" customHeight="1" outlineLevel="1" x14ac:dyDescent="0.25">
      <c r="A12" s="8" t="s">
        <v>43</v>
      </c>
      <c r="B12" s="154"/>
      <c r="C12" s="155" t="s">
        <v>44</v>
      </c>
      <c r="D12" s="156">
        <v>742.45329979999997</v>
      </c>
      <c r="E12" s="157">
        <v>632.59048859999996</v>
      </c>
      <c r="F12" s="158">
        <v>629.46126530612298</v>
      </c>
      <c r="G12" s="158">
        <v>-20.7078397959184</v>
      </c>
      <c r="H12" s="158">
        <v>407.61833565972103</v>
      </c>
      <c r="I12" s="158">
        <v>608.75342551020503</v>
      </c>
      <c r="J12" s="158">
        <v>41.695237755101999</v>
      </c>
      <c r="K12" s="158">
        <v>19.895315306122502</v>
      </c>
      <c r="L12" s="158">
        <v>13.0494204081633</v>
      </c>
      <c r="M12" s="158">
        <v>8.7505020408163308</v>
      </c>
      <c r="N12" s="158">
        <v>3.9507714285714299</v>
      </c>
      <c r="O12" s="158">
        <v>0</v>
      </c>
      <c r="P12" s="158">
        <v>45.646009183673499</v>
      </c>
      <c r="Q12" s="159">
        <v>654.39943469387799</v>
      </c>
      <c r="R12" s="160">
        <v>1.0344756149308281</v>
      </c>
      <c r="S12" s="161"/>
      <c r="T12" s="162">
        <v>252.60155612244901</v>
      </c>
      <c r="U12" s="163">
        <v>401.79787857142895</v>
      </c>
      <c r="V12" s="164">
        <v>262.37028265306157</v>
      </c>
      <c r="W12" s="165">
        <v>49.501254081632702</v>
      </c>
      <c r="X12" s="164">
        <v>66.556269387755094</v>
      </c>
      <c r="Y12" s="164">
        <v>22.8127510204082</v>
      </c>
      <c r="Z12" s="166"/>
      <c r="AA12" s="166"/>
    </row>
    <row r="13" spans="1:27" ht="11.5" customHeight="1" outlineLevel="1" x14ac:dyDescent="0.25">
      <c r="A13" s="8" t="s">
        <v>45</v>
      </c>
      <c r="C13" s="167" t="s">
        <v>46</v>
      </c>
      <c r="D13" s="156">
        <v>26.043029900000001</v>
      </c>
      <c r="E13" s="157">
        <v>58.8</v>
      </c>
      <c r="F13" s="158">
        <v>51.238556122448998</v>
      </c>
      <c r="G13" s="158">
        <v>-0.90886632653061195</v>
      </c>
      <c r="H13" s="158">
        <v>14.808949999999999</v>
      </c>
      <c r="I13" s="158">
        <v>50.329689795918398</v>
      </c>
      <c r="J13" s="158">
        <v>5.0670326530612204</v>
      </c>
      <c r="K13" s="158">
        <v>3.3821408163265301</v>
      </c>
      <c r="L13" s="158">
        <v>0.79099693877551003</v>
      </c>
      <c r="M13" s="158">
        <v>0.89389489795918398</v>
      </c>
      <c r="N13" s="158">
        <v>1.7594642857142899</v>
      </c>
      <c r="O13" s="158">
        <v>0</v>
      </c>
      <c r="P13" s="158">
        <v>6.8264969387755103</v>
      </c>
      <c r="Q13" s="159">
        <v>57.156186734693897</v>
      </c>
      <c r="R13" s="160">
        <v>0.97204399208663095</v>
      </c>
      <c r="S13" s="161"/>
      <c r="T13" s="162">
        <v>20.153694897959198</v>
      </c>
      <c r="U13" s="163">
        <v>37.002491836734684</v>
      </c>
      <c r="V13" s="164">
        <v>25.3028051020408</v>
      </c>
      <c r="W13" s="165">
        <v>6.8766704081632701</v>
      </c>
      <c r="X13" s="164">
        <v>3.5282816326530599</v>
      </c>
      <c r="Y13" s="164">
        <v>1.2947346938775499</v>
      </c>
      <c r="Z13" s="166"/>
      <c r="AA13" s="166"/>
    </row>
    <row r="14" spans="1:27" ht="11.5" customHeight="1" outlineLevel="1" x14ac:dyDescent="0.25">
      <c r="A14" s="8" t="s">
        <v>47</v>
      </c>
      <c r="B14" s="154"/>
      <c r="C14" s="155" t="s">
        <v>48</v>
      </c>
      <c r="D14" s="156">
        <v>56.544390700000001</v>
      </c>
      <c r="E14" s="157">
        <v>65.022256100000007</v>
      </c>
      <c r="F14" s="158">
        <v>70.723797959183798</v>
      </c>
      <c r="G14" s="158">
        <v>-2.01804081632653</v>
      </c>
      <c r="H14" s="158">
        <v>22.662002780805199</v>
      </c>
      <c r="I14" s="158">
        <v>68.705757142857195</v>
      </c>
      <c r="J14" s="158">
        <v>7.2313061224489799</v>
      </c>
      <c r="K14" s="158">
        <v>4.2109214285714298</v>
      </c>
      <c r="L14" s="158">
        <v>1.68874285714286</v>
      </c>
      <c r="M14" s="158">
        <v>1.3316418367346901</v>
      </c>
      <c r="N14" s="158">
        <v>9.2172448979591801E-2</v>
      </c>
      <c r="O14" s="158">
        <v>0</v>
      </c>
      <c r="P14" s="158">
        <v>7.3234785714285699</v>
      </c>
      <c r="Q14" s="159">
        <v>76.029235714285804</v>
      </c>
      <c r="R14" s="160">
        <v>1.1692801861159321</v>
      </c>
      <c r="S14" s="161"/>
      <c r="T14" s="162">
        <v>26.673297959183699</v>
      </c>
      <c r="U14" s="163">
        <v>49.355937755102097</v>
      </c>
      <c r="V14" s="164">
        <v>40.026937755102097</v>
      </c>
      <c r="W14" s="165">
        <v>3.5583775510204099</v>
      </c>
      <c r="X14" s="164">
        <v>3.9956775510204099</v>
      </c>
      <c r="Y14" s="164">
        <v>1.77494489795918</v>
      </c>
      <c r="Z14" s="166"/>
      <c r="AA14" s="166"/>
    </row>
    <row r="15" spans="1:27" ht="11.5" customHeight="1" outlineLevel="1" x14ac:dyDescent="0.25">
      <c r="B15" s="38" t="s">
        <v>213</v>
      </c>
      <c r="C15" s="170"/>
      <c r="D15" s="168">
        <v>43.373152599999997</v>
      </c>
      <c r="E15" s="169">
        <v>28.000000000000004</v>
      </c>
      <c r="F15" s="145">
        <v>29.495290816326541</v>
      </c>
      <c r="G15" s="145">
        <v>-1.131638775510204</v>
      </c>
      <c r="H15" s="145">
        <v>22.203605767279001</v>
      </c>
      <c r="I15" s="145">
        <v>28.363652040816309</v>
      </c>
      <c r="J15" s="145">
        <v>1.0825412551020399</v>
      </c>
      <c r="K15" s="145">
        <v>0</v>
      </c>
      <c r="L15" s="145">
        <v>0.732267</v>
      </c>
      <c r="M15" s="145">
        <v>0.35027425510204102</v>
      </c>
      <c r="N15" s="145">
        <v>0</v>
      </c>
      <c r="O15" s="145">
        <v>0</v>
      </c>
      <c r="P15" s="145">
        <v>1.0825412551020399</v>
      </c>
      <c r="Q15" s="146">
        <v>29.446193295918381</v>
      </c>
      <c r="R15" s="147">
        <v>1.0516497605685136</v>
      </c>
      <c r="S15" s="148"/>
      <c r="T15" s="149">
        <v>20.116704520408213</v>
      </c>
      <c r="U15" s="150">
        <v>9.3294887755102103</v>
      </c>
      <c r="V15" s="151">
        <v>3.6616122448979613</v>
      </c>
      <c r="W15" s="152">
        <v>4.6389112244898003</v>
      </c>
      <c r="X15" s="151">
        <v>1.02896530612245</v>
      </c>
      <c r="Y15" s="151">
        <v>0</v>
      </c>
      <c r="Z15" s="153"/>
      <c r="AA15" s="153"/>
    </row>
    <row r="16" spans="1:27" ht="11.5" customHeight="1" outlineLevel="1" x14ac:dyDescent="0.25">
      <c r="A16" s="8" t="s">
        <v>49</v>
      </c>
      <c r="B16" s="154"/>
      <c r="C16" s="155" t="s">
        <v>50</v>
      </c>
      <c r="D16" s="156">
        <v>43.373152599999997</v>
      </c>
      <c r="E16" s="157">
        <v>28.000000000000004</v>
      </c>
      <c r="F16" s="158">
        <v>28.805072448979601</v>
      </c>
      <c r="G16" s="158">
        <v>-0.57431734693877501</v>
      </c>
      <c r="H16" s="158">
        <v>22.203605767279001</v>
      </c>
      <c r="I16" s="158">
        <v>28.230755102040799</v>
      </c>
      <c r="J16" s="158">
        <v>0.85961268367346899</v>
      </c>
      <c r="K16" s="158">
        <v>0</v>
      </c>
      <c r="L16" s="158">
        <v>0.50933842857142897</v>
      </c>
      <c r="M16" s="158">
        <v>0.35027425510204102</v>
      </c>
      <c r="N16" s="158">
        <v>0</v>
      </c>
      <c r="O16" s="158">
        <v>0</v>
      </c>
      <c r="P16" s="158">
        <v>0.85961268367346899</v>
      </c>
      <c r="Q16" s="159">
        <v>29.090367785714299</v>
      </c>
      <c r="R16" s="160">
        <v>1.0389417066326534</v>
      </c>
      <c r="S16" s="161"/>
      <c r="T16" s="162">
        <v>19.203557581632701</v>
      </c>
      <c r="U16" s="163">
        <v>9.8868102040816392</v>
      </c>
      <c r="V16" s="164">
        <v>4.0189336734693901</v>
      </c>
      <c r="W16" s="165">
        <v>4.6389112244898003</v>
      </c>
      <c r="X16" s="164">
        <v>1.02896530612245</v>
      </c>
      <c r="Y16" s="164">
        <v>0</v>
      </c>
      <c r="Z16" s="166"/>
      <c r="AA16" s="166"/>
    </row>
    <row r="17" spans="1:27" ht="11.5" customHeight="1" outlineLevel="1" x14ac:dyDescent="0.25">
      <c r="A17" s="8" t="s">
        <v>51</v>
      </c>
      <c r="C17" s="167" t="s">
        <v>214</v>
      </c>
      <c r="D17" s="156">
        <v>0</v>
      </c>
      <c r="E17" s="157">
        <v>0</v>
      </c>
      <c r="F17" s="158">
        <v>0.69021836734693898</v>
      </c>
      <c r="G17" s="158">
        <v>-0.55732142857142897</v>
      </c>
      <c r="H17" s="158">
        <v>0</v>
      </c>
      <c r="I17" s="158">
        <v>0.13289693877551001</v>
      </c>
      <c r="J17" s="158">
        <v>0.222928571428571</v>
      </c>
      <c r="K17" s="158">
        <v>0</v>
      </c>
      <c r="L17" s="158">
        <v>0.222928571428571</v>
      </c>
      <c r="M17" s="158">
        <v>0</v>
      </c>
      <c r="N17" s="158">
        <v>0</v>
      </c>
      <c r="O17" s="158">
        <v>0</v>
      </c>
      <c r="P17" s="158">
        <v>0.222928571428571</v>
      </c>
      <c r="Q17" s="159">
        <v>0.35582551020408199</v>
      </c>
      <c r="R17" s="160">
        <v>0</v>
      </c>
      <c r="S17" s="161"/>
      <c r="T17" s="162">
        <v>0.91314693877551001</v>
      </c>
      <c r="U17" s="163">
        <v>-0.55732142857142897</v>
      </c>
      <c r="V17" s="164"/>
      <c r="W17" s="165">
        <v>0</v>
      </c>
      <c r="X17" s="164">
        <v>0</v>
      </c>
      <c r="Y17" s="164">
        <v>0</v>
      </c>
      <c r="Z17" s="166"/>
      <c r="AA17" s="166"/>
    </row>
    <row r="18" spans="1:27" ht="11.5" customHeight="1" outlineLevel="1" x14ac:dyDescent="0.25">
      <c r="A18" s="8" t="s">
        <v>53</v>
      </c>
      <c r="B18" s="154"/>
      <c r="C18" s="155" t="s">
        <v>54</v>
      </c>
      <c r="D18" s="156">
        <v>0</v>
      </c>
      <c r="E18" s="157">
        <v>0</v>
      </c>
      <c r="F18" s="158">
        <v>0</v>
      </c>
      <c r="G18" s="158">
        <v>0</v>
      </c>
      <c r="H18" s="158">
        <v>0</v>
      </c>
      <c r="I18" s="158">
        <v>0</v>
      </c>
      <c r="J18" s="158">
        <v>0</v>
      </c>
      <c r="K18" s="158">
        <v>0</v>
      </c>
      <c r="L18" s="158">
        <v>0</v>
      </c>
      <c r="M18" s="158">
        <v>0</v>
      </c>
      <c r="N18" s="158">
        <v>0</v>
      </c>
      <c r="O18" s="158">
        <v>0</v>
      </c>
      <c r="P18" s="158">
        <v>0</v>
      </c>
      <c r="Q18" s="159">
        <v>0</v>
      </c>
      <c r="R18" s="160">
        <v>0</v>
      </c>
      <c r="S18" s="161"/>
      <c r="T18" s="162">
        <v>0</v>
      </c>
      <c r="U18" s="163">
        <v>0</v>
      </c>
      <c r="V18" s="164">
        <v>0</v>
      </c>
      <c r="W18" s="165">
        <v>0</v>
      </c>
      <c r="X18" s="164">
        <v>0</v>
      </c>
      <c r="Y18" s="164">
        <v>0</v>
      </c>
      <c r="Z18" s="166"/>
      <c r="AA18" s="166"/>
    </row>
    <row r="19" spans="1:27" ht="11.5" customHeight="1" thickBot="1" x14ac:dyDescent="0.3">
      <c r="B19" s="535" t="s">
        <v>55</v>
      </c>
      <c r="C19" s="536"/>
      <c r="D19" s="171">
        <v>2040.2198241999999</v>
      </c>
      <c r="E19" s="172">
        <v>2274.3344661000001</v>
      </c>
      <c r="F19" s="173">
        <v>2218.947529591841</v>
      </c>
      <c r="G19" s="173">
        <v>-67.957554081632637</v>
      </c>
      <c r="H19" s="173">
        <v>1228.258307368204</v>
      </c>
      <c r="I19" s="173">
        <v>2150.9899755102078</v>
      </c>
      <c r="J19" s="173">
        <v>242.79319839795909</v>
      </c>
      <c r="K19" s="173">
        <v>121.56664897959193</v>
      </c>
      <c r="L19" s="173">
        <v>91.545641489795983</v>
      </c>
      <c r="M19" s="173">
        <v>29.680907928571436</v>
      </c>
      <c r="N19" s="173">
        <v>6.1968428571428626</v>
      </c>
      <c r="O19" s="173">
        <v>0</v>
      </c>
      <c r="P19" s="173">
        <v>248.99004125510248</v>
      </c>
      <c r="Q19" s="174">
        <v>2399.9800167653066</v>
      </c>
      <c r="R19" s="175">
        <v>1.0552449749753658</v>
      </c>
      <c r="S19" s="148"/>
      <c r="T19" s="176">
        <v>916.76358615306162</v>
      </c>
      <c r="U19" s="177">
        <v>1483.2164306122459</v>
      </c>
      <c r="V19" s="178">
        <v>921.23447653061316</v>
      </c>
      <c r="W19" s="179">
        <v>248.91354897959209</v>
      </c>
      <c r="X19" s="178">
        <v>208.5135408163265</v>
      </c>
      <c r="Y19" s="178">
        <v>104.55486428571429</v>
      </c>
      <c r="Z19" s="153"/>
      <c r="AA19" s="153"/>
    </row>
    <row r="20" spans="1:27" ht="11.5" customHeight="1" thickTop="1" x14ac:dyDescent="0.25"/>
    <row r="21" spans="1:27" s="97" customFormat="1" ht="11.5" customHeight="1" thickBot="1" x14ac:dyDescent="0.35">
      <c r="B21" s="129" t="s">
        <v>274</v>
      </c>
      <c r="U21" s="130"/>
      <c r="W21" s="130"/>
    </row>
    <row r="22" spans="1:27" ht="23.15" customHeight="1" thickTop="1" thickBot="1" x14ac:dyDescent="0.3">
      <c r="B22" s="133" t="s">
        <v>23</v>
      </c>
      <c r="C22" s="134" t="s">
        <v>188</v>
      </c>
      <c r="D22" s="137" t="s">
        <v>202</v>
      </c>
      <c r="E22" s="180" t="s">
        <v>204</v>
      </c>
      <c r="F22" s="137" t="s">
        <v>205</v>
      </c>
      <c r="G22" s="135" t="s">
        <v>206</v>
      </c>
      <c r="H22" s="181" t="s">
        <v>207</v>
      </c>
      <c r="I22" s="181" t="s">
        <v>208</v>
      </c>
      <c r="J22" s="182" t="s">
        <v>209</v>
      </c>
    </row>
    <row r="23" spans="1:27" ht="11.5" customHeight="1" thickTop="1" x14ac:dyDescent="0.25">
      <c r="A23" s="8" t="s">
        <v>30</v>
      </c>
      <c r="B23" s="154"/>
      <c r="C23" s="155" t="s">
        <v>31</v>
      </c>
      <c r="D23" s="183">
        <f>Q6/$Q$19</f>
        <v>0.20366582079245704</v>
      </c>
      <c r="E23" s="184">
        <f>T6/$T$19</f>
        <v>0.20795030610598206</v>
      </c>
      <c r="F23" s="183">
        <f>U6/$U$19</f>
        <v>0.20101761649820793</v>
      </c>
      <c r="G23" s="185">
        <f>V6/$V$19</f>
        <v>0.1919292906380512</v>
      </c>
      <c r="H23" s="186">
        <f>W6/$W$19</f>
        <v>0.23025417012458491</v>
      </c>
      <c r="I23" s="186">
        <f>X6/$X$19</f>
        <v>0.1885079210095838</v>
      </c>
      <c r="J23" s="187">
        <f>Y6/$Y$19</f>
        <v>0.23643964797819655</v>
      </c>
    </row>
    <row r="24" spans="1:27" ht="11.5" customHeight="1" x14ac:dyDescent="0.25">
      <c r="A24" s="8" t="s">
        <v>35</v>
      </c>
      <c r="C24" s="167" t="s">
        <v>36</v>
      </c>
      <c r="D24" s="188">
        <f>Q7/$Q$19</f>
        <v>-5.0017423265182862E-6</v>
      </c>
      <c r="E24" s="189">
        <f>T7/$T$19</f>
        <v>7.5754513639944671E-5</v>
      </c>
      <c r="F24" s="188">
        <f>U7/$U$19</f>
        <v>-5.4916504121294955E-5</v>
      </c>
      <c r="G24" s="190">
        <f>V7/$V$19</f>
        <v>0</v>
      </c>
      <c r="H24" s="191">
        <f>W7/$W$19</f>
        <v>0</v>
      </c>
      <c r="I24" s="191">
        <f>X7/$X$19</f>
        <v>0</v>
      </c>
      <c r="J24" s="192">
        <f>Y7/$Y$19</f>
        <v>0</v>
      </c>
    </row>
    <row r="25" spans="1:27" ht="11.5" customHeight="1" x14ac:dyDescent="0.25">
      <c r="A25" s="8" t="s">
        <v>37</v>
      </c>
      <c r="B25" s="154"/>
      <c r="C25" s="155" t="s">
        <v>38</v>
      </c>
      <c r="D25" s="183">
        <f>Q8/$Q$19</f>
        <v>6.0945409663561165E-3</v>
      </c>
      <c r="E25" s="184">
        <f>T8/$T$19</f>
        <v>8.8463151398366063E-3</v>
      </c>
      <c r="F25" s="183">
        <f>U8/$U$19</f>
        <v>4.3936925213844159E-3</v>
      </c>
      <c r="G25" s="185">
        <f>V8/$V$19</f>
        <v>2.326964140454088E-3</v>
      </c>
      <c r="H25" s="186">
        <f>W8/$W$19</f>
        <v>1.5157414008809343E-2</v>
      </c>
      <c r="I25" s="186">
        <f>X8/$X$19</f>
        <v>0</v>
      </c>
      <c r="J25" s="187">
        <f>Y8/$Y$19</f>
        <v>5.7408293411660314E-3</v>
      </c>
    </row>
    <row r="26" spans="1:27" ht="11.5" customHeight="1" x14ac:dyDescent="0.25">
      <c r="A26" s="8" t="s">
        <v>39</v>
      </c>
      <c r="C26" s="167" t="s">
        <v>40</v>
      </c>
      <c r="D26" s="188">
        <f>Q9/$Q$19</f>
        <v>0.44981220107513836</v>
      </c>
      <c r="E26" s="189">
        <f>T9/$T$19</f>
        <v>0.43456965539616238</v>
      </c>
      <c r="F26" s="188">
        <f>U9/$U$19</f>
        <v>0.45923349020756327</v>
      </c>
      <c r="G26" s="190">
        <f>V9/$V$19</f>
        <v>0.44562255836510972</v>
      </c>
      <c r="H26" s="191">
        <f>W9/$W$19</f>
        <v>0.49516013833800659</v>
      </c>
      <c r="I26" s="191">
        <f>X9/$X$19</f>
        <v>0.45127953076213351</v>
      </c>
      <c r="J26" s="192">
        <f>Y9/$Y$19</f>
        <v>0.51027072818823871</v>
      </c>
    </row>
    <row r="27" spans="1:27" ht="11.5" customHeight="1" x14ac:dyDescent="0.25">
      <c r="A27" s="8" t="s">
        <v>41</v>
      </c>
      <c r="B27" s="154"/>
      <c r="C27" s="155" t="s">
        <v>211</v>
      </c>
      <c r="D27" s="183">
        <f>Q10/$Q$19</f>
        <v>0</v>
      </c>
      <c r="E27" s="184">
        <f>T10/$T$19</f>
        <v>0</v>
      </c>
      <c r="F27" s="183">
        <f>U10/$U$19</f>
        <v>0</v>
      </c>
      <c r="G27" s="185">
        <f>V10/$V$19</f>
        <v>0</v>
      </c>
      <c r="H27" s="186">
        <f>W10/$W$19</f>
        <v>0</v>
      </c>
      <c r="I27" s="186">
        <f>X10/$X$19</f>
        <v>0</v>
      </c>
      <c r="J27" s="187">
        <f>Y10/$Y$19</f>
        <v>0</v>
      </c>
    </row>
    <row r="28" spans="1:27" ht="11.5" customHeight="1" x14ac:dyDescent="0.25">
      <c r="A28" s="8" t="s">
        <v>43</v>
      </c>
      <c r="B28" s="154"/>
      <c r="C28" s="155" t="s">
        <v>44</v>
      </c>
      <c r="D28" s="183">
        <f>Q12/$Q$19</f>
        <v>0.27266870145688865</v>
      </c>
      <c r="E28" s="184">
        <f>T12/$T$19</f>
        <v>0.27553620141308166</v>
      </c>
      <c r="F28" s="183">
        <f>U12/$U$19</f>
        <v>0.27089632388010548</v>
      </c>
      <c r="G28" s="185">
        <f>V12/$V$19</f>
        <v>0.28480293490659742</v>
      </c>
      <c r="H28" s="186">
        <f>W12/$W$19</f>
        <v>0.19886926318217898</v>
      </c>
      <c r="I28" s="186">
        <f>X12/$X$19</f>
        <v>0.31919399156135653</v>
      </c>
      <c r="J28" s="187">
        <f>Y12/$Y$19</f>
        <v>0.2181892844130944</v>
      </c>
    </row>
    <row r="29" spans="1:27" ht="11.5" customHeight="1" x14ac:dyDescent="0.25">
      <c r="A29" s="8" t="s">
        <v>45</v>
      </c>
      <c r="C29" s="167" t="s">
        <v>46</v>
      </c>
      <c r="D29" s="188">
        <f>Q13/$Q$19</f>
        <v>2.3815276100393957E-2</v>
      </c>
      <c r="E29" s="189">
        <f>T13/$T$19</f>
        <v>2.1983524653862468E-2</v>
      </c>
      <c r="F29" s="188">
        <f>U13/$U$19</f>
        <v>2.4947466245004244E-2</v>
      </c>
      <c r="G29" s="190">
        <f>V13/$V$19</f>
        <v>2.7466194271551423E-2</v>
      </c>
      <c r="H29" s="191">
        <f>W13/$W$19</f>
        <v>2.7626742040976943E-2</v>
      </c>
      <c r="I29" s="191">
        <f>X13/$X$19</f>
        <v>1.6921115141203327E-2</v>
      </c>
      <c r="J29" s="192">
        <f>Y13/$Y$19</f>
        <v>1.2383304236706414E-2</v>
      </c>
    </row>
    <row r="30" spans="1:27" ht="11.5" customHeight="1" x14ac:dyDescent="0.25">
      <c r="A30" s="8" t="s">
        <v>47</v>
      </c>
      <c r="B30" s="154"/>
      <c r="C30" s="155" t="s">
        <v>48</v>
      </c>
      <c r="D30" s="183">
        <f>Q14/$Q$19</f>
        <v>3.1679111985589786E-2</v>
      </c>
      <c r="E30" s="184">
        <f>T14/$T$19</f>
        <v>2.9095066996618648E-2</v>
      </c>
      <c r="F30" s="183">
        <f>U14/$U$19</f>
        <v>3.3276288434000711E-2</v>
      </c>
      <c r="G30" s="185">
        <f>V14/$V$19</f>
        <v>4.3449239878477319E-2</v>
      </c>
      <c r="H30" s="186">
        <f>W14/$W$19</f>
        <v>1.4295636238395982E-2</v>
      </c>
      <c r="I30" s="186">
        <f>X14/$X$19</f>
        <v>1.9162676607847189E-2</v>
      </c>
      <c r="J30" s="187">
        <f>Y14/$Y$19</f>
        <v>1.6976205842597961E-2</v>
      </c>
    </row>
    <row r="31" spans="1:27" ht="11.5" customHeight="1" x14ac:dyDescent="0.25">
      <c r="A31" s="8" t="s">
        <v>49</v>
      </c>
      <c r="B31" s="154"/>
      <c r="C31" s="155" t="s">
        <v>50</v>
      </c>
      <c r="D31" s="183">
        <f>Q16/$Q$19</f>
        <v>1.2121087501771079E-2</v>
      </c>
      <c r="E31" s="184">
        <f>T16/$T$19</f>
        <v>2.0947120797211182E-2</v>
      </c>
      <c r="F31" s="183">
        <f>U16/$U$19</f>
        <v>6.6657906425703064E-3</v>
      </c>
      <c r="G31" s="185">
        <f>V16/$V$19</f>
        <v>4.3625523966545109E-3</v>
      </c>
      <c r="H31" s="186">
        <f>W16/$W$19</f>
        <v>1.8636636067047258E-2</v>
      </c>
      <c r="I31" s="186">
        <f>X16/$X$19</f>
        <v>4.9347649178756959E-3</v>
      </c>
      <c r="J31" s="187">
        <f>Y16/$Y$19</f>
        <v>0</v>
      </c>
    </row>
    <row r="32" spans="1:27" ht="11.5" customHeight="1" x14ac:dyDescent="0.25">
      <c r="A32" s="8" t="s">
        <v>51</v>
      </c>
      <c r="C32" s="167" t="s">
        <v>214</v>
      </c>
      <c r="D32" s="188">
        <f>Q17/$Q$19</f>
        <v>1.4826186373154208E-4</v>
      </c>
      <c r="E32" s="189">
        <f>T17/$T$19</f>
        <v>9.9605498360517595E-4</v>
      </c>
      <c r="F32" s="188">
        <f>U17/$U$19</f>
        <v>-3.7575192471497664E-4</v>
      </c>
      <c r="G32" s="190">
        <f>V17/$V$19</f>
        <v>0</v>
      </c>
      <c r="H32" s="191">
        <f>W17/$W$19</f>
        <v>0</v>
      </c>
      <c r="I32" s="191">
        <f>X17/$X$19</f>
        <v>0</v>
      </c>
      <c r="J32" s="192">
        <f>Y17/$Y$19</f>
        <v>0</v>
      </c>
    </row>
    <row r="33" spans="1:23" ht="11.5" customHeight="1" x14ac:dyDescent="0.25">
      <c r="A33" s="8" t="s">
        <v>53</v>
      </c>
      <c r="B33" s="154"/>
      <c r="C33" s="155" t="s">
        <v>54</v>
      </c>
      <c r="D33" s="183">
        <f>Q18/$Q$19</f>
        <v>0</v>
      </c>
      <c r="E33" s="184">
        <f>T18/$T$19</f>
        <v>0</v>
      </c>
      <c r="F33" s="183">
        <f>U18/$U$19</f>
        <v>0</v>
      </c>
      <c r="G33" s="185">
        <f>V18/$V$19</f>
        <v>0</v>
      </c>
      <c r="H33" s="186">
        <f>W18/$W$19</f>
        <v>0</v>
      </c>
      <c r="I33" s="186">
        <f>X18/$X$19</f>
        <v>0</v>
      </c>
      <c r="J33" s="187">
        <f>Y18/$Y$19</f>
        <v>0</v>
      </c>
    </row>
    <row r="34" spans="1:23" ht="11.5" customHeight="1" thickBot="1" x14ac:dyDescent="0.3">
      <c r="B34" s="535" t="s">
        <v>55</v>
      </c>
      <c r="C34" s="536"/>
      <c r="D34" s="193">
        <f>Q19/$Q$19</f>
        <v>1</v>
      </c>
      <c r="E34" s="194">
        <f>T19/$T$19</f>
        <v>1</v>
      </c>
      <c r="F34" s="193">
        <f>U19/$U$19</f>
        <v>1</v>
      </c>
      <c r="G34" s="195">
        <f>V19/$V$19</f>
        <v>1</v>
      </c>
      <c r="H34" s="196">
        <f>W19/$W$19</f>
        <v>1</v>
      </c>
      <c r="I34" s="196">
        <f>X19/$X$19</f>
        <v>1</v>
      </c>
      <c r="J34" s="197">
        <f>Y19/$Y$19</f>
        <v>1</v>
      </c>
    </row>
    <row r="35" spans="1:23" ht="11.5" customHeight="1" thickTop="1" x14ac:dyDescent="0.25"/>
    <row r="36" spans="1:23" s="97" customFormat="1" ht="11.5" customHeight="1" x14ac:dyDescent="0.3">
      <c r="B36" s="198" t="s">
        <v>277</v>
      </c>
      <c r="C36" s="199"/>
      <c r="D36" s="199"/>
      <c r="E36" s="199"/>
      <c r="F36" s="199"/>
      <c r="G36" s="200" t="s">
        <v>215</v>
      </c>
      <c r="H36" s="201" t="s">
        <v>216</v>
      </c>
      <c r="I36" s="201" t="s">
        <v>216</v>
      </c>
      <c r="J36" s="202" t="s">
        <v>216</v>
      </c>
      <c r="U36" s="130"/>
      <c r="W36" s="130"/>
    </row>
    <row r="37" spans="1:23" ht="23.15" customHeight="1" thickBot="1" x14ac:dyDescent="0.3">
      <c r="B37" s="139" t="s">
        <v>23</v>
      </c>
      <c r="C37" s="203" t="s">
        <v>188</v>
      </c>
      <c r="D37" s="204" t="s">
        <v>202</v>
      </c>
      <c r="E37" s="205" t="s">
        <v>204</v>
      </c>
      <c r="F37" s="204" t="s">
        <v>205</v>
      </c>
      <c r="G37" s="206" t="s">
        <v>206</v>
      </c>
      <c r="H37" s="204" t="s">
        <v>207</v>
      </c>
      <c r="I37" s="204" t="s">
        <v>208</v>
      </c>
      <c r="J37" s="207" t="s">
        <v>209</v>
      </c>
      <c r="L37" s="208" t="s">
        <v>217</v>
      </c>
      <c r="M37" s="208" t="s">
        <v>218</v>
      </c>
      <c r="N37" s="208" t="s">
        <v>219</v>
      </c>
      <c r="O37" s="208" t="s">
        <v>220</v>
      </c>
      <c r="Q37" s="209" t="s">
        <v>55</v>
      </c>
    </row>
    <row r="38" spans="1:23" ht="11.5" customHeight="1" outlineLevel="1" thickTop="1" x14ac:dyDescent="0.25">
      <c r="A38" s="8" t="s">
        <v>30</v>
      </c>
      <c r="B38" s="154"/>
      <c r="C38" s="155" t="s">
        <v>31</v>
      </c>
      <c r="D38" s="210"/>
      <c r="E38" s="211"/>
      <c r="F38" s="210">
        <f t="shared" ref="F38:F48" si="0">SUM(G38:J38)</f>
        <v>45215352.94034864</v>
      </c>
      <c r="G38" s="212">
        <f t="shared" ref="G38:G48" si="1">G23*$G$49</f>
        <v>39026563.778931223</v>
      </c>
      <c r="H38" s="210">
        <f t="shared" ref="H38:J48" si="2">H23*H$49</f>
        <v>2556784.3287519803</v>
      </c>
      <c r="I38" s="210">
        <f t="shared" si="2"/>
        <v>1917846.6465878414</v>
      </c>
      <c r="J38" s="213">
        <f t="shared" si="2"/>
        <v>1714158.186077598</v>
      </c>
      <c r="L38" s="210">
        <f t="shared" ref="L38:L48" si="3">G23*$L$49</f>
        <v>-15797376.319633977</v>
      </c>
      <c r="M38" s="214">
        <f t="shared" ref="M38:M48" si="4">$M$49*H23</f>
        <v>0</v>
      </c>
      <c r="N38" s="214">
        <f t="shared" ref="N38:N48" si="5">$N$49*I23</f>
        <v>0</v>
      </c>
      <c r="O38" s="214">
        <f t="shared" ref="O38:O48" si="6">$O$49*J23</f>
        <v>0</v>
      </c>
      <c r="Q38" s="211"/>
    </row>
    <row r="39" spans="1:23" ht="11.5" customHeight="1" outlineLevel="1" x14ac:dyDescent="0.25">
      <c r="A39" s="8" t="s">
        <v>35</v>
      </c>
      <c r="C39" s="167" t="s">
        <v>36</v>
      </c>
      <c r="D39" s="215"/>
      <c r="E39" s="216"/>
      <c r="F39" s="215">
        <f t="shared" si="0"/>
        <v>0</v>
      </c>
      <c r="G39" s="217">
        <f t="shared" si="1"/>
        <v>0</v>
      </c>
      <c r="H39" s="215">
        <f t="shared" si="2"/>
        <v>0</v>
      </c>
      <c r="I39" s="215">
        <f t="shared" si="2"/>
        <v>0</v>
      </c>
      <c r="J39" s="218">
        <f t="shared" si="2"/>
        <v>0</v>
      </c>
      <c r="L39" s="215">
        <f t="shared" si="3"/>
        <v>0</v>
      </c>
      <c r="M39" s="219">
        <f t="shared" si="4"/>
        <v>0</v>
      </c>
      <c r="N39" s="219">
        <f t="shared" si="5"/>
        <v>0</v>
      </c>
      <c r="O39" s="219">
        <f t="shared" si="6"/>
        <v>0</v>
      </c>
      <c r="Q39" s="216"/>
    </row>
    <row r="40" spans="1:23" ht="11.5" customHeight="1" outlineLevel="1" x14ac:dyDescent="0.25">
      <c r="A40" s="8" t="s">
        <v>37</v>
      </c>
      <c r="B40" s="154"/>
      <c r="C40" s="155" t="s">
        <v>38</v>
      </c>
      <c r="D40" s="210"/>
      <c r="E40" s="211"/>
      <c r="F40" s="210">
        <f t="shared" si="0"/>
        <v>683091.78198114096</v>
      </c>
      <c r="G40" s="212">
        <f t="shared" si="1"/>
        <v>473160.78820911876</v>
      </c>
      <c r="H40" s="210">
        <f t="shared" si="2"/>
        <v>168310.69153344969</v>
      </c>
      <c r="I40" s="210">
        <f t="shared" si="2"/>
        <v>0</v>
      </c>
      <c r="J40" s="213">
        <f t="shared" si="2"/>
        <v>41620.302238572454</v>
      </c>
      <c r="L40" s="210">
        <f t="shared" si="3"/>
        <v>-191528.49513923516</v>
      </c>
      <c r="M40" s="214">
        <f t="shared" si="4"/>
        <v>0</v>
      </c>
      <c r="N40" s="214">
        <f t="shared" si="5"/>
        <v>0</v>
      </c>
      <c r="O40" s="214">
        <f t="shared" si="6"/>
        <v>0</v>
      </c>
      <c r="Q40" s="211"/>
    </row>
    <row r="41" spans="1:23" ht="11.5" customHeight="1" outlineLevel="1" x14ac:dyDescent="0.25">
      <c r="A41" s="8" t="s">
        <v>39</v>
      </c>
      <c r="C41" s="167" t="s">
        <v>40</v>
      </c>
      <c r="D41" s="215"/>
      <c r="E41" s="216"/>
      <c r="F41" s="215">
        <f t="shared" si="0"/>
        <v>104401093.09193437</v>
      </c>
      <c r="G41" s="217">
        <f t="shared" si="1"/>
        <v>90612105.831013575</v>
      </c>
      <c r="H41" s="215">
        <f t="shared" si="2"/>
        <v>5498348.5477820728</v>
      </c>
      <c r="I41" s="215">
        <f t="shared" si="2"/>
        <v>4591239.0848652506</v>
      </c>
      <c r="J41" s="218">
        <f t="shared" si="2"/>
        <v>3699399.6282734526</v>
      </c>
      <c r="L41" s="215">
        <f t="shared" si="3"/>
        <v>-36678441.459398776</v>
      </c>
      <c r="M41" s="219">
        <f t="shared" si="4"/>
        <v>0</v>
      </c>
      <c r="N41" s="219">
        <f t="shared" si="5"/>
        <v>0</v>
      </c>
      <c r="O41" s="219">
        <f t="shared" si="6"/>
        <v>0</v>
      </c>
      <c r="Q41" s="216"/>
    </row>
    <row r="42" spans="1:23" ht="11.5" customHeight="1" outlineLevel="1" x14ac:dyDescent="0.25">
      <c r="A42" s="8" t="s">
        <v>41</v>
      </c>
      <c r="B42" s="154"/>
      <c r="C42" s="155" t="s">
        <v>211</v>
      </c>
      <c r="D42" s="210"/>
      <c r="E42" s="211"/>
      <c r="F42" s="210">
        <f t="shared" si="0"/>
        <v>0</v>
      </c>
      <c r="G42" s="212">
        <f t="shared" si="1"/>
        <v>0</v>
      </c>
      <c r="H42" s="210">
        <f t="shared" si="2"/>
        <v>0</v>
      </c>
      <c r="I42" s="210">
        <f t="shared" si="2"/>
        <v>0</v>
      </c>
      <c r="J42" s="213">
        <f t="shared" si="2"/>
        <v>0</v>
      </c>
      <c r="L42" s="210">
        <f t="shared" si="3"/>
        <v>0</v>
      </c>
      <c r="M42" s="214">
        <f t="shared" si="4"/>
        <v>0</v>
      </c>
      <c r="N42" s="214">
        <f t="shared" si="5"/>
        <v>0</v>
      </c>
      <c r="O42" s="214">
        <f t="shared" si="6"/>
        <v>0</v>
      </c>
      <c r="Q42" s="211"/>
    </row>
    <row r="43" spans="1:23" ht="11.5" customHeight="1" outlineLevel="1" x14ac:dyDescent="0.25">
      <c r="A43" s="8" t="s">
        <v>43</v>
      </c>
      <c r="B43" s="154"/>
      <c r="C43" s="155" t="s">
        <v>44</v>
      </c>
      <c r="D43" s="210"/>
      <c r="E43" s="211"/>
      <c r="F43" s="210">
        <f t="shared" si="0"/>
        <v>64948876.755023107</v>
      </c>
      <c r="G43" s="212">
        <f t="shared" si="1"/>
        <v>57911326.961136214</v>
      </c>
      <c r="H43" s="210">
        <f t="shared" si="2"/>
        <v>2208280.5940041388</v>
      </c>
      <c r="I43" s="210">
        <f t="shared" si="2"/>
        <v>3247423.890987651</v>
      </c>
      <c r="J43" s="213">
        <f t="shared" si="2"/>
        <v>1581845.3088950999</v>
      </c>
      <c r="L43" s="210">
        <f t="shared" si="3"/>
        <v>-23441649.39441378</v>
      </c>
      <c r="M43" s="214">
        <f t="shared" si="4"/>
        <v>0</v>
      </c>
      <c r="N43" s="214">
        <f t="shared" si="5"/>
        <v>0</v>
      </c>
      <c r="O43" s="214">
        <f t="shared" si="6"/>
        <v>0</v>
      </c>
      <c r="Q43" s="211"/>
    </row>
    <row r="44" spans="1:23" ht="11.5" customHeight="1" outlineLevel="1" x14ac:dyDescent="0.25">
      <c r="A44" s="8" t="s">
        <v>45</v>
      </c>
      <c r="C44" s="167" t="s">
        <v>46</v>
      </c>
      <c r="D44" s="215"/>
      <c r="E44" s="216"/>
      <c r="F44" s="215">
        <f t="shared" si="0"/>
        <v>6153629.825162719</v>
      </c>
      <c r="G44" s="217">
        <f t="shared" si="1"/>
        <v>5584927.54774296</v>
      </c>
      <c r="H44" s="215">
        <f t="shared" si="2"/>
        <v>306772.38577969786</v>
      </c>
      <c r="I44" s="215">
        <f t="shared" si="2"/>
        <v>172152.4684813307</v>
      </c>
      <c r="J44" s="218">
        <f t="shared" si="2"/>
        <v>89777.423158729958</v>
      </c>
      <c r="L44" s="215">
        <f t="shared" si="3"/>
        <v>-2260696.1424878556</v>
      </c>
      <c r="M44" s="219">
        <f t="shared" si="4"/>
        <v>0</v>
      </c>
      <c r="N44" s="219">
        <f t="shared" si="5"/>
        <v>0</v>
      </c>
      <c r="O44" s="219">
        <f t="shared" si="6"/>
        <v>0</v>
      </c>
      <c r="Q44" s="216"/>
    </row>
    <row r="45" spans="1:23" ht="11.5" customHeight="1" outlineLevel="1" x14ac:dyDescent="0.25">
      <c r="A45" s="8" t="s">
        <v>47</v>
      </c>
      <c r="B45" s="154"/>
      <c r="C45" s="155" t="s">
        <v>48</v>
      </c>
      <c r="D45" s="210"/>
      <c r="E45" s="211"/>
      <c r="F45" s="210">
        <f t="shared" si="0"/>
        <v>9311666.3477307428</v>
      </c>
      <c r="G45" s="212">
        <f t="shared" si="1"/>
        <v>8834891.8793289121</v>
      </c>
      <c r="H45" s="210">
        <f t="shared" si="2"/>
        <v>158741.35388771884</v>
      </c>
      <c r="I45" s="210">
        <f t="shared" si="2"/>
        <v>194957.72313004592</v>
      </c>
      <c r="J45" s="213">
        <f t="shared" si="2"/>
        <v>123075.39138406732</v>
      </c>
      <c r="L45" s="210">
        <f t="shared" si="3"/>
        <v>-3576233.6789790331</v>
      </c>
      <c r="M45" s="214">
        <f t="shared" si="4"/>
        <v>0</v>
      </c>
      <c r="N45" s="214">
        <f t="shared" si="5"/>
        <v>0</v>
      </c>
      <c r="O45" s="214">
        <f t="shared" si="6"/>
        <v>0</v>
      </c>
      <c r="Q45" s="211"/>
    </row>
    <row r="46" spans="1:23" ht="11.5" customHeight="1" outlineLevel="1" x14ac:dyDescent="0.25">
      <c r="A46" s="8" t="s">
        <v>49</v>
      </c>
      <c r="B46" s="154"/>
      <c r="C46" s="155" t="s">
        <v>50</v>
      </c>
      <c r="D46" s="210"/>
      <c r="E46" s="211"/>
      <c r="F46" s="210">
        <f t="shared" si="0"/>
        <v>1144223.7617035278</v>
      </c>
      <c r="G46" s="212">
        <f t="shared" si="1"/>
        <v>887073.71751840529</v>
      </c>
      <c r="H46" s="210">
        <f t="shared" si="2"/>
        <v>206944.60826094134</v>
      </c>
      <c r="I46" s="210">
        <f t="shared" si="2"/>
        <v>50205.43592418098</v>
      </c>
      <c r="J46" s="213">
        <f t="shared" si="2"/>
        <v>0</v>
      </c>
      <c r="L46" s="210">
        <f t="shared" si="3"/>
        <v>-359074.33250529203</v>
      </c>
      <c r="M46" s="214">
        <f t="shared" si="4"/>
        <v>0</v>
      </c>
      <c r="N46" s="214">
        <f t="shared" si="5"/>
        <v>0</v>
      </c>
      <c r="O46" s="214">
        <f t="shared" si="6"/>
        <v>0</v>
      </c>
      <c r="Q46" s="211"/>
    </row>
    <row r="47" spans="1:23" ht="11.5" customHeight="1" outlineLevel="1" x14ac:dyDescent="0.25">
      <c r="A47" s="8" t="s">
        <v>51</v>
      </c>
      <c r="C47" s="167" t="s">
        <v>214</v>
      </c>
      <c r="D47" s="215"/>
      <c r="E47" s="216"/>
      <c r="F47" s="215">
        <f t="shared" si="0"/>
        <v>0</v>
      </c>
      <c r="G47" s="217">
        <f t="shared" si="1"/>
        <v>0</v>
      </c>
      <c r="H47" s="215">
        <f t="shared" si="2"/>
        <v>0</v>
      </c>
      <c r="I47" s="215">
        <f t="shared" si="2"/>
        <v>0</v>
      </c>
      <c r="J47" s="218">
        <f t="shared" si="2"/>
        <v>0</v>
      </c>
      <c r="L47" s="215">
        <f t="shared" si="3"/>
        <v>0</v>
      </c>
      <c r="M47" s="219">
        <f t="shared" si="4"/>
        <v>0</v>
      </c>
      <c r="N47" s="219">
        <f t="shared" si="5"/>
        <v>0</v>
      </c>
      <c r="O47" s="219">
        <f t="shared" si="6"/>
        <v>0</v>
      </c>
      <c r="Q47" s="216"/>
    </row>
    <row r="48" spans="1:23" ht="11.5" customHeight="1" outlineLevel="1" x14ac:dyDescent="0.25">
      <c r="A48" s="8" t="s">
        <v>53</v>
      </c>
      <c r="B48" s="154"/>
      <c r="C48" s="155" t="s">
        <v>54</v>
      </c>
      <c r="D48" s="210"/>
      <c r="E48" s="211"/>
      <c r="F48" s="210">
        <f t="shared" si="0"/>
        <v>0</v>
      </c>
      <c r="G48" s="212">
        <f t="shared" si="1"/>
        <v>0</v>
      </c>
      <c r="H48" s="210">
        <f t="shared" si="2"/>
        <v>0</v>
      </c>
      <c r="I48" s="210">
        <f t="shared" si="2"/>
        <v>0</v>
      </c>
      <c r="J48" s="213">
        <f t="shared" si="2"/>
        <v>0</v>
      </c>
      <c r="L48" s="210">
        <f t="shared" si="3"/>
        <v>0</v>
      </c>
      <c r="M48" s="214">
        <f t="shared" si="4"/>
        <v>0</v>
      </c>
      <c r="N48" s="214">
        <f t="shared" si="5"/>
        <v>0</v>
      </c>
      <c r="O48" s="214">
        <f t="shared" si="6"/>
        <v>0</v>
      </c>
      <c r="Q48" s="211"/>
    </row>
    <row r="49" spans="1:23" ht="11.5" customHeight="1" thickBot="1" x14ac:dyDescent="0.3">
      <c r="B49" s="535" t="s">
        <v>55</v>
      </c>
      <c r="C49" s="536"/>
      <c r="D49" s="220">
        <f>SUM(E49,F49)</f>
        <v>231866122.00000381</v>
      </c>
      <c r="E49" s="221"/>
      <c r="F49" s="220">
        <f>SUM(G49:J49)</f>
        <v>231866122.00000381</v>
      </c>
      <c r="G49" s="222">
        <v>203338238</v>
      </c>
      <c r="H49" s="223">
        <v>11104182.51</v>
      </c>
      <c r="I49" s="223">
        <v>10173825.2499763</v>
      </c>
      <c r="J49" s="224">
        <v>7249876.2400275199</v>
      </c>
      <c r="L49" s="225">
        <v>-82308314</v>
      </c>
      <c r="M49" s="226"/>
      <c r="N49" s="226"/>
      <c r="O49" s="226"/>
      <c r="Q49" s="221"/>
    </row>
    <row r="50" spans="1:23" ht="11.5" customHeight="1" thickTop="1" x14ac:dyDescent="0.25">
      <c r="D50" s="131"/>
      <c r="E50" s="131"/>
      <c r="F50" s="131"/>
      <c r="G50" s="131"/>
      <c r="H50" s="131"/>
      <c r="I50" s="131"/>
      <c r="J50" s="131"/>
      <c r="L50" s="131"/>
    </row>
    <row r="51" spans="1:23" s="97" customFormat="1" ht="11.5" customHeight="1" x14ac:dyDescent="0.3">
      <c r="B51" s="198" t="s">
        <v>275</v>
      </c>
      <c r="C51" s="199"/>
      <c r="D51" s="227"/>
      <c r="E51" s="227"/>
      <c r="F51" s="227"/>
      <c r="G51" s="228" t="s">
        <v>215</v>
      </c>
      <c r="H51" s="201" t="s">
        <v>221</v>
      </c>
      <c r="I51" s="201" t="s">
        <v>221</v>
      </c>
      <c r="J51" s="202" t="s">
        <v>221</v>
      </c>
      <c r="L51" s="98"/>
      <c r="U51" s="130"/>
      <c r="W51" s="130"/>
    </row>
    <row r="52" spans="1:23" ht="23.15" customHeight="1" thickBot="1" x14ac:dyDescent="0.3">
      <c r="B52" s="139" t="s">
        <v>23</v>
      </c>
      <c r="C52" s="203" t="s">
        <v>188</v>
      </c>
      <c r="D52" s="204" t="s">
        <v>202</v>
      </c>
      <c r="E52" s="205" t="s">
        <v>204</v>
      </c>
      <c r="F52" s="204" t="s">
        <v>205</v>
      </c>
      <c r="G52" s="206" t="s">
        <v>206</v>
      </c>
      <c r="H52" s="204" t="s">
        <v>207</v>
      </c>
      <c r="I52" s="204" t="s">
        <v>208</v>
      </c>
      <c r="J52" s="207" t="s">
        <v>209</v>
      </c>
      <c r="L52" s="208" t="s">
        <v>217</v>
      </c>
      <c r="M52" s="208" t="s">
        <v>218</v>
      </c>
      <c r="N52" s="208" t="s">
        <v>219</v>
      </c>
      <c r="O52" s="208" t="s">
        <v>220</v>
      </c>
      <c r="Q52" s="209" t="s">
        <v>55</v>
      </c>
    </row>
    <row r="53" spans="1:23" ht="11.5" customHeight="1" outlineLevel="1" thickTop="1" x14ac:dyDescent="0.25">
      <c r="A53" s="8" t="s">
        <v>30</v>
      </c>
      <c r="B53" s="154"/>
      <c r="C53" s="155" t="s">
        <v>31</v>
      </c>
      <c r="D53" s="210"/>
      <c r="E53" s="211"/>
      <c r="F53" s="210">
        <f t="shared" ref="F53:F63" si="7">SUM(G53:J53)</f>
        <v>44375874.831968606</v>
      </c>
      <c r="G53" s="212">
        <f t="shared" ref="G53:G64" si="8">G38</f>
        <v>39026563.778931223</v>
      </c>
      <c r="H53" s="210">
        <f t="shared" ref="H53:J63" si="9">H23*H$64</f>
        <v>3305365.6985000223</v>
      </c>
      <c r="I53" s="210">
        <f t="shared" si="9"/>
        <v>1029356.5831330495</v>
      </c>
      <c r="J53" s="213">
        <f t="shared" si="9"/>
        <v>1014588.7714043141</v>
      </c>
      <c r="L53" s="210">
        <f t="shared" ref="L53:L64" si="10">L38</f>
        <v>-15797376.319633977</v>
      </c>
      <c r="M53" s="214"/>
      <c r="N53" s="214"/>
      <c r="O53" s="214"/>
      <c r="Q53" s="211"/>
    </row>
    <row r="54" spans="1:23" ht="11.5" customHeight="1" outlineLevel="1" x14ac:dyDescent="0.25">
      <c r="A54" s="8" t="s">
        <v>35</v>
      </c>
      <c r="C54" s="167" t="s">
        <v>36</v>
      </c>
      <c r="D54" s="215"/>
      <c r="E54" s="216"/>
      <c r="F54" s="215">
        <f t="shared" si="7"/>
        <v>0</v>
      </c>
      <c r="G54" s="217">
        <f t="shared" si="8"/>
        <v>0</v>
      </c>
      <c r="H54" s="215">
        <f t="shared" si="9"/>
        <v>0</v>
      </c>
      <c r="I54" s="215">
        <f t="shared" si="9"/>
        <v>0</v>
      </c>
      <c r="J54" s="218">
        <f t="shared" si="9"/>
        <v>0</v>
      </c>
      <c r="L54" s="215">
        <f t="shared" si="10"/>
        <v>0</v>
      </c>
      <c r="M54" s="219"/>
      <c r="N54" s="219"/>
      <c r="O54" s="219"/>
      <c r="Q54" s="216"/>
    </row>
    <row r="55" spans="1:23" ht="11.5" customHeight="1" outlineLevel="1" x14ac:dyDescent="0.25">
      <c r="A55" s="8" t="s">
        <v>37</v>
      </c>
      <c r="B55" s="154"/>
      <c r="C55" s="155" t="s">
        <v>38</v>
      </c>
      <c r="D55" s="210"/>
      <c r="E55" s="211"/>
      <c r="F55" s="210">
        <f t="shared" si="7"/>
        <v>715384.41840253246</v>
      </c>
      <c r="G55" s="212">
        <f t="shared" si="8"/>
        <v>473160.78820911876</v>
      </c>
      <c r="H55" s="210">
        <f t="shared" si="9"/>
        <v>217589.09432812355</v>
      </c>
      <c r="I55" s="210">
        <f t="shared" si="9"/>
        <v>0</v>
      </c>
      <c r="J55" s="213">
        <f t="shared" si="9"/>
        <v>24634.535865290236</v>
      </c>
      <c r="L55" s="210">
        <f t="shared" si="10"/>
        <v>-191528.49513923516</v>
      </c>
      <c r="M55" s="214"/>
      <c r="N55" s="214"/>
      <c r="O55" s="214"/>
      <c r="Q55" s="211"/>
    </row>
    <row r="56" spans="1:23" ht="11.5" customHeight="1" outlineLevel="1" x14ac:dyDescent="0.25">
      <c r="A56" s="8" t="s">
        <v>39</v>
      </c>
      <c r="C56" s="167" t="s">
        <v>40</v>
      </c>
      <c r="D56" s="215"/>
      <c r="E56" s="216"/>
      <c r="F56" s="215">
        <f t="shared" si="7"/>
        <v>102374135.83010514</v>
      </c>
      <c r="G56" s="217">
        <f t="shared" si="8"/>
        <v>90612105.831013575</v>
      </c>
      <c r="H56" s="215">
        <f t="shared" si="9"/>
        <v>7108168.0546389334</v>
      </c>
      <c r="I56" s="215">
        <f t="shared" si="9"/>
        <v>2464233.6159422128</v>
      </c>
      <c r="J56" s="218">
        <f t="shared" si="9"/>
        <v>2189628.3285104162</v>
      </c>
      <c r="L56" s="215">
        <f t="shared" si="10"/>
        <v>-36678441.459398776</v>
      </c>
      <c r="M56" s="219"/>
      <c r="N56" s="219"/>
      <c r="O56" s="219"/>
      <c r="Q56" s="216"/>
    </row>
    <row r="57" spans="1:23" ht="11.5" customHeight="1" outlineLevel="1" x14ac:dyDescent="0.25">
      <c r="A57" s="8" t="s">
        <v>41</v>
      </c>
      <c r="B57" s="154"/>
      <c r="C57" s="155" t="s">
        <v>211</v>
      </c>
      <c r="D57" s="210"/>
      <c r="E57" s="211"/>
      <c r="F57" s="210">
        <f t="shared" si="7"/>
        <v>0</v>
      </c>
      <c r="G57" s="212">
        <f t="shared" si="8"/>
        <v>0</v>
      </c>
      <c r="H57" s="210">
        <f t="shared" si="9"/>
        <v>0</v>
      </c>
      <c r="I57" s="210">
        <f t="shared" si="9"/>
        <v>0</v>
      </c>
      <c r="J57" s="213">
        <f t="shared" si="9"/>
        <v>0</v>
      </c>
      <c r="L57" s="210">
        <f t="shared" si="10"/>
        <v>0</v>
      </c>
      <c r="M57" s="214"/>
      <c r="N57" s="214"/>
      <c r="O57" s="214"/>
      <c r="Q57" s="211"/>
    </row>
    <row r="58" spans="1:23" ht="11.5" customHeight="1" outlineLevel="1" x14ac:dyDescent="0.25">
      <c r="A58" s="8" t="s">
        <v>43</v>
      </c>
      <c r="B58" s="154"/>
      <c r="C58" s="155" t="s">
        <v>44</v>
      </c>
      <c r="D58" s="210"/>
      <c r="E58" s="211"/>
      <c r="F58" s="210">
        <f t="shared" si="7"/>
        <v>63445401.778568842</v>
      </c>
      <c r="G58" s="212">
        <f t="shared" si="8"/>
        <v>57911326.961136214</v>
      </c>
      <c r="H58" s="210">
        <f t="shared" si="9"/>
        <v>2854826.215102552</v>
      </c>
      <c r="I58" s="210">
        <f t="shared" si="9"/>
        <v>1742974.1665523599</v>
      </c>
      <c r="J58" s="213">
        <f t="shared" si="9"/>
        <v>936274.43577771657</v>
      </c>
      <c r="L58" s="210">
        <f t="shared" si="10"/>
        <v>-23441649.39441378</v>
      </c>
      <c r="M58" s="214"/>
      <c r="N58" s="214"/>
      <c r="O58" s="214"/>
      <c r="Q58" s="211"/>
    </row>
    <row r="59" spans="1:23" ht="11.5" customHeight="1" outlineLevel="1" x14ac:dyDescent="0.25">
      <c r="A59" s="8" t="s">
        <v>45</v>
      </c>
      <c r="C59" s="167" t="s">
        <v>46</v>
      </c>
      <c r="D59" s="215"/>
      <c r="E59" s="216"/>
      <c r="F59" s="215">
        <f t="shared" si="7"/>
        <v>6127054.1762073329</v>
      </c>
      <c r="G59" s="217">
        <f t="shared" si="8"/>
        <v>5584927.54774296</v>
      </c>
      <c r="H59" s="215">
        <f t="shared" si="9"/>
        <v>396589.93126658496</v>
      </c>
      <c r="I59" s="215">
        <f t="shared" si="9"/>
        <v>92398.564321678758</v>
      </c>
      <c r="J59" s="218">
        <f t="shared" si="9"/>
        <v>53138.132876108801</v>
      </c>
      <c r="L59" s="215">
        <f t="shared" si="10"/>
        <v>-2260696.1424878556</v>
      </c>
      <c r="M59" s="219"/>
      <c r="N59" s="219"/>
      <c r="O59" s="219"/>
      <c r="Q59" s="216"/>
    </row>
    <row r="60" spans="1:23" ht="11.5" customHeight="1" outlineLevel="1" x14ac:dyDescent="0.25">
      <c r="A60" s="8" t="s">
        <v>47</v>
      </c>
      <c r="B60" s="154"/>
      <c r="C60" s="155" t="s">
        <v>48</v>
      </c>
      <c r="D60" s="210"/>
      <c r="E60" s="211"/>
      <c r="F60" s="210">
        <f t="shared" si="7"/>
        <v>9217595.4047870282</v>
      </c>
      <c r="G60" s="212">
        <f t="shared" si="8"/>
        <v>8834891.8793289121</v>
      </c>
      <c r="H60" s="210">
        <f t="shared" si="9"/>
        <v>205218.02334811524</v>
      </c>
      <c r="I60" s="210">
        <f t="shared" si="9"/>
        <v>104638.71868670369</v>
      </c>
      <c r="J60" s="213">
        <f t="shared" si="9"/>
        <v>72846.783423296729</v>
      </c>
      <c r="L60" s="210">
        <f t="shared" si="10"/>
        <v>-3576233.6789790331</v>
      </c>
      <c r="M60" s="214"/>
      <c r="N60" s="214"/>
      <c r="O60" s="214"/>
      <c r="Q60" s="211"/>
    </row>
    <row r="61" spans="1:23" ht="11.5" customHeight="1" outlineLevel="1" x14ac:dyDescent="0.25">
      <c r="A61" s="8" t="s">
        <v>49</v>
      </c>
      <c r="B61" s="154"/>
      <c r="C61" s="155" t="s">
        <v>50</v>
      </c>
      <c r="D61" s="210"/>
      <c r="E61" s="211"/>
      <c r="F61" s="210">
        <f t="shared" si="7"/>
        <v>1181554.579733785</v>
      </c>
      <c r="G61" s="212">
        <f t="shared" si="8"/>
        <v>887073.71751840529</v>
      </c>
      <c r="H61" s="210">
        <f t="shared" si="9"/>
        <v>267534.34067281225</v>
      </c>
      <c r="I61" s="210">
        <f t="shared" si="9"/>
        <v>26946.521542567541</v>
      </c>
      <c r="J61" s="213">
        <f t="shared" si="9"/>
        <v>0</v>
      </c>
      <c r="L61" s="210">
        <f t="shared" si="10"/>
        <v>-359074.33250529203</v>
      </c>
      <c r="M61" s="214"/>
      <c r="N61" s="214"/>
      <c r="O61" s="214"/>
      <c r="Q61" s="211"/>
    </row>
    <row r="62" spans="1:23" ht="11.5" customHeight="1" outlineLevel="1" x14ac:dyDescent="0.25">
      <c r="A62" s="8" t="s">
        <v>51</v>
      </c>
      <c r="C62" s="167" t="s">
        <v>214</v>
      </c>
      <c r="D62" s="215"/>
      <c r="E62" s="216"/>
      <c r="F62" s="215">
        <f t="shared" si="7"/>
        <v>0</v>
      </c>
      <c r="G62" s="217">
        <f t="shared" si="8"/>
        <v>0</v>
      </c>
      <c r="H62" s="215">
        <f t="shared" si="9"/>
        <v>0</v>
      </c>
      <c r="I62" s="215">
        <f t="shared" si="9"/>
        <v>0</v>
      </c>
      <c r="J62" s="218">
        <f t="shared" si="9"/>
        <v>0</v>
      </c>
      <c r="L62" s="215">
        <f t="shared" si="10"/>
        <v>0</v>
      </c>
      <c r="M62" s="219"/>
      <c r="N62" s="219"/>
      <c r="O62" s="219"/>
      <c r="Q62" s="216"/>
    </row>
    <row r="63" spans="1:23" ht="11.5" customHeight="1" outlineLevel="1" x14ac:dyDescent="0.25">
      <c r="A63" s="8" t="s">
        <v>53</v>
      </c>
      <c r="B63" s="154"/>
      <c r="C63" s="155" t="s">
        <v>54</v>
      </c>
      <c r="D63" s="210"/>
      <c r="E63" s="211"/>
      <c r="F63" s="210">
        <f t="shared" si="7"/>
        <v>0</v>
      </c>
      <c r="G63" s="212">
        <f t="shared" si="8"/>
        <v>0</v>
      </c>
      <c r="H63" s="210">
        <f t="shared" si="9"/>
        <v>0</v>
      </c>
      <c r="I63" s="210">
        <f t="shared" si="9"/>
        <v>0</v>
      </c>
      <c r="J63" s="213">
        <f t="shared" si="9"/>
        <v>0</v>
      </c>
      <c r="L63" s="210">
        <f t="shared" si="10"/>
        <v>0</v>
      </c>
      <c r="M63" s="214"/>
      <c r="N63" s="214"/>
      <c r="O63" s="214"/>
      <c r="Q63" s="211"/>
    </row>
    <row r="64" spans="1:23" ht="11.5" customHeight="1" thickBot="1" x14ac:dyDescent="0.3">
      <c r="B64" s="535" t="s">
        <v>55</v>
      </c>
      <c r="C64" s="536"/>
      <c r="D64" s="220">
        <f>SUM(E64,F64)</f>
        <v>227445188.51589283</v>
      </c>
      <c r="E64" s="221"/>
      <c r="F64" s="220">
        <f>SUM(G64:J64)</f>
        <v>227445188.51589283</v>
      </c>
      <c r="G64" s="229">
        <f t="shared" si="8"/>
        <v>203338238</v>
      </c>
      <c r="H64" s="223">
        <v>14355291.357857144</v>
      </c>
      <c r="I64" s="223">
        <v>5460548.1701785717</v>
      </c>
      <c r="J64" s="224">
        <v>4291110.9878571425</v>
      </c>
      <c r="L64" s="225">
        <f t="shared" si="10"/>
        <v>-82308314</v>
      </c>
      <c r="M64" s="226"/>
      <c r="N64" s="226"/>
      <c r="O64" s="226"/>
      <c r="Q64" s="221"/>
    </row>
    <row r="65" spans="1:30" ht="11.5" customHeight="1" thickTop="1" x14ac:dyDescent="0.3">
      <c r="D65" s="131"/>
      <c r="E65" s="131"/>
      <c r="F65" s="131"/>
      <c r="G65" s="131"/>
      <c r="H65" s="131"/>
      <c r="I65" s="131"/>
      <c r="J65" s="131"/>
      <c r="L65" s="131"/>
      <c r="U65" s="101"/>
      <c r="V65" s="132"/>
      <c r="W65" s="230"/>
      <c r="X65" s="117"/>
      <c r="Y65" s="231"/>
      <c r="Z65" s="117"/>
      <c r="AA65" s="231"/>
      <c r="AB65" s="231"/>
      <c r="AC65" s="231"/>
      <c r="AD65" s="232"/>
    </row>
    <row r="66" spans="1:30" s="97" customFormat="1" ht="11.5" customHeight="1" x14ac:dyDescent="0.3">
      <c r="B66" s="233" t="s">
        <v>276</v>
      </c>
      <c r="C66" s="199"/>
      <c r="D66" s="227"/>
      <c r="E66" s="227"/>
      <c r="F66" s="227"/>
      <c r="G66" s="228" t="s">
        <v>215</v>
      </c>
      <c r="H66" s="201" t="s">
        <v>222</v>
      </c>
      <c r="I66" s="227"/>
      <c r="J66" s="234"/>
      <c r="L66" s="98"/>
      <c r="M66" s="101" t="s">
        <v>223</v>
      </c>
      <c r="N66" s="101"/>
      <c r="O66" s="101"/>
      <c r="P66" s="101" t="s">
        <v>224</v>
      </c>
      <c r="S66" s="101" t="s">
        <v>225</v>
      </c>
      <c r="T66" s="101" t="s">
        <v>182</v>
      </c>
      <c r="U66" s="101" t="s">
        <v>225</v>
      </c>
      <c r="W66" s="100"/>
      <c r="Y66" s="235">
        <v>932</v>
      </c>
      <c r="AA66" s="235">
        <v>932</v>
      </c>
      <c r="AB66" s="235"/>
      <c r="AC66" s="235"/>
      <c r="AD66" s="99"/>
    </row>
    <row r="67" spans="1:30" ht="23.15" customHeight="1" thickBot="1" x14ac:dyDescent="0.3">
      <c r="B67" s="139" t="s">
        <v>23</v>
      </c>
      <c r="C67" s="203" t="s">
        <v>188</v>
      </c>
      <c r="D67" s="204" t="s">
        <v>202</v>
      </c>
      <c r="E67" s="205" t="s">
        <v>204</v>
      </c>
      <c r="F67" s="204" t="s">
        <v>205</v>
      </c>
      <c r="G67" s="206" t="s">
        <v>206</v>
      </c>
      <c r="H67" s="204" t="s">
        <v>207</v>
      </c>
      <c r="I67" s="204" t="s">
        <v>208</v>
      </c>
      <c r="J67" s="207" t="s">
        <v>209</v>
      </c>
      <c r="L67" s="209" t="s">
        <v>217</v>
      </c>
      <c r="M67" s="208" t="s">
        <v>218</v>
      </c>
      <c r="N67" s="208" t="s">
        <v>219</v>
      </c>
      <c r="O67" s="236" t="s">
        <v>220</v>
      </c>
      <c r="P67" s="209" t="s">
        <v>226</v>
      </c>
      <c r="Q67" s="209" t="s">
        <v>227</v>
      </c>
      <c r="R67" s="8" t="s">
        <v>228</v>
      </c>
      <c r="S67" s="209" t="s">
        <v>229</v>
      </c>
      <c r="T67" s="209" t="s">
        <v>230</v>
      </c>
      <c r="U67" s="209" t="s">
        <v>231</v>
      </c>
      <c r="V67" s="132" t="s">
        <v>232</v>
      </c>
      <c r="W67" s="237"/>
      <c r="X67" s="209" t="s">
        <v>55</v>
      </c>
      <c r="Y67" s="132" t="s">
        <v>145</v>
      </c>
      <c r="Z67" s="209" t="s">
        <v>233</v>
      </c>
      <c r="AA67" s="132" t="s">
        <v>145</v>
      </c>
      <c r="AB67" s="209" t="s">
        <v>234</v>
      </c>
      <c r="AC67" s="132" t="s">
        <v>145</v>
      </c>
      <c r="AD67" s="238"/>
    </row>
    <row r="68" spans="1:30" ht="11.5" customHeight="1" outlineLevel="1" thickTop="1" x14ac:dyDescent="0.25">
      <c r="A68" s="8" t="s">
        <v>30</v>
      </c>
      <c r="B68" s="154"/>
      <c r="C68" s="155" t="s">
        <v>31</v>
      </c>
      <c r="D68" s="210"/>
      <c r="E68" s="211"/>
      <c r="F68" s="210">
        <f t="shared" ref="F68:F78" si="11">SUM(G68:J68)</f>
        <v>50564663.99338603</v>
      </c>
      <c r="G68" s="212">
        <f t="shared" ref="G68:G79" si="12">G38</f>
        <v>39026563.778931223</v>
      </c>
      <c r="H68" s="210">
        <f t="shared" ref="H68:J79" si="13">SUM(H53,H38)</f>
        <v>5862150.0272520026</v>
      </c>
      <c r="I68" s="210">
        <f t="shared" si="13"/>
        <v>2947203.229720891</v>
      </c>
      <c r="J68" s="213">
        <f t="shared" si="13"/>
        <v>2728746.9574819123</v>
      </c>
      <c r="L68" s="211">
        <f t="shared" ref="L68:L79" si="14">L38</f>
        <v>-15797376.319633977</v>
      </c>
      <c r="M68" s="214">
        <f t="shared" ref="M68:O79" si="15">SUM(M53,M38)</f>
        <v>0</v>
      </c>
      <c r="N68" s="214">
        <f t="shared" si="15"/>
        <v>0</v>
      </c>
      <c r="O68" s="239">
        <f t="shared" si="15"/>
        <v>0</v>
      </c>
      <c r="P68" s="211">
        <f t="shared" ref="P68:P78" si="16">H23*$P$79</f>
        <v>0</v>
      </c>
      <c r="Q68" s="211">
        <f t="shared" ref="Q68:Q78" si="17">H23*$Q$79</f>
        <v>0</v>
      </c>
      <c r="R68" s="240">
        <f t="shared" ref="R68:R79" si="18">SUM(P68:Q68)</f>
        <v>0</v>
      </c>
      <c r="S68" s="211">
        <f>E23*$S$79</f>
        <v>1510079.1350874617</v>
      </c>
      <c r="T68" s="211">
        <f>E23*$T$79</f>
        <v>1508792.3878151153</v>
      </c>
      <c r="U68" s="211">
        <f>E23*$U$79</f>
        <v>0</v>
      </c>
      <c r="V68" s="241">
        <f t="shared" ref="V68:V78" si="19">SUM(S68:U68)</f>
        <v>3018871.5229025772</v>
      </c>
      <c r="W68" s="237"/>
      <c r="X68" s="211">
        <f t="shared" ref="X68:X79" si="20">F68+L68+M68+N68+O68</f>
        <v>34767287.673752055</v>
      </c>
      <c r="Y68" s="242">
        <f t="shared" ref="Y68:Y79" si="21">X68/$Y$66</f>
        <v>37303.956731493621</v>
      </c>
      <c r="Z68" s="211">
        <f t="shared" ref="Z68:Z79" si="22">X68+R68</f>
        <v>34767287.673752055</v>
      </c>
      <c r="AA68" s="242">
        <f t="shared" ref="AA68:AA79" si="23">Z68/$AA$66</f>
        <v>37303.956731493621</v>
      </c>
      <c r="AB68" s="211">
        <f>Z68+V68</f>
        <v>37786159.196654633</v>
      </c>
      <c r="AC68" s="242">
        <f t="shared" ref="AC68:AC79" si="24">AB68/$AA$66</f>
        <v>40543.089266796815</v>
      </c>
      <c r="AD68" s="238"/>
    </row>
    <row r="69" spans="1:30" ht="11.5" customHeight="1" outlineLevel="1" x14ac:dyDescent="0.25">
      <c r="A69" s="8" t="s">
        <v>35</v>
      </c>
      <c r="C69" s="167" t="s">
        <v>36</v>
      </c>
      <c r="D69" s="215"/>
      <c r="E69" s="216"/>
      <c r="F69" s="215">
        <f t="shared" si="11"/>
        <v>0</v>
      </c>
      <c r="G69" s="217">
        <f t="shared" si="12"/>
        <v>0</v>
      </c>
      <c r="H69" s="215">
        <f t="shared" si="13"/>
        <v>0</v>
      </c>
      <c r="I69" s="215">
        <f t="shared" si="13"/>
        <v>0</v>
      </c>
      <c r="J69" s="218">
        <f t="shared" si="13"/>
        <v>0</v>
      </c>
      <c r="L69" s="216">
        <f t="shared" si="14"/>
        <v>0</v>
      </c>
      <c r="M69" s="219">
        <f t="shared" si="15"/>
        <v>0</v>
      </c>
      <c r="N69" s="219">
        <f t="shared" si="15"/>
        <v>0</v>
      </c>
      <c r="O69" s="243">
        <f t="shared" si="15"/>
        <v>0</v>
      </c>
      <c r="P69" s="216">
        <f t="shared" si="16"/>
        <v>0</v>
      </c>
      <c r="Q69" s="216">
        <f t="shared" si="17"/>
        <v>0</v>
      </c>
      <c r="R69" s="240">
        <f t="shared" si="18"/>
        <v>0</v>
      </c>
      <c r="S69" s="216">
        <f t="shared" ref="S69:S78" si="25">E24*$S$79</f>
        <v>550.1088821580156</v>
      </c>
      <c r="T69" s="216">
        <f t="shared" ref="T69:T78" si="26">E24*$T$79</f>
        <v>549.64013115870512</v>
      </c>
      <c r="U69" s="216">
        <f t="shared" ref="U69:U78" si="27">E24*$U$79</f>
        <v>0</v>
      </c>
      <c r="V69" s="241">
        <f t="shared" si="19"/>
        <v>1099.7490133167207</v>
      </c>
      <c r="W69" s="237"/>
      <c r="X69" s="216">
        <f t="shared" si="20"/>
        <v>0</v>
      </c>
      <c r="Y69" s="242">
        <f t="shared" si="21"/>
        <v>0</v>
      </c>
      <c r="Z69" s="216">
        <f t="shared" si="22"/>
        <v>0</v>
      </c>
      <c r="AA69" s="242">
        <f t="shared" si="23"/>
        <v>0</v>
      </c>
      <c r="AB69" s="216">
        <f t="shared" ref="AB69:AB79" si="28">Z69+V69</f>
        <v>1099.7490133167207</v>
      </c>
      <c r="AC69" s="242">
        <f t="shared" si="24"/>
        <v>1.1799882117132197</v>
      </c>
      <c r="AD69" s="238"/>
    </row>
    <row r="70" spans="1:30" ht="11.5" customHeight="1" outlineLevel="1" x14ac:dyDescent="0.25">
      <c r="A70" s="8" t="s">
        <v>37</v>
      </c>
      <c r="B70" s="154"/>
      <c r="C70" s="155" t="s">
        <v>38</v>
      </c>
      <c r="D70" s="210"/>
      <c r="E70" s="211"/>
      <c r="F70" s="210">
        <f t="shared" si="11"/>
        <v>925315.41217455477</v>
      </c>
      <c r="G70" s="212">
        <f t="shared" si="12"/>
        <v>473160.78820911876</v>
      </c>
      <c r="H70" s="210">
        <f t="shared" si="13"/>
        <v>385899.78586157324</v>
      </c>
      <c r="I70" s="210">
        <f t="shared" si="13"/>
        <v>0</v>
      </c>
      <c r="J70" s="213">
        <f t="shared" si="13"/>
        <v>66254.838103862683</v>
      </c>
      <c r="L70" s="211">
        <f t="shared" si="14"/>
        <v>-191528.49513923516</v>
      </c>
      <c r="M70" s="214">
        <f t="shared" si="15"/>
        <v>0</v>
      </c>
      <c r="N70" s="214">
        <f t="shared" si="15"/>
        <v>0</v>
      </c>
      <c r="O70" s="239">
        <f t="shared" si="15"/>
        <v>0</v>
      </c>
      <c r="P70" s="211">
        <f t="shared" si="16"/>
        <v>0</v>
      </c>
      <c r="Q70" s="211">
        <f t="shared" si="17"/>
        <v>0</v>
      </c>
      <c r="R70" s="240">
        <f t="shared" si="18"/>
        <v>0</v>
      </c>
      <c r="S70" s="211">
        <f t="shared" si="25"/>
        <v>64239.558792798023</v>
      </c>
      <c r="T70" s="211">
        <f t="shared" si="26"/>
        <v>64184.819888635509</v>
      </c>
      <c r="U70" s="211">
        <f t="shared" si="27"/>
        <v>0</v>
      </c>
      <c r="V70" s="241">
        <f t="shared" si="19"/>
        <v>128424.37868143353</v>
      </c>
      <c r="W70" s="237"/>
      <c r="X70" s="211">
        <f t="shared" si="20"/>
        <v>733786.91703531961</v>
      </c>
      <c r="Y70" s="242">
        <f t="shared" si="21"/>
        <v>787.3250182782399</v>
      </c>
      <c r="Z70" s="211">
        <f t="shared" si="22"/>
        <v>733786.91703531961</v>
      </c>
      <c r="AA70" s="242">
        <f t="shared" si="23"/>
        <v>787.3250182782399</v>
      </c>
      <c r="AB70" s="211">
        <f t="shared" si="28"/>
        <v>862211.29571675311</v>
      </c>
      <c r="AC70" s="242">
        <f t="shared" si="24"/>
        <v>925.11941600509988</v>
      </c>
      <c r="AD70" s="238"/>
    </row>
    <row r="71" spans="1:30" ht="11.5" customHeight="1" outlineLevel="1" x14ac:dyDescent="0.25">
      <c r="A71" s="8" t="s">
        <v>39</v>
      </c>
      <c r="C71" s="167" t="s">
        <v>40</v>
      </c>
      <c r="D71" s="215"/>
      <c r="E71" s="216"/>
      <c r="F71" s="215">
        <f t="shared" si="11"/>
        <v>116163123.09102592</v>
      </c>
      <c r="G71" s="217">
        <f t="shared" si="12"/>
        <v>90612105.831013575</v>
      </c>
      <c r="H71" s="215">
        <f t="shared" si="13"/>
        <v>12606516.602421006</v>
      </c>
      <c r="I71" s="215">
        <f t="shared" si="13"/>
        <v>7055472.7008074634</v>
      </c>
      <c r="J71" s="218">
        <f t="shared" si="13"/>
        <v>5889027.9567838684</v>
      </c>
      <c r="L71" s="216">
        <f t="shared" si="14"/>
        <v>-36678441.459398776</v>
      </c>
      <c r="M71" s="219">
        <f t="shared" si="15"/>
        <v>0</v>
      </c>
      <c r="N71" s="219">
        <f t="shared" si="15"/>
        <v>0</v>
      </c>
      <c r="O71" s="243">
        <f t="shared" si="15"/>
        <v>0</v>
      </c>
      <c r="P71" s="216">
        <f t="shared" si="16"/>
        <v>0</v>
      </c>
      <c r="Q71" s="216">
        <f t="shared" si="17"/>
        <v>0</v>
      </c>
      <c r="R71" s="240">
        <f t="shared" si="18"/>
        <v>0</v>
      </c>
      <c r="S71" s="216">
        <f t="shared" si="25"/>
        <v>3155727.835386992</v>
      </c>
      <c r="T71" s="216">
        <f t="shared" si="26"/>
        <v>3153038.821222038</v>
      </c>
      <c r="U71" s="216">
        <f t="shared" si="27"/>
        <v>0</v>
      </c>
      <c r="V71" s="241">
        <f t="shared" si="19"/>
        <v>6308766.6566090304</v>
      </c>
      <c r="W71" s="237"/>
      <c r="X71" s="216">
        <f t="shared" si="20"/>
        <v>79484681.631627142</v>
      </c>
      <c r="Y71" s="242">
        <f t="shared" si="21"/>
        <v>85283.993166981905</v>
      </c>
      <c r="Z71" s="216">
        <f t="shared" si="22"/>
        <v>79484681.631627142</v>
      </c>
      <c r="AA71" s="242">
        <f t="shared" si="23"/>
        <v>85283.993166981905</v>
      </c>
      <c r="AB71" s="216">
        <f t="shared" si="28"/>
        <v>85793448.288236171</v>
      </c>
      <c r="AC71" s="242">
        <f t="shared" si="24"/>
        <v>92053.056103257695</v>
      </c>
      <c r="AD71" s="238"/>
    </row>
    <row r="72" spans="1:30" ht="11.5" customHeight="1" outlineLevel="1" x14ac:dyDescent="0.25">
      <c r="A72" s="8" t="s">
        <v>41</v>
      </c>
      <c r="B72" s="154"/>
      <c r="C72" s="155" t="s">
        <v>211</v>
      </c>
      <c r="D72" s="210"/>
      <c r="E72" s="211"/>
      <c r="F72" s="210">
        <f t="shared" si="11"/>
        <v>0</v>
      </c>
      <c r="G72" s="212">
        <f t="shared" si="12"/>
        <v>0</v>
      </c>
      <c r="H72" s="210">
        <f t="shared" si="13"/>
        <v>0</v>
      </c>
      <c r="I72" s="210">
        <f t="shared" si="13"/>
        <v>0</v>
      </c>
      <c r="J72" s="213">
        <f t="shared" si="13"/>
        <v>0</v>
      </c>
      <c r="L72" s="211">
        <f t="shared" si="14"/>
        <v>0</v>
      </c>
      <c r="M72" s="214">
        <f t="shared" si="15"/>
        <v>0</v>
      </c>
      <c r="N72" s="214">
        <f t="shared" si="15"/>
        <v>0</v>
      </c>
      <c r="O72" s="239">
        <f t="shared" si="15"/>
        <v>0</v>
      </c>
      <c r="P72" s="211">
        <f t="shared" si="16"/>
        <v>0</v>
      </c>
      <c r="Q72" s="211">
        <f t="shared" si="17"/>
        <v>0</v>
      </c>
      <c r="R72" s="240">
        <f t="shared" si="18"/>
        <v>0</v>
      </c>
      <c r="S72" s="211">
        <f t="shared" si="25"/>
        <v>0</v>
      </c>
      <c r="T72" s="211">
        <f t="shared" si="26"/>
        <v>0</v>
      </c>
      <c r="U72" s="211">
        <f t="shared" si="27"/>
        <v>0</v>
      </c>
      <c r="V72" s="241">
        <f t="shared" si="19"/>
        <v>0</v>
      </c>
      <c r="W72" s="237"/>
      <c r="X72" s="211">
        <f t="shared" si="20"/>
        <v>0</v>
      </c>
      <c r="Y72" s="242">
        <f t="shared" si="21"/>
        <v>0</v>
      </c>
      <c r="Z72" s="211">
        <f t="shared" si="22"/>
        <v>0</v>
      </c>
      <c r="AA72" s="242">
        <f t="shared" si="23"/>
        <v>0</v>
      </c>
      <c r="AB72" s="211">
        <f t="shared" si="28"/>
        <v>0</v>
      </c>
      <c r="AC72" s="242">
        <f t="shared" si="24"/>
        <v>0</v>
      </c>
      <c r="AD72" s="238"/>
    </row>
    <row r="73" spans="1:30" ht="11.5" customHeight="1" outlineLevel="1" x14ac:dyDescent="0.25">
      <c r="A73" s="8" t="s">
        <v>43</v>
      </c>
      <c r="B73" s="154"/>
      <c r="C73" s="155" t="s">
        <v>44</v>
      </c>
      <c r="D73" s="210"/>
      <c r="E73" s="211"/>
      <c r="F73" s="210">
        <f t="shared" si="11"/>
        <v>70482951.572455734</v>
      </c>
      <c r="G73" s="212">
        <f t="shared" si="12"/>
        <v>57911326.961136214</v>
      </c>
      <c r="H73" s="210">
        <f t="shared" si="13"/>
        <v>5063106.8091066908</v>
      </c>
      <c r="I73" s="210">
        <f t="shared" si="13"/>
        <v>4990398.0575400107</v>
      </c>
      <c r="J73" s="213">
        <f t="shared" si="13"/>
        <v>2518119.7446728162</v>
      </c>
      <c r="L73" s="211">
        <f t="shared" si="14"/>
        <v>-23441649.39441378</v>
      </c>
      <c r="M73" s="214">
        <f t="shared" si="15"/>
        <v>0</v>
      </c>
      <c r="N73" s="214">
        <f t="shared" si="15"/>
        <v>0</v>
      </c>
      <c r="O73" s="239">
        <f t="shared" si="15"/>
        <v>0</v>
      </c>
      <c r="P73" s="211">
        <f t="shared" si="16"/>
        <v>0</v>
      </c>
      <c r="Q73" s="211">
        <f t="shared" si="17"/>
        <v>0</v>
      </c>
      <c r="R73" s="240">
        <f t="shared" si="18"/>
        <v>0</v>
      </c>
      <c r="S73" s="211">
        <f t="shared" si="25"/>
        <v>2000869.7102041999</v>
      </c>
      <c r="T73" s="211">
        <f t="shared" si="26"/>
        <v>1999164.7574092748</v>
      </c>
      <c r="U73" s="211">
        <f t="shared" si="27"/>
        <v>0</v>
      </c>
      <c r="V73" s="241">
        <f t="shared" si="19"/>
        <v>4000034.4676134745</v>
      </c>
      <c r="W73" s="237"/>
      <c r="X73" s="211">
        <f t="shared" si="20"/>
        <v>47041302.17804195</v>
      </c>
      <c r="Y73" s="242">
        <f t="shared" si="21"/>
        <v>50473.500191032137</v>
      </c>
      <c r="Z73" s="211">
        <f t="shared" si="22"/>
        <v>47041302.17804195</v>
      </c>
      <c r="AA73" s="242">
        <f t="shared" si="23"/>
        <v>50473.500191032137</v>
      </c>
      <c r="AB73" s="211">
        <f t="shared" si="28"/>
        <v>51041336.645655423</v>
      </c>
      <c r="AC73" s="242">
        <f t="shared" si="24"/>
        <v>54765.382667012258</v>
      </c>
      <c r="AD73" s="238"/>
    </row>
    <row r="74" spans="1:30" ht="11.5" customHeight="1" outlineLevel="1" x14ac:dyDescent="0.25">
      <c r="A74" s="8" t="s">
        <v>45</v>
      </c>
      <c r="C74" s="167" t="s">
        <v>46</v>
      </c>
      <c r="D74" s="215"/>
      <c r="E74" s="216"/>
      <c r="F74" s="215">
        <f t="shared" si="11"/>
        <v>6695756.4536270909</v>
      </c>
      <c r="G74" s="217">
        <f t="shared" si="12"/>
        <v>5584927.54774296</v>
      </c>
      <c r="H74" s="215">
        <f t="shared" si="13"/>
        <v>703362.31704628281</v>
      </c>
      <c r="I74" s="215">
        <f t="shared" si="13"/>
        <v>264551.03280300944</v>
      </c>
      <c r="J74" s="218">
        <f t="shared" si="13"/>
        <v>142915.55603483875</v>
      </c>
      <c r="L74" s="216">
        <f t="shared" si="14"/>
        <v>-2260696.1424878556</v>
      </c>
      <c r="M74" s="219">
        <f t="shared" si="15"/>
        <v>0</v>
      </c>
      <c r="N74" s="219">
        <f t="shared" si="15"/>
        <v>0</v>
      </c>
      <c r="O74" s="243">
        <f t="shared" si="15"/>
        <v>0</v>
      </c>
      <c r="P74" s="216">
        <f t="shared" si="16"/>
        <v>0</v>
      </c>
      <c r="Q74" s="216">
        <f t="shared" si="17"/>
        <v>0</v>
      </c>
      <c r="R74" s="240">
        <f t="shared" si="18"/>
        <v>0</v>
      </c>
      <c r="S74" s="216">
        <f t="shared" si="25"/>
        <v>159638.43726471707</v>
      </c>
      <c r="T74" s="216">
        <f t="shared" si="26"/>
        <v>159502.40841765926</v>
      </c>
      <c r="U74" s="216">
        <f t="shared" si="27"/>
        <v>0</v>
      </c>
      <c r="V74" s="241">
        <f t="shared" si="19"/>
        <v>319140.8456823763</v>
      </c>
      <c r="W74" s="237"/>
      <c r="X74" s="216">
        <f t="shared" si="20"/>
        <v>4435060.3111392353</v>
      </c>
      <c r="Y74" s="242">
        <f t="shared" si="21"/>
        <v>4758.6484025099089</v>
      </c>
      <c r="Z74" s="216">
        <f t="shared" si="22"/>
        <v>4435060.3111392353</v>
      </c>
      <c r="AA74" s="242">
        <f t="shared" si="23"/>
        <v>4758.6484025099089</v>
      </c>
      <c r="AB74" s="216">
        <f t="shared" si="28"/>
        <v>4754201.1568216113</v>
      </c>
      <c r="AC74" s="242">
        <f t="shared" si="24"/>
        <v>5101.0742025982954</v>
      </c>
      <c r="AD74" s="238"/>
    </row>
    <row r="75" spans="1:30" ht="11.5" customHeight="1" outlineLevel="1" x14ac:dyDescent="0.25">
      <c r="A75" s="8" t="s">
        <v>47</v>
      </c>
      <c r="B75" s="154"/>
      <c r="C75" s="155" t="s">
        <v>48</v>
      </c>
      <c r="D75" s="210"/>
      <c r="E75" s="211"/>
      <c r="F75" s="210">
        <f t="shared" si="11"/>
        <v>9694369.8731888589</v>
      </c>
      <c r="G75" s="212">
        <f t="shared" si="12"/>
        <v>8834891.8793289121</v>
      </c>
      <c r="H75" s="210">
        <f t="shared" si="13"/>
        <v>363959.37723583408</v>
      </c>
      <c r="I75" s="210">
        <f t="shared" si="13"/>
        <v>299596.44181674963</v>
      </c>
      <c r="J75" s="213">
        <f t="shared" si="13"/>
        <v>195922.17480736406</v>
      </c>
      <c r="L75" s="211">
        <f t="shared" si="14"/>
        <v>-3576233.6789790331</v>
      </c>
      <c r="M75" s="214">
        <f t="shared" si="15"/>
        <v>0</v>
      </c>
      <c r="N75" s="214">
        <f t="shared" si="15"/>
        <v>0</v>
      </c>
      <c r="O75" s="239">
        <f t="shared" si="15"/>
        <v>0</v>
      </c>
      <c r="P75" s="211">
        <f t="shared" si="16"/>
        <v>0</v>
      </c>
      <c r="Q75" s="211">
        <f t="shared" si="17"/>
        <v>0</v>
      </c>
      <c r="R75" s="240">
        <f t="shared" si="18"/>
        <v>0</v>
      </c>
      <c r="S75" s="211">
        <f t="shared" si="25"/>
        <v>211280.54306962018</v>
      </c>
      <c r="T75" s="211">
        <f t="shared" si="26"/>
        <v>211100.50968184744</v>
      </c>
      <c r="U75" s="211">
        <f t="shared" si="27"/>
        <v>0</v>
      </c>
      <c r="V75" s="241">
        <f t="shared" si="19"/>
        <v>422381.05275146762</v>
      </c>
      <c r="W75" s="237"/>
      <c r="X75" s="211">
        <f t="shared" si="20"/>
        <v>6118136.1942098252</v>
      </c>
      <c r="Y75" s="242">
        <f t="shared" si="21"/>
        <v>6564.523813529855</v>
      </c>
      <c r="Z75" s="211">
        <f t="shared" si="22"/>
        <v>6118136.1942098252</v>
      </c>
      <c r="AA75" s="242">
        <f t="shared" si="23"/>
        <v>6564.523813529855</v>
      </c>
      <c r="AB75" s="211">
        <f t="shared" si="28"/>
        <v>6540517.2469612928</v>
      </c>
      <c r="AC75" s="242">
        <f t="shared" si="24"/>
        <v>7017.72236798422</v>
      </c>
      <c r="AD75" s="238"/>
    </row>
    <row r="76" spans="1:30" ht="11.5" customHeight="1" outlineLevel="1" x14ac:dyDescent="0.25">
      <c r="A76" s="8" t="s">
        <v>49</v>
      </c>
      <c r="B76" s="154"/>
      <c r="C76" s="155" t="s">
        <v>50</v>
      </c>
      <c r="D76" s="210"/>
      <c r="E76" s="211"/>
      <c r="F76" s="210">
        <f t="shared" si="11"/>
        <v>1438704.6239189075</v>
      </c>
      <c r="G76" s="212">
        <f t="shared" si="12"/>
        <v>887073.71751840529</v>
      </c>
      <c r="H76" s="210">
        <f t="shared" si="13"/>
        <v>474478.94893375359</v>
      </c>
      <c r="I76" s="210">
        <f t="shared" si="13"/>
        <v>77151.957466748514</v>
      </c>
      <c r="J76" s="213">
        <f t="shared" si="13"/>
        <v>0</v>
      </c>
      <c r="L76" s="211">
        <f t="shared" si="14"/>
        <v>-359074.33250529203</v>
      </c>
      <c r="M76" s="214">
        <f t="shared" si="15"/>
        <v>0</v>
      </c>
      <c r="N76" s="214">
        <f t="shared" si="15"/>
        <v>0</v>
      </c>
      <c r="O76" s="239">
        <f t="shared" si="15"/>
        <v>0</v>
      </c>
      <c r="P76" s="211">
        <f t="shared" si="16"/>
        <v>0</v>
      </c>
      <c r="Q76" s="211">
        <f t="shared" si="17"/>
        <v>0</v>
      </c>
      <c r="R76" s="240">
        <f t="shared" si="18"/>
        <v>0</v>
      </c>
      <c r="S76" s="211">
        <f t="shared" si="25"/>
        <v>152112.35149566966</v>
      </c>
      <c r="T76" s="211">
        <f t="shared" si="26"/>
        <v>151982.73567036001</v>
      </c>
      <c r="U76" s="211">
        <f t="shared" si="27"/>
        <v>0</v>
      </c>
      <c r="V76" s="241">
        <f t="shared" si="19"/>
        <v>304095.08716602967</v>
      </c>
      <c r="W76" s="237"/>
      <c r="X76" s="211">
        <f t="shared" si="20"/>
        <v>1079630.2914136155</v>
      </c>
      <c r="Y76" s="242">
        <f t="shared" si="21"/>
        <v>1158.4016002292012</v>
      </c>
      <c r="Z76" s="211">
        <f t="shared" si="22"/>
        <v>1079630.2914136155</v>
      </c>
      <c r="AA76" s="242">
        <f t="shared" si="23"/>
        <v>1158.4016002292012</v>
      </c>
      <c r="AB76" s="211">
        <f t="shared" si="28"/>
        <v>1383725.3785796452</v>
      </c>
      <c r="AC76" s="242">
        <f t="shared" si="24"/>
        <v>1484.6838825961859</v>
      </c>
      <c r="AD76" s="238"/>
    </row>
    <row r="77" spans="1:30" ht="11.5" customHeight="1" outlineLevel="1" x14ac:dyDescent="0.25">
      <c r="A77" s="8" t="s">
        <v>51</v>
      </c>
      <c r="C77" s="167" t="s">
        <v>214</v>
      </c>
      <c r="D77" s="215"/>
      <c r="E77" s="216"/>
      <c r="F77" s="215">
        <f t="shared" si="11"/>
        <v>0</v>
      </c>
      <c r="G77" s="217">
        <f t="shared" si="12"/>
        <v>0</v>
      </c>
      <c r="H77" s="215">
        <f t="shared" si="13"/>
        <v>0</v>
      </c>
      <c r="I77" s="215">
        <f t="shared" si="13"/>
        <v>0</v>
      </c>
      <c r="J77" s="218">
        <f t="shared" si="13"/>
        <v>0</v>
      </c>
      <c r="L77" s="216">
        <f t="shared" si="14"/>
        <v>0</v>
      </c>
      <c r="M77" s="219">
        <f t="shared" si="15"/>
        <v>0</v>
      </c>
      <c r="N77" s="219">
        <f t="shared" si="15"/>
        <v>0</v>
      </c>
      <c r="O77" s="243">
        <f t="shared" si="15"/>
        <v>0</v>
      </c>
      <c r="P77" s="216">
        <f t="shared" si="16"/>
        <v>0</v>
      </c>
      <c r="Q77" s="216">
        <f t="shared" si="17"/>
        <v>0</v>
      </c>
      <c r="R77" s="240">
        <f t="shared" si="18"/>
        <v>0</v>
      </c>
      <c r="S77" s="216">
        <f t="shared" si="25"/>
        <v>7233.083116383983</v>
      </c>
      <c r="T77" s="216">
        <f t="shared" si="26"/>
        <v>7226.9197639116492</v>
      </c>
      <c r="U77" s="216">
        <f t="shared" si="27"/>
        <v>0</v>
      </c>
      <c r="V77" s="241">
        <f t="shared" si="19"/>
        <v>14460.002880295633</v>
      </c>
      <c r="W77" s="237"/>
      <c r="X77" s="216">
        <f t="shared" si="20"/>
        <v>0</v>
      </c>
      <c r="Y77" s="242">
        <f t="shared" si="21"/>
        <v>0</v>
      </c>
      <c r="Z77" s="216">
        <f t="shared" si="22"/>
        <v>0</v>
      </c>
      <c r="AA77" s="242">
        <f t="shared" si="23"/>
        <v>0</v>
      </c>
      <c r="AB77" s="216">
        <f t="shared" si="28"/>
        <v>14460.002880295633</v>
      </c>
      <c r="AC77" s="242">
        <f t="shared" si="24"/>
        <v>15.515024549673425</v>
      </c>
      <c r="AD77" s="238"/>
    </row>
    <row r="78" spans="1:30" ht="11.5" customHeight="1" outlineLevel="1" x14ac:dyDescent="0.25">
      <c r="A78" s="8" t="s">
        <v>53</v>
      </c>
      <c r="B78" s="154"/>
      <c r="C78" s="155" t="s">
        <v>54</v>
      </c>
      <c r="D78" s="210"/>
      <c r="E78" s="211"/>
      <c r="F78" s="210">
        <f t="shared" si="11"/>
        <v>0</v>
      </c>
      <c r="G78" s="212">
        <f t="shared" si="12"/>
        <v>0</v>
      </c>
      <c r="H78" s="210">
        <f t="shared" si="13"/>
        <v>0</v>
      </c>
      <c r="I78" s="210">
        <f t="shared" si="13"/>
        <v>0</v>
      </c>
      <c r="J78" s="213">
        <f t="shared" si="13"/>
        <v>0</v>
      </c>
      <c r="L78" s="211">
        <f t="shared" si="14"/>
        <v>0</v>
      </c>
      <c r="M78" s="214">
        <f t="shared" si="15"/>
        <v>0</v>
      </c>
      <c r="N78" s="214">
        <f t="shared" si="15"/>
        <v>0</v>
      </c>
      <c r="O78" s="239">
        <f t="shared" si="15"/>
        <v>0</v>
      </c>
      <c r="P78" s="211">
        <f t="shared" si="16"/>
        <v>0</v>
      </c>
      <c r="Q78" s="211">
        <f t="shared" si="17"/>
        <v>0</v>
      </c>
      <c r="R78" s="240">
        <f t="shared" si="18"/>
        <v>0</v>
      </c>
      <c r="S78" s="211">
        <f t="shared" si="25"/>
        <v>0</v>
      </c>
      <c r="T78" s="211">
        <f t="shared" si="26"/>
        <v>0</v>
      </c>
      <c r="U78" s="211">
        <f t="shared" si="27"/>
        <v>0</v>
      </c>
      <c r="V78" s="241">
        <f t="shared" si="19"/>
        <v>0</v>
      </c>
      <c r="W78" s="237"/>
      <c r="X78" s="211">
        <f t="shared" si="20"/>
        <v>0</v>
      </c>
      <c r="Y78" s="242">
        <f t="shared" si="21"/>
        <v>0</v>
      </c>
      <c r="Z78" s="211">
        <f t="shared" si="22"/>
        <v>0</v>
      </c>
      <c r="AA78" s="242">
        <f t="shared" si="23"/>
        <v>0</v>
      </c>
      <c r="AB78" s="211">
        <f t="shared" si="28"/>
        <v>0</v>
      </c>
      <c r="AC78" s="242">
        <f t="shared" si="24"/>
        <v>0</v>
      </c>
      <c r="AD78" s="238"/>
    </row>
    <row r="79" spans="1:30" ht="11.5" customHeight="1" thickBot="1" x14ac:dyDescent="0.3">
      <c r="B79" s="535" t="s">
        <v>55</v>
      </c>
      <c r="C79" s="536"/>
      <c r="D79" s="220">
        <f>SUM(E79,F79)</f>
        <v>255973072.51589668</v>
      </c>
      <c r="E79" s="221"/>
      <c r="F79" s="220">
        <f>SUM(G79:J79)</f>
        <v>255973072.51589668</v>
      </c>
      <c r="G79" s="229">
        <f t="shared" si="12"/>
        <v>203338238</v>
      </c>
      <c r="H79" s="223">
        <f t="shared" si="13"/>
        <v>25459473.867857143</v>
      </c>
      <c r="I79" s="223">
        <f t="shared" si="13"/>
        <v>15634373.420154871</v>
      </c>
      <c r="J79" s="224">
        <f t="shared" si="13"/>
        <v>11540987.227884661</v>
      </c>
      <c r="L79" s="244">
        <f t="shared" si="14"/>
        <v>-82308314</v>
      </c>
      <c r="M79" s="226">
        <f t="shared" si="15"/>
        <v>0</v>
      </c>
      <c r="N79" s="226">
        <f t="shared" si="15"/>
        <v>0</v>
      </c>
      <c r="O79" s="245">
        <f t="shared" si="15"/>
        <v>0</v>
      </c>
      <c r="P79" s="221"/>
      <c r="Q79" s="221"/>
      <c r="R79" s="246">
        <f t="shared" si="18"/>
        <v>0</v>
      </c>
      <c r="S79" s="221">
        <v>7261730.7632999998</v>
      </c>
      <c r="T79" s="221">
        <v>7255543</v>
      </c>
      <c r="U79" s="221"/>
      <c r="V79" s="247">
        <f>SUM(S79:U79)</f>
        <v>14517273.7633</v>
      </c>
      <c r="W79" s="237"/>
      <c r="X79" s="221">
        <f t="shared" si="20"/>
        <v>173664758.51589668</v>
      </c>
      <c r="Y79" s="242">
        <f t="shared" si="21"/>
        <v>186335.5778067561</v>
      </c>
      <c r="Z79" s="221">
        <f t="shared" si="22"/>
        <v>173664758.51589668</v>
      </c>
      <c r="AA79" s="242">
        <f t="shared" si="23"/>
        <v>186335.5778067561</v>
      </c>
      <c r="AB79" s="221">
        <f t="shared" si="28"/>
        <v>188182032.27919668</v>
      </c>
      <c r="AC79" s="242">
        <f t="shared" si="24"/>
        <v>201912.05180171318</v>
      </c>
      <c r="AD79" s="238"/>
    </row>
    <row r="80" spans="1:30" ht="12" thickTop="1" x14ac:dyDescent="0.25">
      <c r="D80" s="131"/>
      <c r="E80" s="131"/>
      <c r="F80" s="131"/>
      <c r="G80" s="131"/>
      <c r="H80" s="131"/>
      <c r="I80" s="131"/>
      <c r="J80" s="131"/>
      <c r="S80" s="131">
        <v>6569.4641249999995</v>
      </c>
      <c r="V80" s="132"/>
      <c r="W80" s="248"/>
      <c r="X80" s="29"/>
      <c r="Y80" s="249"/>
      <c r="Z80" s="29"/>
      <c r="AA80" s="249"/>
      <c r="AB80" s="249"/>
      <c r="AC80" s="249"/>
      <c r="AD80" s="250"/>
    </row>
    <row r="81" spans="2:30" ht="14" x14ac:dyDescent="0.3">
      <c r="D81" s="131"/>
      <c r="E81" s="131"/>
      <c r="F81" s="131"/>
      <c r="G81" s="131"/>
      <c r="H81" s="131"/>
      <c r="I81" s="131"/>
      <c r="J81" s="131"/>
      <c r="X81" s="101"/>
      <c r="Y81" s="101" t="s">
        <v>235</v>
      </c>
      <c r="Z81" s="101" t="s">
        <v>235</v>
      </c>
      <c r="AA81" s="101" t="s">
        <v>236</v>
      </c>
      <c r="AB81" s="101" t="s">
        <v>236</v>
      </c>
      <c r="AC81" s="101" t="s">
        <v>237</v>
      </c>
      <c r="AD81" s="101" t="s">
        <v>237</v>
      </c>
    </row>
    <row r="82" spans="2:30" ht="14" x14ac:dyDescent="0.3">
      <c r="B82" s="129" t="s">
        <v>238</v>
      </c>
      <c r="D82" s="131"/>
      <c r="E82" s="131"/>
      <c r="F82" s="131"/>
      <c r="G82" s="131"/>
      <c r="H82" s="131"/>
      <c r="I82" s="131"/>
      <c r="J82" s="131"/>
      <c r="Q82" s="324"/>
      <c r="U82" s="101">
        <v>919</v>
      </c>
      <c r="V82" s="101" t="s">
        <v>281</v>
      </c>
      <c r="X82" s="101" t="s">
        <v>65</v>
      </c>
      <c r="Y82" s="101" t="s">
        <v>239</v>
      </c>
      <c r="Z82" s="101" t="s">
        <v>225</v>
      </c>
      <c r="AA82" s="101" t="s">
        <v>239</v>
      </c>
      <c r="AB82" s="101" t="s">
        <v>225</v>
      </c>
      <c r="AC82" s="101" t="s">
        <v>239</v>
      </c>
      <c r="AD82" s="101" t="s">
        <v>225</v>
      </c>
    </row>
    <row r="83" spans="2:30" ht="12" thickBot="1" x14ac:dyDescent="0.3">
      <c r="B83" s="8" t="s">
        <v>187</v>
      </c>
      <c r="D83" s="131"/>
      <c r="E83" s="131"/>
      <c r="F83" s="131"/>
      <c r="G83" s="131"/>
      <c r="H83" s="131"/>
      <c r="I83" s="131"/>
      <c r="J83" s="131"/>
      <c r="Q83" s="325"/>
      <c r="U83" s="209" t="s">
        <v>231</v>
      </c>
      <c r="V83" s="209" t="s">
        <v>230</v>
      </c>
      <c r="X83" s="209" t="s">
        <v>230</v>
      </c>
      <c r="Y83" s="209" t="s">
        <v>231</v>
      </c>
      <c r="Z83" s="209" t="s">
        <v>231</v>
      </c>
      <c r="AA83" s="209" t="s">
        <v>231</v>
      </c>
      <c r="AB83" s="209" t="s">
        <v>231</v>
      </c>
      <c r="AC83" s="209" t="s">
        <v>231</v>
      </c>
      <c r="AD83" s="209" t="s">
        <v>231</v>
      </c>
    </row>
    <row r="84" spans="2:30" ht="12" thickTop="1" x14ac:dyDescent="0.25">
      <c r="D84" s="251" t="s">
        <v>240</v>
      </c>
      <c r="E84" s="252" t="s">
        <v>241</v>
      </c>
      <c r="F84" s="253" t="s">
        <v>242</v>
      </c>
      <c r="G84" s="131"/>
      <c r="H84" s="131"/>
      <c r="I84" s="131"/>
      <c r="J84" s="131"/>
      <c r="U84" s="211">
        <f t="shared" ref="U84:U93" si="29">$E23*$U$95</f>
        <v>494628.51860062784</v>
      </c>
      <c r="V84" s="211">
        <f t="shared" ref="V84:V93" si="30">$E23*$V$95</f>
        <v>1201729.4306638185</v>
      </c>
      <c r="X84" s="211">
        <f>$E23*$X$95</f>
        <v>1050102.2570163356</v>
      </c>
      <c r="Y84" s="211">
        <f>$E23*$Y$95</f>
        <v>0</v>
      </c>
      <c r="Z84" s="211">
        <f>$E23*$Z$95</f>
        <v>0</v>
      </c>
      <c r="AA84" s="211">
        <f>$E23*$AA$95</f>
        <v>0</v>
      </c>
      <c r="AB84" s="211">
        <f>$E23*$AB$95</f>
        <v>0</v>
      </c>
      <c r="AC84" s="211">
        <f>$E23*$AC$95</f>
        <v>0</v>
      </c>
      <c r="AD84" s="211">
        <f>$E23*$AD$95</f>
        <v>0</v>
      </c>
    </row>
    <row r="85" spans="2:30" x14ac:dyDescent="0.25">
      <c r="B85" s="254" t="s">
        <v>243</v>
      </c>
      <c r="C85" s="255" t="s">
        <v>244</v>
      </c>
      <c r="D85" s="256" t="s">
        <v>245</v>
      </c>
      <c r="E85" s="256" t="s">
        <v>245</v>
      </c>
      <c r="F85" s="257" t="s">
        <v>245</v>
      </c>
      <c r="G85" s="131"/>
      <c r="H85" s="131"/>
      <c r="I85" s="131"/>
      <c r="J85" s="131"/>
      <c r="U85" s="216">
        <f t="shared" si="29"/>
        <v>180.18892859883599</v>
      </c>
      <c r="V85" s="216">
        <f t="shared" si="30"/>
        <v>437.77972849123091</v>
      </c>
      <c r="X85" s="216">
        <f t="shared" ref="X85:X93" si="31">$E24*$X$95</f>
        <v>382.54324911615163</v>
      </c>
      <c r="Y85" s="216">
        <f t="shared" ref="Y85:Y93" si="32">$E24*$Y$95</f>
        <v>0</v>
      </c>
      <c r="Z85" s="216">
        <f t="shared" ref="Z85:Z93" si="33">$E24*$Z$95</f>
        <v>0</v>
      </c>
      <c r="AA85" s="216">
        <f t="shared" ref="AA85:AA93" si="34">$E24*$AA$95</f>
        <v>0</v>
      </c>
      <c r="AB85" s="216">
        <f t="shared" ref="AB85:AB93" si="35">$E24*$AB$95</f>
        <v>0</v>
      </c>
      <c r="AC85" s="216">
        <f t="shared" ref="AC85:AC93" si="36">$E24*$AC$95</f>
        <v>0</v>
      </c>
      <c r="AD85" s="216">
        <f t="shared" ref="AD85:AD93" si="37">$E24*$AD$95</f>
        <v>0</v>
      </c>
    </row>
    <row r="86" spans="2:30" x14ac:dyDescent="0.25">
      <c r="B86" s="230" t="s">
        <v>210</v>
      </c>
      <c r="C86" s="232" t="s">
        <v>31</v>
      </c>
      <c r="D86" s="258">
        <f>D110+I132</f>
        <v>61541.928571428572</v>
      </c>
      <c r="E86" s="258">
        <f>M110+R132</f>
        <v>41801.857142857145</v>
      </c>
      <c r="F86" s="259">
        <f t="shared" ref="F86:F96" si="38">V110+AC132</f>
        <v>26742.142857142855</v>
      </c>
      <c r="G86" s="131"/>
      <c r="H86" s="131"/>
      <c r="I86" s="131"/>
      <c r="J86" s="131"/>
      <c r="U86" s="211">
        <f t="shared" si="29"/>
        <v>21041.756728463952</v>
      </c>
      <c r="V86" s="211">
        <f t="shared" si="30"/>
        <v>51122.2005657954</v>
      </c>
      <c r="X86" s="211">
        <f t="shared" si="31"/>
        <v>44671.901035268398</v>
      </c>
      <c r="Y86" s="211">
        <f t="shared" si="32"/>
        <v>0</v>
      </c>
      <c r="Z86" s="211">
        <f t="shared" si="33"/>
        <v>0</v>
      </c>
      <c r="AA86" s="211">
        <f t="shared" si="34"/>
        <v>0</v>
      </c>
      <c r="AB86" s="211">
        <f t="shared" si="35"/>
        <v>0</v>
      </c>
      <c r="AC86" s="211">
        <f t="shared" si="36"/>
        <v>0</v>
      </c>
      <c r="AD86" s="211">
        <f t="shared" si="37"/>
        <v>0</v>
      </c>
    </row>
    <row r="87" spans="2:30" x14ac:dyDescent="0.25">
      <c r="B87" s="237" t="s">
        <v>210</v>
      </c>
      <c r="C87" s="238" t="s">
        <v>36</v>
      </c>
      <c r="D87" s="260">
        <f t="shared" ref="D87:D96" si="39">D111+I133</f>
        <v>0</v>
      </c>
      <c r="E87" s="260">
        <f t="shared" ref="E87:E95" si="40">M111+R133</f>
        <v>0</v>
      </c>
      <c r="F87" s="261">
        <f t="shared" si="38"/>
        <v>0</v>
      </c>
      <c r="G87" s="131"/>
      <c r="H87" s="131"/>
      <c r="I87" s="131"/>
      <c r="J87" s="131"/>
      <c r="U87" s="216">
        <f t="shared" si="29"/>
        <v>1033663.0366287578</v>
      </c>
      <c r="V87" s="216">
        <f t="shared" si="30"/>
        <v>2511345.8803799232</v>
      </c>
      <c r="X87" s="216">
        <f t="shared" si="31"/>
        <v>2194478.9815781559</v>
      </c>
      <c r="Y87" s="216">
        <f t="shared" si="32"/>
        <v>0</v>
      </c>
      <c r="Z87" s="216">
        <f t="shared" si="33"/>
        <v>0</v>
      </c>
      <c r="AA87" s="216">
        <f t="shared" si="34"/>
        <v>0</v>
      </c>
      <c r="AB87" s="216">
        <f t="shared" si="35"/>
        <v>0</v>
      </c>
      <c r="AC87" s="216">
        <f t="shared" si="36"/>
        <v>0</v>
      </c>
      <c r="AD87" s="216">
        <f t="shared" si="37"/>
        <v>0</v>
      </c>
    </row>
    <row r="88" spans="2:30" x14ac:dyDescent="0.25">
      <c r="B88" s="237" t="s">
        <v>210</v>
      </c>
      <c r="C88" s="238" t="s">
        <v>38</v>
      </c>
      <c r="D88" s="260">
        <f t="shared" si="39"/>
        <v>4309.2857142857147</v>
      </c>
      <c r="E88" s="260">
        <f t="shared" si="40"/>
        <v>0</v>
      </c>
      <c r="F88" s="261">
        <f t="shared" si="38"/>
        <v>685.71428571428567</v>
      </c>
      <c r="G88" s="131"/>
      <c r="H88" s="131"/>
      <c r="I88" s="131"/>
      <c r="J88" s="131"/>
      <c r="U88" s="211">
        <f t="shared" si="29"/>
        <v>0</v>
      </c>
      <c r="V88" s="211">
        <f t="shared" si="30"/>
        <v>0</v>
      </c>
      <c r="X88" s="211">
        <f t="shared" si="31"/>
        <v>0</v>
      </c>
      <c r="Y88" s="211">
        <f t="shared" si="32"/>
        <v>0</v>
      </c>
      <c r="Z88" s="211">
        <f t="shared" si="33"/>
        <v>0</v>
      </c>
      <c r="AA88" s="211">
        <f t="shared" si="34"/>
        <v>0</v>
      </c>
      <c r="AB88" s="211">
        <f t="shared" si="35"/>
        <v>0</v>
      </c>
      <c r="AC88" s="211">
        <f t="shared" si="36"/>
        <v>0</v>
      </c>
      <c r="AD88" s="211">
        <f t="shared" si="37"/>
        <v>0</v>
      </c>
    </row>
    <row r="89" spans="2:30" x14ac:dyDescent="0.25">
      <c r="B89" s="237" t="s">
        <v>210</v>
      </c>
      <c r="C89" s="238" t="s">
        <v>40</v>
      </c>
      <c r="D89" s="260">
        <f t="shared" si="39"/>
        <v>134824.28571428571</v>
      </c>
      <c r="E89" s="260">
        <f t="shared" si="40"/>
        <v>99246.78571428571</v>
      </c>
      <c r="F89" s="261">
        <f t="shared" si="38"/>
        <v>54270.928571428572</v>
      </c>
      <c r="G89" s="131"/>
      <c r="H89" s="131"/>
      <c r="I89" s="131"/>
      <c r="J89" s="131"/>
      <c r="U89" s="211">
        <f t="shared" si="29"/>
        <v>655387.65331914194</v>
      </c>
      <c r="V89" s="211">
        <f t="shared" si="30"/>
        <v>1592303.3182872944</v>
      </c>
      <c r="X89" s="211">
        <f t="shared" si="31"/>
        <v>1391395.8214907444</v>
      </c>
      <c r="Y89" s="211">
        <f t="shared" si="32"/>
        <v>0</v>
      </c>
      <c r="Z89" s="211">
        <f t="shared" si="33"/>
        <v>0</v>
      </c>
      <c r="AA89" s="211">
        <f t="shared" si="34"/>
        <v>0</v>
      </c>
      <c r="AB89" s="211">
        <f t="shared" si="35"/>
        <v>0</v>
      </c>
      <c r="AC89" s="211">
        <f t="shared" si="36"/>
        <v>0</v>
      </c>
      <c r="AD89" s="211">
        <f t="shared" si="37"/>
        <v>0</v>
      </c>
    </row>
    <row r="90" spans="2:30" x14ac:dyDescent="0.25">
      <c r="B90" s="237" t="s">
        <v>210</v>
      </c>
      <c r="C90" s="238" t="s">
        <v>42</v>
      </c>
      <c r="D90" s="260">
        <f t="shared" si="39"/>
        <v>0</v>
      </c>
      <c r="E90" s="260">
        <f t="shared" si="40"/>
        <v>0</v>
      </c>
      <c r="F90" s="261">
        <f t="shared" si="38"/>
        <v>0</v>
      </c>
      <c r="G90" s="131"/>
      <c r="H90" s="131"/>
      <c r="I90" s="131"/>
      <c r="J90" s="131"/>
      <c r="U90" s="216">
        <f t="shared" si="29"/>
        <v>52289.791906430728</v>
      </c>
      <c r="V90" s="216">
        <f t="shared" si="30"/>
        <v>127041.16219384682</v>
      </c>
      <c r="X90" s="216">
        <f t="shared" si="31"/>
        <v>111011.85320895835</v>
      </c>
      <c r="Y90" s="216">
        <f t="shared" si="32"/>
        <v>0</v>
      </c>
      <c r="Z90" s="216">
        <f t="shared" si="33"/>
        <v>0</v>
      </c>
      <c r="AA90" s="216">
        <f t="shared" si="34"/>
        <v>0</v>
      </c>
      <c r="AB90" s="216">
        <f t="shared" si="35"/>
        <v>0</v>
      </c>
      <c r="AC90" s="216">
        <f t="shared" si="36"/>
        <v>0</v>
      </c>
      <c r="AD90" s="216">
        <f t="shared" si="37"/>
        <v>0</v>
      </c>
    </row>
    <row r="91" spans="2:30" x14ac:dyDescent="0.25">
      <c r="B91" s="237" t="s">
        <v>212</v>
      </c>
      <c r="C91" s="238" t="s">
        <v>44</v>
      </c>
      <c r="D91" s="260">
        <f t="shared" si="39"/>
        <v>54407.78571428571</v>
      </c>
      <c r="E91" s="260">
        <f t="shared" si="40"/>
        <v>63001.78571428571</v>
      </c>
      <c r="F91" s="261">
        <f t="shared" si="38"/>
        <v>22705.5</v>
      </c>
      <c r="G91" s="131"/>
      <c r="H91" s="131"/>
      <c r="I91" s="131"/>
      <c r="J91" s="131"/>
      <c r="U91" s="211">
        <f t="shared" si="29"/>
        <v>69205.235407487155</v>
      </c>
      <c r="V91" s="211">
        <f t="shared" si="30"/>
        <v>168138.23913850141</v>
      </c>
      <c r="X91" s="211">
        <f t="shared" si="31"/>
        <v>146923.54194284993</v>
      </c>
      <c r="Y91" s="211">
        <f t="shared" si="32"/>
        <v>0</v>
      </c>
      <c r="Z91" s="211">
        <f t="shared" si="33"/>
        <v>0</v>
      </c>
      <c r="AA91" s="211">
        <f t="shared" si="34"/>
        <v>0</v>
      </c>
      <c r="AB91" s="211">
        <f t="shared" si="35"/>
        <v>0</v>
      </c>
      <c r="AC91" s="211">
        <f t="shared" si="36"/>
        <v>0</v>
      </c>
      <c r="AD91" s="211">
        <f t="shared" si="37"/>
        <v>0</v>
      </c>
    </row>
    <row r="92" spans="2:30" x14ac:dyDescent="0.25">
      <c r="B92" s="237" t="s">
        <v>212</v>
      </c>
      <c r="C92" s="238" t="s">
        <v>46</v>
      </c>
      <c r="D92" s="260">
        <f t="shared" si="39"/>
        <v>6585</v>
      </c>
      <c r="E92" s="260">
        <f t="shared" si="40"/>
        <v>3085.3571428571431</v>
      </c>
      <c r="F92" s="261">
        <f t="shared" si="38"/>
        <v>1075.7142857142858</v>
      </c>
      <c r="G92" s="131"/>
      <c r="H92" s="131"/>
      <c r="I92" s="131"/>
      <c r="J92" s="131"/>
      <c r="U92" s="211">
        <f t="shared" si="29"/>
        <v>49824.612057038546</v>
      </c>
      <c r="V92" s="211">
        <f t="shared" si="30"/>
        <v>121051.86100014443</v>
      </c>
      <c r="X92" s="211">
        <f t="shared" si="31"/>
        <v>105778.2469237371</v>
      </c>
      <c r="Y92" s="211">
        <f t="shared" si="32"/>
        <v>0</v>
      </c>
      <c r="Z92" s="211">
        <f t="shared" si="33"/>
        <v>0</v>
      </c>
      <c r="AA92" s="211">
        <f t="shared" si="34"/>
        <v>0</v>
      </c>
      <c r="AB92" s="211">
        <f t="shared" si="35"/>
        <v>0</v>
      </c>
      <c r="AC92" s="211">
        <f t="shared" si="36"/>
        <v>0</v>
      </c>
      <c r="AD92" s="211">
        <f t="shared" si="37"/>
        <v>0</v>
      </c>
    </row>
    <row r="93" spans="2:30" x14ac:dyDescent="0.25">
      <c r="B93" s="237" t="s">
        <v>212</v>
      </c>
      <c r="C93" s="238" t="s">
        <v>48</v>
      </c>
      <c r="D93" s="260">
        <f t="shared" si="39"/>
        <v>4148</v>
      </c>
      <c r="E93" s="260">
        <f t="shared" si="40"/>
        <v>4360.8571428571431</v>
      </c>
      <c r="F93" s="261">
        <f t="shared" si="38"/>
        <v>1911.8571428571429</v>
      </c>
      <c r="G93" s="131"/>
      <c r="H93" s="131"/>
      <c r="I93" s="131"/>
      <c r="J93" s="131"/>
      <c r="U93" s="216">
        <f t="shared" si="29"/>
        <v>2369.2064234534355</v>
      </c>
      <c r="V93" s="216">
        <f t="shared" si="30"/>
        <v>5756.1280421855254</v>
      </c>
      <c r="X93" s="216">
        <f t="shared" si="31"/>
        <v>5029.8535548348273</v>
      </c>
      <c r="Y93" s="216">
        <f t="shared" si="32"/>
        <v>0</v>
      </c>
      <c r="Z93" s="216">
        <f t="shared" si="33"/>
        <v>0</v>
      </c>
      <c r="AA93" s="216">
        <f t="shared" si="34"/>
        <v>0</v>
      </c>
      <c r="AB93" s="216">
        <f t="shared" si="35"/>
        <v>0</v>
      </c>
      <c r="AC93" s="216">
        <f t="shared" si="36"/>
        <v>0</v>
      </c>
      <c r="AD93" s="216">
        <f t="shared" si="37"/>
        <v>0</v>
      </c>
    </row>
    <row r="94" spans="2:30" x14ac:dyDescent="0.25">
      <c r="B94" s="237" t="s">
        <v>213</v>
      </c>
      <c r="C94" s="238" t="s">
        <v>50</v>
      </c>
      <c r="D94" s="260">
        <f t="shared" si="39"/>
        <v>4418.5714285714284</v>
      </c>
      <c r="E94" s="260">
        <f t="shared" si="40"/>
        <v>1139.4285714285716</v>
      </c>
      <c r="F94" s="261">
        <f t="shared" si="38"/>
        <v>0</v>
      </c>
      <c r="G94" s="131"/>
      <c r="H94" s="131"/>
      <c r="I94" s="131"/>
      <c r="J94" s="131"/>
      <c r="U94" s="211"/>
      <c r="V94" s="211"/>
      <c r="X94" s="211"/>
      <c r="Y94" s="211"/>
      <c r="Z94" s="211"/>
      <c r="AA94" s="211"/>
      <c r="AB94" s="211"/>
      <c r="AC94" s="211"/>
      <c r="AD94" s="211"/>
    </row>
    <row r="95" spans="2:30" x14ac:dyDescent="0.25">
      <c r="B95" s="237" t="s">
        <v>213</v>
      </c>
      <c r="C95" s="238" t="s">
        <v>52</v>
      </c>
      <c r="D95" s="260">
        <f t="shared" si="39"/>
        <v>0</v>
      </c>
      <c r="E95" s="260">
        <f t="shared" si="40"/>
        <v>0</v>
      </c>
      <c r="F95" s="261">
        <f t="shared" si="38"/>
        <v>0</v>
      </c>
      <c r="G95" s="131"/>
      <c r="H95" s="131"/>
      <c r="I95" s="131"/>
      <c r="J95" s="131"/>
      <c r="U95" s="221">
        <v>2378590</v>
      </c>
      <c r="V95" s="221">
        <v>5778926</v>
      </c>
      <c r="X95" s="221">
        <v>5049775</v>
      </c>
      <c r="Y95" s="221"/>
      <c r="Z95" s="221"/>
      <c r="AA95" s="221"/>
      <c r="AB95" s="221"/>
      <c r="AC95" s="221"/>
      <c r="AD95" s="221"/>
    </row>
    <row r="96" spans="2:30" x14ac:dyDescent="0.25">
      <c r="B96" s="237" t="s">
        <v>213</v>
      </c>
      <c r="C96" s="238" t="s">
        <v>54</v>
      </c>
      <c r="D96" s="260">
        <f t="shared" si="39"/>
        <v>0</v>
      </c>
      <c r="E96" s="260">
        <f>M120+R142</f>
        <v>0</v>
      </c>
      <c r="F96" s="261">
        <f t="shared" si="38"/>
        <v>0</v>
      </c>
      <c r="G96" s="131"/>
      <c r="H96" s="131"/>
      <c r="I96" s="131"/>
      <c r="J96" s="131"/>
    </row>
    <row r="97" spans="1:29" s="38" customFormat="1" x14ac:dyDescent="0.25">
      <c r="B97" s="262" t="s">
        <v>246</v>
      </c>
      <c r="C97" s="263"/>
      <c r="D97" s="264">
        <f>SUM(D86:D95)</f>
        <v>270234.8571428571</v>
      </c>
      <c r="E97" s="264">
        <f>SUM(E86:E95)</f>
        <v>212636.07142857139</v>
      </c>
      <c r="F97" s="265">
        <f>SUM(F86:F95)</f>
        <v>107391.85714285714</v>
      </c>
      <c r="G97" s="266"/>
      <c r="H97" s="266"/>
      <c r="I97" s="266"/>
      <c r="J97" s="266"/>
      <c r="U97" s="267"/>
      <c r="W97" s="267"/>
      <c r="X97" s="329">
        <f>X95*1.19</f>
        <v>6009232.25</v>
      </c>
    </row>
    <row r="98" spans="1:29" x14ac:dyDescent="0.25">
      <c r="B98" s="230" t="s">
        <v>247</v>
      </c>
      <c r="C98" s="232"/>
      <c r="D98" s="258">
        <f>D122</f>
        <v>13835.043</v>
      </c>
      <c r="E98" s="258">
        <f>M122</f>
        <v>10324.8225</v>
      </c>
      <c r="F98" s="259">
        <f>V122</f>
        <v>7036.3860000000004</v>
      </c>
      <c r="G98" s="131"/>
      <c r="H98" s="131"/>
      <c r="I98" s="131"/>
      <c r="J98" s="131"/>
    </row>
    <row r="99" spans="1:29" x14ac:dyDescent="0.25">
      <c r="B99" s="237" t="s">
        <v>248</v>
      </c>
      <c r="C99" s="238"/>
      <c r="D99" s="260">
        <f>D149</f>
        <v>15620.556428571428</v>
      </c>
      <c r="E99" s="260">
        <f>M149</f>
        <v>5941.8369642857142</v>
      </c>
      <c r="F99" s="261">
        <f>V149</f>
        <v>4669.3264285714276</v>
      </c>
      <c r="G99" s="131"/>
      <c r="H99" s="131"/>
      <c r="I99" s="131"/>
      <c r="J99" s="131"/>
    </row>
    <row r="100" spans="1:29" s="38" customFormat="1" ht="12" thickBot="1" x14ac:dyDescent="0.3">
      <c r="B100" s="268" t="s">
        <v>249</v>
      </c>
      <c r="C100" s="269"/>
      <c r="D100" s="270">
        <f>SUM(D98:D99)</f>
        <v>29455.599428571426</v>
      </c>
      <c r="E100" s="270">
        <f>SUM(E98:E99)</f>
        <v>16266.659464285714</v>
      </c>
      <c r="F100" s="271">
        <f>SUM(F98:F99)</f>
        <v>11705.712428571427</v>
      </c>
      <c r="G100" s="266"/>
      <c r="H100" s="266"/>
      <c r="I100" s="266"/>
      <c r="J100" s="266"/>
      <c r="U100" s="267"/>
      <c r="W100" s="267"/>
    </row>
    <row r="101" spans="1:29" x14ac:dyDescent="0.25">
      <c r="B101" s="272" t="s">
        <v>250</v>
      </c>
      <c r="C101" s="273"/>
      <c r="D101" s="274">
        <f>D124</f>
        <v>12811249.818</v>
      </c>
      <c r="E101" s="274">
        <f>M124</f>
        <v>9560785.6349999998</v>
      </c>
      <c r="F101" s="275">
        <f>V124</f>
        <v>6515693.4360000007</v>
      </c>
    </row>
    <row r="102" spans="1:29" x14ac:dyDescent="0.25">
      <c r="B102" s="276" t="s">
        <v>251</v>
      </c>
      <c r="C102" s="238"/>
      <c r="D102" s="277">
        <f>D150</f>
        <v>14355291.357857144</v>
      </c>
      <c r="E102" s="277">
        <f>M150</f>
        <v>5460548.1701785717</v>
      </c>
      <c r="F102" s="278">
        <f>V150</f>
        <v>4291110.9878571425</v>
      </c>
    </row>
    <row r="103" spans="1:29" ht="12" thickBot="1" x14ac:dyDescent="0.3">
      <c r="B103" s="279" t="s">
        <v>252</v>
      </c>
      <c r="C103" s="280"/>
      <c r="D103" s="281">
        <f>SUM(D101:D102)</f>
        <v>27166541.175857142</v>
      </c>
      <c r="E103" s="281">
        <f>SUM(E101:E102)</f>
        <v>15021333.805178571</v>
      </c>
      <c r="F103" s="282">
        <f>SUM(F101:F102)</f>
        <v>10806804.423857143</v>
      </c>
    </row>
    <row r="105" spans="1:29" ht="12" thickBot="1" x14ac:dyDescent="0.3"/>
    <row r="106" spans="1:29" ht="15" thickBot="1" x14ac:dyDescent="0.4">
      <c r="B106" s="129" t="s">
        <v>278</v>
      </c>
      <c r="G106" s="283" t="s">
        <v>253</v>
      </c>
      <c r="H106" s="284">
        <v>926</v>
      </c>
      <c r="Y106" s="285"/>
      <c r="Z106" s="285"/>
      <c r="AA106" s="285"/>
      <c r="AB106" s="285"/>
      <c r="AC106" s="285"/>
    </row>
    <row r="107" spans="1:29" ht="14.5" x14ac:dyDescent="0.35">
      <c r="B107" s="8" t="s">
        <v>187</v>
      </c>
      <c r="G107" s="276" t="s">
        <v>254</v>
      </c>
      <c r="H107" s="286">
        <v>0.109</v>
      </c>
      <c r="Y107" s="285"/>
      <c r="Z107" s="285"/>
      <c r="AA107" s="285"/>
      <c r="AB107" s="285"/>
      <c r="AC107" s="285"/>
    </row>
    <row r="108" spans="1:29" s="38" customFormat="1" ht="14.5" x14ac:dyDescent="0.35">
      <c r="B108" s="287" t="s">
        <v>240</v>
      </c>
      <c r="C108" s="287"/>
      <c r="D108" s="287"/>
      <c r="E108" s="287"/>
      <c r="F108" s="287"/>
      <c r="G108" s="276" t="s">
        <v>241</v>
      </c>
      <c r="H108" s="286">
        <v>7.6499999999999999E-2</v>
      </c>
      <c r="K108" s="287" t="s">
        <v>241</v>
      </c>
      <c r="L108" s="287"/>
      <c r="M108" s="287"/>
      <c r="N108" s="287"/>
      <c r="O108" s="287"/>
      <c r="T108" s="287" t="s">
        <v>242</v>
      </c>
      <c r="Y108" s="285"/>
      <c r="Z108" s="285"/>
      <c r="AA108" s="285"/>
      <c r="AB108" s="285"/>
      <c r="AC108" s="285"/>
    </row>
    <row r="109" spans="1:29" ht="15" thickBot="1" x14ac:dyDescent="0.4">
      <c r="B109" s="8" t="s">
        <v>243</v>
      </c>
      <c r="C109" s="8" t="s">
        <v>244</v>
      </c>
      <c r="D109" s="8" t="s">
        <v>255</v>
      </c>
      <c r="E109" s="8" t="s">
        <v>256</v>
      </c>
      <c r="G109" s="288" t="s">
        <v>242</v>
      </c>
      <c r="H109" s="289">
        <v>0.109</v>
      </c>
      <c r="K109" s="8" t="s">
        <v>257</v>
      </c>
      <c r="L109" s="8" t="s">
        <v>244</v>
      </c>
      <c r="M109" s="8" t="s">
        <v>255</v>
      </c>
      <c r="N109" s="8" t="s">
        <v>256</v>
      </c>
      <c r="P109"/>
      <c r="Q109" s="285"/>
      <c r="T109" s="8" t="s">
        <v>258</v>
      </c>
      <c r="U109" s="8" t="s">
        <v>244</v>
      </c>
      <c r="V109" s="8" t="s">
        <v>255</v>
      </c>
      <c r="W109" s="8" t="s">
        <v>256</v>
      </c>
      <c r="Y109" s="285"/>
      <c r="Z109" s="285"/>
      <c r="AA109" s="285"/>
      <c r="AB109" s="285"/>
      <c r="AC109" s="285"/>
    </row>
    <row r="110" spans="1:29" ht="14.5" outlineLevel="1" x14ac:dyDescent="0.35">
      <c r="A110" s="8" t="s">
        <v>30</v>
      </c>
      <c r="B110" s="8" t="s">
        <v>210</v>
      </c>
      <c r="C110" s="8" t="s">
        <v>31</v>
      </c>
      <c r="D110" s="290">
        <v>32173</v>
      </c>
      <c r="E110" s="291">
        <v>84</v>
      </c>
      <c r="G110" s="95" t="s">
        <v>259</v>
      </c>
      <c r="K110" s="8" t="s">
        <v>210</v>
      </c>
      <c r="L110" s="8" t="s">
        <v>31</v>
      </c>
      <c r="M110" s="290">
        <v>21854</v>
      </c>
      <c r="N110" s="291">
        <v>62</v>
      </c>
      <c r="P110"/>
      <c r="Q110" s="285"/>
      <c r="T110" s="8" t="s">
        <v>210</v>
      </c>
      <c r="U110" s="8" t="s">
        <v>31</v>
      </c>
      <c r="V110" s="290">
        <v>13600</v>
      </c>
      <c r="W110" s="291">
        <v>18</v>
      </c>
      <c r="Y110" s="285"/>
      <c r="Z110" s="285"/>
      <c r="AA110" s="285"/>
      <c r="AB110" s="285"/>
      <c r="AC110" s="285"/>
    </row>
    <row r="111" spans="1:29" ht="14.5" outlineLevel="1" x14ac:dyDescent="0.35">
      <c r="A111" s="8" t="s">
        <v>35</v>
      </c>
      <c r="B111" s="8" t="s">
        <v>210</v>
      </c>
      <c r="C111" s="8" t="s">
        <v>36</v>
      </c>
      <c r="D111" s="290"/>
      <c r="E111" s="291">
        <v>4</v>
      </c>
      <c r="G111" s="95" t="s">
        <v>260</v>
      </c>
      <c r="H111" s="285"/>
      <c r="K111" s="8" t="s">
        <v>210</v>
      </c>
      <c r="L111" s="8" t="s">
        <v>36</v>
      </c>
      <c r="M111" s="290"/>
      <c r="N111" s="291">
        <v>1</v>
      </c>
      <c r="P111"/>
      <c r="Q111" s="285"/>
      <c r="U111" s="8"/>
      <c r="V111" s="12"/>
      <c r="W111" s="292"/>
      <c r="Y111" s="285"/>
      <c r="Z111" s="285"/>
      <c r="AA111" s="285"/>
      <c r="AB111" s="285"/>
      <c r="AC111" s="285"/>
    </row>
    <row r="112" spans="1:29" ht="14.5" outlineLevel="1" x14ac:dyDescent="0.35">
      <c r="A112" s="8" t="s">
        <v>37</v>
      </c>
      <c r="B112" s="8" t="s">
        <v>210</v>
      </c>
      <c r="C112" s="8" t="s">
        <v>38</v>
      </c>
      <c r="D112" s="290"/>
      <c r="E112" s="291">
        <v>1</v>
      </c>
      <c r="G112" s="95"/>
      <c r="H112" s="285"/>
      <c r="M112" s="12"/>
      <c r="N112" s="292"/>
      <c r="P112"/>
      <c r="Q112" s="285"/>
      <c r="U112" s="8"/>
      <c r="V112" s="12"/>
      <c r="W112" s="292"/>
      <c r="Y112" s="285"/>
      <c r="Z112" s="285"/>
      <c r="AA112" s="285"/>
      <c r="AB112" s="285"/>
      <c r="AC112" s="285"/>
    </row>
    <row r="113" spans="1:29" ht="14.5" outlineLevel="1" x14ac:dyDescent="0.35">
      <c r="A113" s="8" t="s">
        <v>39</v>
      </c>
      <c r="B113" s="8" t="s">
        <v>210</v>
      </c>
      <c r="C113" s="8" t="s">
        <v>40</v>
      </c>
      <c r="D113" s="290">
        <v>60360</v>
      </c>
      <c r="E113" s="291">
        <v>283</v>
      </c>
      <c r="G113"/>
      <c r="H113" s="285"/>
      <c r="K113" s="8" t="s">
        <v>210</v>
      </c>
      <c r="L113" s="8" t="s">
        <v>40</v>
      </c>
      <c r="M113" s="290">
        <v>62005</v>
      </c>
      <c r="N113" s="291">
        <v>191</v>
      </c>
      <c r="P113"/>
      <c r="Q113" s="285"/>
      <c r="T113" s="8" t="s">
        <v>210</v>
      </c>
      <c r="U113" s="8" t="s">
        <v>40</v>
      </c>
      <c r="V113" s="290">
        <v>34832</v>
      </c>
      <c r="W113" s="291">
        <v>37</v>
      </c>
      <c r="Y113" s="285"/>
      <c r="Z113" s="285"/>
      <c r="AA113" s="285"/>
      <c r="AB113" s="285"/>
      <c r="AC113" s="285"/>
    </row>
    <row r="114" spans="1:29" ht="14.5" outlineLevel="1" x14ac:dyDescent="0.35">
      <c r="A114" s="8" t="s">
        <v>41</v>
      </c>
      <c r="D114" s="12"/>
      <c r="E114" s="292"/>
      <c r="G114"/>
      <c r="H114" s="285"/>
      <c r="M114" s="12"/>
      <c r="N114" s="292"/>
      <c r="P114"/>
      <c r="Q114" s="285"/>
      <c r="U114" s="8"/>
      <c r="V114" s="12"/>
      <c r="W114" s="292"/>
      <c r="Y114" s="285"/>
      <c r="Z114" s="285"/>
      <c r="AA114" s="285"/>
      <c r="AB114" s="285"/>
      <c r="AC114" s="285"/>
    </row>
    <row r="115" spans="1:29" ht="14.5" outlineLevel="1" x14ac:dyDescent="0.35">
      <c r="A115" s="8" t="s">
        <v>43</v>
      </c>
      <c r="B115" s="8" t="s">
        <v>212</v>
      </c>
      <c r="C115" s="8" t="s">
        <v>44</v>
      </c>
      <c r="D115" s="290">
        <v>26871</v>
      </c>
      <c r="E115" s="291">
        <v>42</v>
      </c>
      <c r="G115"/>
      <c r="H115" s="285"/>
      <c r="K115" s="8" t="s">
        <v>212</v>
      </c>
      <c r="L115" s="8" t="s">
        <v>44</v>
      </c>
      <c r="M115" s="290">
        <v>45590</v>
      </c>
      <c r="N115" s="291">
        <v>110</v>
      </c>
      <c r="P115"/>
      <c r="Q115" s="285"/>
      <c r="T115" s="8" t="s">
        <v>212</v>
      </c>
      <c r="U115" s="8" t="s">
        <v>44</v>
      </c>
      <c r="V115" s="290">
        <v>14103</v>
      </c>
      <c r="W115" s="291">
        <v>15</v>
      </c>
      <c r="Y115" s="285"/>
      <c r="Z115" s="285"/>
      <c r="AA115" s="285"/>
      <c r="AB115" s="285"/>
      <c r="AC115" s="285"/>
    </row>
    <row r="116" spans="1:29" ht="14.5" outlineLevel="1" x14ac:dyDescent="0.35">
      <c r="A116" s="8" t="s">
        <v>45</v>
      </c>
      <c r="B116" s="8" t="s">
        <v>212</v>
      </c>
      <c r="C116" s="8" t="s">
        <v>46</v>
      </c>
      <c r="D116" s="290">
        <v>3510</v>
      </c>
      <c r="E116" s="291">
        <v>36</v>
      </c>
      <c r="G116"/>
      <c r="H116" s="285"/>
      <c r="K116" s="8" t="s">
        <v>212</v>
      </c>
      <c r="L116" s="8" t="s">
        <v>46</v>
      </c>
      <c r="M116" s="290">
        <v>2180</v>
      </c>
      <c r="N116" s="291">
        <v>10</v>
      </c>
      <c r="T116" s="8" t="s">
        <v>212</v>
      </c>
      <c r="U116" s="8" t="s">
        <v>46</v>
      </c>
      <c r="V116" s="290">
        <v>420</v>
      </c>
      <c r="W116" s="291">
        <v>1</v>
      </c>
      <c r="Y116" s="285"/>
      <c r="Z116" s="285"/>
      <c r="AA116" s="285"/>
      <c r="AB116" s="285"/>
      <c r="AC116" s="285"/>
    </row>
    <row r="117" spans="1:29" ht="14.5" outlineLevel="1" x14ac:dyDescent="0.35">
      <c r="A117" s="8" t="s">
        <v>47</v>
      </c>
      <c r="B117" s="8" t="s">
        <v>212</v>
      </c>
      <c r="C117" s="8" t="s">
        <v>48</v>
      </c>
      <c r="D117" s="290">
        <v>1298</v>
      </c>
      <c r="E117" s="291">
        <v>7</v>
      </c>
      <c r="G117"/>
      <c r="H117" s="285"/>
      <c r="K117" s="8" t="s">
        <v>212</v>
      </c>
      <c r="L117" s="8" t="s">
        <v>48</v>
      </c>
      <c r="M117" s="290">
        <v>2833</v>
      </c>
      <c r="N117" s="291">
        <v>6</v>
      </c>
      <c r="T117" s="8" t="s">
        <v>212</v>
      </c>
      <c r="U117" s="8" t="s">
        <v>48</v>
      </c>
      <c r="V117" s="290">
        <v>1599</v>
      </c>
      <c r="W117" s="291">
        <v>5</v>
      </c>
      <c r="Y117" s="285"/>
      <c r="Z117" s="285"/>
      <c r="AA117" s="285"/>
      <c r="AB117" s="285"/>
      <c r="AC117" s="285"/>
    </row>
    <row r="118" spans="1:29" ht="14.5" outlineLevel="1" x14ac:dyDescent="0.35">
      <c r="A118" s="8" t="s">
        <v>49</v>
      </c>
      <c r="B118" s="8" t="s">
        <v>213</v>
      </c>
      <c r="C118" s="8" t="s">
        <v>50</v>
      </c>
      <c r="D118" s="290">
        <v>2715</v>
      </c>
      <c r="E118" s="291">
        <v>10</v>
      </c>
      <c r="G118"/>
      <c r="H118" s="285"/>
      <c r="M118" s="12">
        <v>503</v>
      </c>
      <c r="N118" s="292"/>
      <c r="U118" s="8"/>
      <c r="V118" s="12"/>
      <c r="W118" s="292"/>
      <c r="Y118" s="285"/>
      <c r="Z118" s="285"/>
      <c r="AA118" s="285"/>
      <c r="AB118" s="285"/>
      <c r="AC118" s="285"/>
    </row>
    <row r="119" spans="1:29" ht="14.5" outlineLevel="1" x14ac:dyDescent="0.35">
      <c r="A119" s="8" t="s">
        <v>51</v>
      </c>
      <c r="B119" s="8" t="s">
        <v>213</v>
      </c>
      <c r="C119" s="8" t="s">
        <v>52</v>
      </c>
      <c r="D119" s="290"/>
      <c r="E119" s="291">
        <v>7</v>
      </c>
      <c r="G119"/>
      <c r="H119" s="285"/>
      <c r="K119" s="8" t="s">
        <v>213</v>
      </c>
      <c r="L119" s="8" t="s">
        <v>52</v>
      </c>
      <c r="M119" s="290"/>
      <c r="N119" s="291">
        <v>2</v>
      </c>
      <c r="T119" s="8" t="s">
        <v>213</v>
      </c>
      <c r="U119" s="8" t="s">
        <v>52</v>
      </c>
      <c r="V119" s="290"/>
      <c r="W119" s="291">
        <v>1</v>
      </c>
      <c r="Y119" s="285"/>
      <c r="Z119" s="285"/>
      <c r="AA119" s="285"/>
      <c r="AB119" s="285"/>
      <c r="AC119" s="285"/>
    </row>
    <row r="120" spans="1:29" ht="14.5" outlineLevel="1" x14ac:dyDescent="0.35">
      <c r="A120" s="8" t="s">
        <v>53</v>
      </c>
      <c r="D120" s="290"/>
      <c r="E120" s="291"/>
      <c r="M120" s="290"/>
      <c r="N120" s="291"/>
      <c r="U120" s="8"/>
      <c r="V120" s="290"/>
      <c r="W120" s="291"/>
      <c r="Y120" s="285"/>
      <c r="Z120" s="285"/>
      <c r="AA120" s="285"/>
      <c r="AB120" s="285"/>
      <c r="AC120" s="285"/>
    </row>
    <row r="121" spans="1:29" ht="14.5" x14ac:dyDescent="0.35">
      <c r="B121" s="293" t="s">
        <v>55</v>
      </c>
      <c r="C121" s="294"/>
      <c r="D121" s="295">
        <f>SUM(D110:D120)</f>
        <v>126927</v>
      </c>
      <c r="E121" s="296">
        <f>SUM(E110:E120)</f>
        <v>474</v>
      </c>
      <c r="K121" s="293" t="s">
        <v>55</v>
      </c>
      <c r="L121" s="294"/>
      <c r="M121" s="295">
        <f>SUM(M110:M120)</f>
        <v>134965</v>
      </c>
      <c r="N121" s="296">
        <f>SUM(N110:N120)</f>
        <v>382</v>
      </c>
      <c r="T121" s="293" t="s">
        <v>55</v>
      </c>
      <c r="U121" s="294"/>
      <c r="V121" s="295">
        <f>SUM(V110:V120)</f>
        <v>64554</v>
      </c>
      <c r="W121" s="296">
        <f>SUM(W110:W120)</f>
        <v>77</v>
      </c>
      <c r="Y121" s="285"/>
      <c r="Z121" s="285"/>
      <c r="AA121" s="285"/>
      <c r="AB121" s="285"/>
      <c r="AC121" s="285"/>
    </row>
    <row r="122" spans="1:29" ht="14.5" x14ac:dyDescent="0.35">
      <c r="B122" s="8" t="s">
        <v>261</v>
      </c>
      <c r="D122" s="297">
        <f>D121*$H$107</f>
        <v>13835.043</v>
      </c>
      <c r="E122" s="297"/>
      <c r="K122" s="8" t="s">
        <v>261</v>
      </c>
      <c r="M122" s="297">
        <f>M121*$H$108</f>
        <v>10324.8225</v>
      </c>
      <c r="N122" s="297"/>
      <c r="T122" s="8" t="s">
        <v>261</v>
      </c>
      <c r="U122" s="8"/>
      <c r="V122" s="297">
        <f>V121*$H$109</f>
        <v>7036.3860000000004</v>
      </c>
      <c r="W122" s="297"/>
      <c r="Y122" s="285"/>
      <c r="Z122" s="285"/>
      <c r="AA122" s="285"/>
      <c r="AB122" s="285"/>
      <c r="AC122" s="285"/>
    </row>
    <row r="123" spans="1:29" ht="15" thickBot="1" x14ac:dyDescent="0.4">
      <c r="B123" s="8" t="s">
        <v>262</v>
      </c>
      <c r="D123" s="298">
        <f>D122/D121</f>
        <v>0.109</v>
      </c>
      <c r="E123" s="297"/>
      <c r="K123" s="8" t="s">
        <v>262</v>
      </c>
      <c r="M123" s="299">
        <f>M122/M121</f>
        <v>7.6499999999999999E-2</v>
      </c>
      <c r="N123" s="297"/>
      <c r="T123" s="8" t="s">
        <v>262</v>
      </c>
      <c r="U123" s="8"/>
      <c r="V123" s="298">
        <f>V122/V121</f>
        <v>0.109</v>
      </c>
      <c r="W123" s="297"/>
      <c r="Y123" s="285"/>
      <c r="Z123" s="285"/>
      <c r="AA123" s="285"/>
      <c r="AB123" s="285"/>
      <c r="AC123" s="285"/>
    </row>
    <row r="124" spans="1:29" s="38" customFormat="1" ht="15" thickBot="1" x14ac:dyDescent="0.4">
      <c r="B124" s="300" t="s">
        <v>263</v>
      </c>
      <c r="C124" s="301"/>
      <c r="D124" s="302">
        <f>D122*$H$106</f>
        <v>12811249.818</v>
      </c>
      <c r="E124" s="303"/>
      <c r="K124" s="300" t="s">
        <v>263</v>
      </c>
      <c r="L124" s="301"/>
      <c r="M124" s="302">
        <f>M122*$H$106</f>
        <v>9560785.6349999998</v>
      </c>
      <c r="N124" s="303"/>
      <c r="T124" s="300" t="s">
        <v>263</v>
      </c>
      <c r="U124" s="301"/>
      <c r="V124" s="302">
        <f>V122*$H$106</f>
        <v>6515693.4360000007</v>
      </c>
      <c r="W124" s="303"/>
      <c r="Y124" s="285"/>
      <c r="Z124" s="285"/>
      <c r="AA124" s="285"/>
      <c r="AB124" s="285"/>
      <c r="AC124" s="285"/>
    </row>
    <row r="125" spans="1:29" ht="14.5" x14ac:dyDescent="0.35">
      <c r="D125" s="297"/>
      <c r="E125" s="297"/>
      <c r="G125" s="95" t="s">
        <v>259</v>
      </c>
      <c r="M125" s="297"/>
      <c r="N125" s="297"/>
      <c r="U125" s="8"/>
      <c r="V125" s="297"/>
      <c r="W125" s="297"/>
      <c r="Y125" s="285"/>
      <c r="Z125" s="285"/>
      <c r="AA125" s="285"/>
      <c r="AB125" s="285"/>
      <c r="AC125" s="285"/>
    </row>
    <row r="126" spans="1:29" ht="12" thickBot="1" x14ac:dyDescent="0.3">
      <c r="D126" s="297"/>
      <c r="E126" s="297"/>
      <c r="G126" s="95" t="s">
        <v>260</v>
      </c>
      <c r="M126" s="297"/>
      <c r="N126" s="297"/>
      <c r="U126" s="8"/>
      <c r="V126" s="297"/>
      <c r="W126" s="297"/>
      <c r="Y126" s="132"/>
      <c r="Z126" s="132"/>
      <c r="AA126" s="132"/>
    </row>
    <row r="127" spans="1:29" ht="12" thickBot="1" x14ac:dyDescent="0.3">
      <c r="D127" s="297"/>
      <c r="E127" s="297"/>
      <c r="G127" s="283" t="s">
        <v>253</v>
      </c>
      <c r="H127" s="284">
        <v>919</v>
      </c>
      <c r="M127" s="297"/>
      <c r="N127" s="297"/>
      <c r="U127" s="8"/>
      <c r="V127" s="297"/>
      <c r="W127" s="297"/>
      <c r="Y127" s="132"/>
      <c r="Z127" s="132"/>
      <c r="AA127" s="132"/>
    </row>
    <row r="128" spans="1:29" ht="14" x14ac:dyDescent="0.3">
      <c r="B128" s="129" t="s">
        <v>279</v>
      </c>
      <c r="G128" s="272" t="s">
        <v>264</v>
      </c>
      <c r="H128" s="304">
        <v>1</v>
      </c>
      <c r="U128" s="8"/>
      <c r="Y128" s="132"/>
      <c r="Z128" s="132"/>
      <c r="AA128" s="132"/>
    </row>
    <row r="129" spans="1:29" ht="12" thickBot="1" x14ac:dyDescent="0.3">
      <c r="B129" s="8" t="s">
        <v>187</v>
      </c>
      <c r="D129" s="8">
        <v>16</v>
      </c>
      <c r="E129" s="8">
        <v>30</v>
      </c>
      <c r="F129" s="8">
        <f>E129-D129</f>
        <v>14</v>
      </c>
      <c r="G129" s="305" t="s">
        <v>265</v>
      </c>
      <c r="H129" s="306">
        <v>14</v>
      </c>
      <c r="U129" s="8"/>
      <c r="Y129" s="132"/>
      <c r="Z129" s="132"/>
      <c r="AA129" s="132"/>
    </row>
    <row r="130" spans="1:29" s="38" customFormat="1" x14ac:dyDescent="0.25">
      <c r="B130" s="287" t="s">
        <v>240</v>
      </c>
      <c r="C130" s="287"/>
      <c r="F130" s="287"/>
      <c r="K130" s="287" t="s">
        <v>241</v>
      </c>
      <c r="L130" s="287"/>
      <c r="M130" s="287"/>
      <c r="N130" s="287"/>
      <c r="O130" s="287"/>
      <c r="T130" s="287" t="s">
        <v>242</v>
      </c>
      <c r="Y130" s="267"/>
      <c r="Z130" s="267"/>
      <c r="AA130" s="267"/>
    </row>
    <row r="131" spans="1:29" s="96" customFormat="1" ht="23" x14ac:dyDescent="0.25">
      <c r="B131" s="96" t="s">
        <v>243</v>
      </c>
      <c r="C131" s="96" t="s">
        <v>244</v>
      </c>
      <c r="D131" s="96" t="s">
        <v>255</v>
      </c>
      <c r="E131" s="96" t="s">
        <v>256</v>
      </c>
      <c r="F131" s="307" t="s">
        <v>266</v>
      </c>
      <c r="G131" s="96" t="s">
        <v>267</v>
      </c>
      <c r="H131" s="308" t="s">
        <v>268</v>
      </c>
      <c r="I131" s="96" t="s">
        <v>246</v>
      </c>
      <c r="K131" s="96" t="s">
        <v>257</v>
      </c>
      <c r="L131" s="96" t="s">
        <v>244</v>
      </c>
      <c r="M131" s="96" t="s">
        <v>255</v>
      </c>
      <c r="N131" s="96" t="s">
        <v>256</v>
      </c>
      <c r="O131" s="307" t="s">
        <v>266</v>
      </c>
      <c r="P131" s="96" t="s">
        <v>267</v>
      </c>
      <c r="Q131" s="308" t="s">
        <v>268</v>
      </c>
      <c r="R131" s="96" t="s">
        <v>246</v>
      </c>
      <c r="T131" s="96" t="s">
        <v>258</v>
      </c>
      <c r="U131" s="96" t="s">
        <v>244</v>
      </c>
      <c r="V131" s="96" t="s">
        <v>255</v>
      </c>
      <c r="W131" s="96" t="s">
        <v>256</v>
      </c>
      <c r="X131" s="307" t="s">
        <v>266</v>
      </c>
      <c r="Y131" s="96" t="s">
        <v>267</v>
      </c>
      <c r="AB131" s="308" t="s">
        <v>268</v>
      </c>
      <c r="AC131" s="96" t="s">
        <v>246</v>
      </c>
    </row>
    <row r="132" spans="1:29" outlineLevel="1" x14ac:dyDescent="0.25">
      <c r="A132" s="8" t="s">
        <v>30</v>
      </c>
      <c r="B132" s="8" t="s">
        <v>210</v>
      </c>
      <c r="C132" s="309" t="s">
        <v>31</v>
      </c>
      <c r="D132" s="310">
        <v>27411</v>
      </c>
      <c r="E132" s="311">
        <v>20</v>
      </c>
      <c r="F132" s="312">
        <f>D132/$D$143</f>
        <v>0.20493592714984224</v>
      </c>
      <c r="G132" s="313">
        <f t="shared" ref="G132:G141" si="41">D132/$H$129</f>
        <v>1957.9285714285713</v>
      </c>
      <c r="H132" s="314">
        <f t="shared" ref="H132:H141" si="42">G132*$H$128</f>
        <v>1957.9285714285713</v>
      </c>
      <c r="I132" s="240">
        <f>H132+D132</f>
        <v>29368.928571428572</v>
      </c>
      <c r="K132" s="8" t="s">
        <v>210</v>
      </c>
      <c r="L132" s="309" t="s">
        <v>31</v>
      </c>
      <c r="M132" s="310">
        <v>18618</v>
      </c>
      <c r="N132" s="311">
        <v>21</v>
      </c>
      <c r="O132" s="312">
        <f>M132/$M$143</f>
        <v>0.25682479687693982</v>
      </c>
      <c r="P132" s="313">
        <f t="shared" ref="P132:P141" si="43">M132/$H$129</f>
        <v>1329.8571428571429</v>
      </c>
      <c r="Q132" s="314">
        <f t="shared" ref="Q132:Q141" si="44">P132*$H$128</f>
        <v>1329.8571428571429</v>
      </c>
      <c r="R132" s="240">
        <f>Q132+M132</f>
        <v>19947.857142857141</v>
      </c>
      <c r="T132" s="8" t="s">
        <v>210</v>
      </c>
      <c r="U132" s="309" t="s">
        <v>31</v>
      </c>
      <c r="V132" s="310">
        <v>12266</v>
      </c>
      <c r="W132" s="311">
        <v>11</v>
      </c>
      <c r="X132" s="312">
        <f>V132/$V$143</f>
        <v>0.30678805462458109</v>
      </c>
      <c r="Y132" s="313">
        <f t="shared" ref="Y132:Y141" si="45">V132/$H$129</f>
        <v>876.14285714285711</v>
      </c>
      <c r="Z132" s="313"/>
      <c r="AA132" s="313"/>
      <c r="AB132" s="314">
        <f t="shared" ref="AB132:AB141" si="46">Y132*$H$128</f>
        <v>876.14285714285711</v>
      </c>
      <c r="AC132" s="240">
        <f t="shared" ref="AC132:AC141" si="47">AB132+V132</f>
        <v>13142.142857142857</v>
      </c>
    </row>
    <row r="133" spans="1:29" outlineLevel="1" x14ac:dyDescent="0.25">
      <c r="A133" s="8" t="s">
        <v>35</v>
      </c>
      <c r="B133" s="8" t="s">
        <v>210</v>
      </c>
      <c r="C133" s="315" t="s">
        <v>36</v>
      </c>
      <c r="D133" s="316"/>
      <c r="E133" s="311">
        <v>2</v>
      </c>
      <c r="F133" s="312">
        <f t="shared" ref="F133:F141" si="48">D133/$D$143</f>
        <v>0</v>
      </c>
      <c r="G133" s="313">
        <f t="shared" si="41"/>
        <v>0</v>
      </c>
      <c r="H133" s="314">
        <f t="shared" si="42"/>
        <v>0</v>
      </c>
      <c r="I133" s="240">
        <f t="shared" ref="I133:I141" si="49">H133+D133</f>
        <v>0</v>
      </c>
      <c r="K133" s="8" t="s">
        <v>210</v>
      </c>
      <c r="L133" s="315" t="s">
        <v>36</v>
      </c>
      <c r="M133" s="316"/>
      <c r="N133" s="311">
        <v>3</v>
      </c>
      <c r="O133" s="312">
        <f t="shared" ref="O133:O141" si="50">M133/$M$143</f>
        <v>0</v>
      </c>
      <c r="P133" s="313">
        <f t="shared" si="43"/>
        <v>0</v>
      </c>
      <c r="Q133" s="314">
        <f t="shared" si="44"/>
        <v>0</v>
      </c>
      <c r="R133" s="240">
        <f t="shared" ref="R133:R141" si="51">Q133+M133</f>
        <v>0</v>
      </c>
      <c r="U133" s="8"/>
      <c r="V133" s="12"/>
      <c r="W133" s="292"/>
      <c r="X133" s="312">
        <f t="shared" ref="X133:X141" si="52">V133/$V$143</f>
        <v>0</v>
      </c>
      <c r="Y133" s="313">
        <f t="shared" si="45"/>
        <v>0</v>
      </c>
      <c r="Z133" s="313"/>
      <c r="AA133" s="313"/>
      <c r="AB133" s="314">
        <f t="shared" si="46"/>
        <v>0</v>
      </c>
      <c r="AC133" s="240">
        <f t="shared" si="47"/>
        <v>0</v>
      </c>
    </row>
    <row r="134" spans="1:29" outlineLevel="1" x14ac:dyDescent="0.25">
      <c r="A134" s="8" t="s">
        <v>37</v>
      </c>
      <c r="B134" s="8" t="s">
        <v>210</v>
      </c>
      <c r="C134" s="309" t="s">
        <v>38</v>
      </c>
      <c r="D134" s="310">
        <v>4022</v>
      </c>
      <c r="E134" s="311"/>
      <c r="F134" s="312">
        <f t="shared" si="48"/>
        <v>3.0070128743813269E-2</v>
      </c>
      <c r="G134" s="313">
        <f t="shared" si="41"/>
        <v>287.28571428571428</v>
      </c>
      <c r="H134" s="314">
        <f t="shared" si="42"/>
        <v>287.28571428571428</v>
      </c>
      <c r="I134" s="240">
        <f t="shared" si="49"/>
        <v>4309.2857142857147</v>
      </c>
      <c r="L134" s="309"/>
      <c r="M134" s="310"/>
      <c r="N134" s="311"/>
      <c r="O134" s="312">
        <f t="shared" si="50"/>
        <v>0</v>
      </c>
      <c r="P134" s="313">
        <f t="shared" si="43"/>
        <v>0</v>
      </c>
      <c r="Q134" s="314">
        <f t="shared" si="44"/>
        <v>0</v>
      </c>
      <c r="R134" s="240">
        <f t="shared" si="51"/>
        <v>0</v>
      </c>
      <c r="U134" s="8" t="s">
        <v>38</v>
      </c>
      <c r="V134" s="12">
        <v>640</v>
      </c>
      <c r="W134" s="292"/>
      <c r="X134" s="312">
        <f t="shared" si="52"/>
        <v>1.6007203241458656E-2</v>
      </c>
      <c r="Y134" s="313">
        <f t="shared" si="45"/>
        <v>45.714285714285715</v>
      </c>
      <c r="Z134" s="313"/>
      <c r="AA134" s="313"/>
      <c r="AB134" s="314">
        <f t="shared" si="46"/>
        <v>45.714285714285715</v>
      </c>
      <c r="AC134" s="240">
        <f t="shared" si="47"/>
        <v>685.71428571428567</v>
      </c>
    </row>
    <row r="135" spans="1:29" outlineLevel="1" x14ac:dyDescent="0.25">
      <c r="A135" s="8" t="s">
        <v>39</v>
      </c>
      <c r="B135" s="8" t="s">
        <v>210</v>
      </c>
      <c r="C135" s="315" t="s">
        <v>40</v>
      </c>
      <c r="D135" s="316">
        <v>69500</v>
      </c>
      <c r="E135" s="311">
        <v>112</v>
      </c>
      <c r="F135" s="312">
        <f t="shared" si="48"/>
        <v>0.51961062846718598</v>
      </c>
      <c r="G135" s="313">
        <f t="shared" si="41"/>
        <v>4964.2857142857147</v>
      </c>
      <c r="H135" s="314">
        <f t="shared" si="42"/>
        <v>4964.2857142857147</v>
      </c>
      <c r="I135" s="240">
        <f t="shared" si="49"/>
        <v>74464.28571428571</v>
      </c>
      <c r="K135" s="8" t="s">
        <v>210</v>
      </c>
      <c r="L135" s="315" t="s">
        <v>40</v>
      </c>
      <c r="M135" s="316">
        <v>34759</v>
      </c>
      <c r="N135" s="311">
        <v>77</v>
      </c>
      <c r="O135" s="312">
        <f t="shared" si="50"/>
        <v>0.4794807774543749</v>
      </c>
      <c r="P135" s="313">
        <f t="shared" si="43"/>
        <v>2482.7857142857142</v>
      </c>
      <c r="Q135" s="314">
        <f t="shared" si="44"/>
        <v>2482.7857142857142</v>
      </c>
      <c r="R135" s="240">
        <f t="shared" si="51"/>
        <v>37241.785714285717</v>
      </c>
      <c r="T135" s="8" t="s">
        <v>210</v>
      </c>
      <c r="U135" s="315" t="s">
        <v>40</v>
      </c>
      <c r="V135" s="316">
        <v>18143</v>
      </c>
      <c r="W135" s="311">
        <v>36</v>
      </c>
      <c r="X135" s="312">
        <f t="shared" si="52"/>
        <v>0.45377920064028815</v>
      </c>
      <c r="Y135" s="313">
        <f t="shared" si="45"/>
        <v>1295.9285714285713</v>
      </c>
      <c r="Z135" s="313"/>
      <c r="AA135" s="313"/>
      <c r="AB135" s="314">
        <f t="shared" si="46"/>
        <v>1295.9285714285713</v>
      </c>
      <c r="AC135" s="240">
        <f t="shared" si="47"/>
        <v>19438.928571428572</v>
      </c>
    </row>
    <row r="136" spans="1:29" outlineLevel="1" x14ac:dyDescent="0.25">
      <c r="A136" s="8" t="s">
        <v>41</v>
      </c>
      <c r="D136" s="12"/>
      <c r="E136" s="292"/>
      <c r="F136" s="312">
        <f t="shared" si="48"/>
        <v>0</v>
      </c>
      <c r="G136" s="313">
        <f t="shared" si="41"/>
        <v>0</v>
      </c>
      <c r="H136" s="314">
        <f t="shared" si="42"/>
        <v>0</v>
      </c>
      <c r="I136" s="240">
        <f t="shared" si="49"/>
        <v>0</v>
      </c>
      <c r="M136" s="12"/>
      <c r="N136" s="292"/>
      <c r="O136" s="312">
        <f t="shared" si="50"/>
        <v>0</v>
      </c>
      <c r="P136" s="313">
        <f t="shared" si="43"/>
        <v>0</v>
      </c>
      <c r="Q136" s="314">
        <f t="shared" si="44"/>
        <v>0</v>
      </c>
      <c r="R136" s="240">
        <f t="shared" si="51"/>
        <v>0</v>
      </c>
      <c r="U136" s="8"/>
      <c r="V136" s="12"/>
      <c r="W136" s="292"/>
      <c r="X136" s="312">
        <f t="shared" si="52"/>
        <v>0</v>
      </c>
      <c r="Y136" s="313">
        <f t="shared" si="45"/>
        <v>0</v>
      </c>
      <c r="Z136" s="313"/>
      <c r="AA136" s="313"/>
      <c r="AB136" s="314">
        <f t="shared" si="46"/>
        <v>0</v>
      </c>
      <c r="AC136" s="240">
        <f t="shared" si="47"/>
        <v>0</v>
      </c>
    </row>
    <row r="137" spans="1:29" outlineLevel="1" x14ac:dyDescent="0.25">
      <c r="A137" s="8" t="s">
        <v>43</v>
      </c>
      <c r="B137" s="8" t="s">
        <v>212</v>
      </c>
      <c r="C137" s="8" t="s">
        <v>44</v>
      </c>
      <c r="D137" s="290">
        <v>25701</v>
      </c>
      <c r="E137" s="291">
        <v>17</v>
      </c>
      <c r="F137" s="312">
        <f t="shared" si="48"/>
        <v>0.19215126276597336</v>
      </c>
      <c r="G137" s="313">
        <f t="shared" si="41"/>
        <v>1835.7857142857142</v>
      </c>
      <c r="H137" s="314">
        <f t="shared" si="42"/>
        <v>1835.7857142857142</v>
      </c>
      <c r="I137" s="240">
        <f t="shared" si="49"/>
        <v>27536.785714285714</v>
      </c>
      <c r="K137" s="8" t="s">
        <v>212</v>
      </c>
      <c r="L137" s="8" t="s">
        <v>44</v>
      </c>
      <c r="M137" s="290">
        <v>16251</v>
      </c>
      <c r="N137" s="291">
        <v>24</v>
      </c>
      <c r="O137" s="312">
        <f t="shared" si="50"/>
        <v>0.22417336846316196</v>
      </c>
      <c r="P137" s="313">
        <f t="shared" si="43"/>
        <v>1160.7857142857142</v>
      </c>
      <c r="Q137" s="314">
        <f t="shared" si="44"/>
        <v>1160.7857142857142</v>
      </c>
      <c r="R137" s="240">
        <f t="shared" si="51"/>
        <v>17411.785714285714</v>
      </c>
      <c r="T137" s="8" t="s">
        <v>212</v>
      </c>
      <c r="U137" s="8" t="s">
        <v>44</v>
      </c>
      <c r="V137" s="290">
        <v>8029</v>
      </c>
      <c r="W137" s="291">
        <v>17</v>
      </c>
      <c r="X137" s="312">
        <f t="shared" si="52"/>
        <v>0.20081536691511179</v>
      </c>
      <c r="Y137" s="313">
        <f t="shared" si="45"/>
        <v>573.5</v>
      </c>
      <c r="Z137" s="313"/>
      <c r="AA137" s="313"/>
      <c r="AB137" s="314">
        <f t="shared" si="46"/>
        <v>573.5</v>
      </c>
      <c r="AC137" s="240">
        <f t="shared" si="47"/>
        <v>8602.5</v>
      </c>
    </row>
    <row r="138" spans="1:29" outlineLevel="1" x14ac:dyDescent="0.25">
      <c r="A138" s="8" t="s">
        <v>45</v>
      </c>
      <c r="B138" s="8" t="s">
        <v>212</v>
      </c>
      <c r="C138" s="8" t="s">
        <v>46</v>
      </c>
      <c r="D138" s="290">
        <v>2870</v>
      </c>
      <c r="E138" s="291">
        <v>9</v>
      </c>
      <c r="F138" s="312">
        <f t="shared" si="48"/>
        <v>2.1457302211522648E-2</v>
      </c>
      <c r="G138" s="313">
        <f t="shared" si="41"/>
        <v>205</v>
      </c>
      <c r="H138" s="314">
        <f t="shared" si="42"/>
        <v>205</v>
      </c>
      <c r="I138" s="240">
        <f t="shared" si="49"/>
        <v>3075</v>
      </c>
      <c r="K138" s="8" t="s">
        <v>212</v>
      </c>
      <c r="L138" s="8" t="s">
        <v>46</v>
      </c>
      <c r="M138" s="290">
        <v>845</v>
      </c>
      <c r="N138" s="291">
        <v>3</v>
      </c>
      <c r="O138" s="312">
        <f t="shared" si="50"/>
        <v>1.1656297849447533E-2</v>
      </c>
      <c r="P138" s="313">
        <f t="shared" si="43"/>
        <v>60.357142857142854</v>
      </c>
      <c r="Q138" s="314">
        <f t="shared" si="44"/>
        <v>60.357142857142854</v>
      </c>
      <c r="R138" s="240">
        <f t="shared" si="51"/>
        <v>905.35714285714289</v>
      </c>
      <c r="T138" s="8" t="s">
        <v>212</v>
      </c>
      <c r="U138" s="8" t="s">
        <v>46</v>
      </c>
      <c r="V138" s="290">
        <v>612</v>
      </c>
      <c r="W138" s="291"/>
      <c r="X138" s="312">
        <f t="shared" si="52"/>
        <v>1.530688809964484E-2</v>
      </c>
      <c r="Y138" s="313">
        <f t="shared" si="45"/>
        <v>43.714285714285715</v>
      </c>
      <c r="Z138" s="313"/>
      <c r="AA138" s="313"/>
      <c r="AB138" s="314">
        <f t="shared" si="46"/>
        <v>43.714285714285715</v>
      </c>
      <c r="AC138" s="240">
        <f t="shared" si="47"/>
        <v>655.71428571428567</v>
      </c>
    </row>
    <row r="139" spans="1:29" outlineLevel="1" x14ac:dyDescent="0.25">
      <c r="A139" s="8" t="s">
        <v>47</v>
      </c>
      <c r="B139" s="8" t="s">
        <v>212</v>
      </c>
      <c r="C139" s="8" t="s">
        <v>48</v>
      </c>
      <c r="D139" s="290">
        <v>2660</v>
      </c>
      <c r="E139" s="291">
        <v>6</v>
      </c>
      <c r="F139" s="312">
        <f t="shared" si="48"/>
        <v>1.98872557082405E-2</v>
      </c>
      <c r="G139" s="313">
        <f t="shared" si="41"/>
        <v>190</v>
      </c>
      <c r="H139" s="314">
        <f t="shared" si="42"/>
        <v>190</v>
      </c>
      <c r="I139" s="240">
        <f t="shared" si="49"/>
        <v>2850</v>
      </c>
      <c r="K139" s="8" t="s">
        <v>212</v>
      </c>
      <c r="L139" s="8" t="s">
        <v>48</v>
      </c>
      <c r="M139" s="290">
        <v>1426</v>
      </c>
      <c r="N139" s="291">
        <v>12</v>
      </c>
      <c r="O139" s="312">
        <f t="shared" si="50"/>
        <v>1.9670864773150512E-2</v>
      </c>
      <c r="P139" s="313">
        <f t="shared" si="43"/>
        <v>101.85714285714286</v>
      </c>
      <c r="Q139" s="314">
        <f t="shared" si="44"/>
        <v>101.85714285714286</v>
      </c>
      <c r="R139" s="240">
        <f t="shared" si="51"/>
        <v>1527.8571428571429</v>
      </c>
      <c r="T139" s="8" t="s">
        <v>212</v>
      </c>
      <c r="U139" s="8" t="s">
        <v>48</v>
      </c>
      <c r="V139" s="290">
        <v>292</v>
      </c>
      <c r="W139" s="291"/>
      <c r="X139" s="312">
        <f t="shared" si="52"/>
        <v>7.3032864789155123E-3</v>
      </c>
      <c r="Y139" s="313">
        <f t="shared" si="45"/>
        <v>20.857142857142858</v>
      </c>
      <c r="Z139" s="313"/>
      <c r="AA139" s="313"/>
      <c r="AB139" s="314">
        <f t="shared" si="46"/>
        <v>20.857142857142858</v>
      </c>
      <c r="AC139" s="240">
        <f t="shared" si="47"/>
        <v>312.85714285714283</v>
      </c>
    </row>
    <row r="140" spans="1:29" outlineLevel="1" x14ac:dyDescent="0.25">
      <c r="A140" s="8" t="s">
        <v>49</v>
      </c>
      <c r="B140" s="8" t="s">
        <v>213</v>
      </c>
      <c r="C140" s="8" t="s">
        <v>50</v>
      </c>
      <c r="D140" s="317">
        <v>1590</v>
      </c>
      <c r="E140" s="292">
        <v>2</v>
      </c>
      <c r="F140" s="312">
        <f t="shared" si="48"/>
        <v>1.1887494953421954E-2</v>
      </c>
      <c r="G140" s="313">
        <f t="shared" si="41"/>
        <v>113.57142857142857</v>
      </c>
      <c r="H140" s="314">
        <f t="shared" si="42"/>
        <v>113.57142857142857</v>
      </c>
      <c r="I140" s="240">
        <f t="shared" si="49"/>
        <v>1703.5714285714287</v>
      </c>
      <c r="L140" s="8" t="s">
        <v>50</v>
      </c>
      <c r="M140" s="12">
        <v>594</v>
      </c>
      <c r="N140" s="292">
        <v>-1</v>
      </c>
      <c r="O140" s="312">
        <f t="shared" si="50"/>
        <v>8.1938945829252482E-3</v>
      </c>
      <c r="P140" s="313">
        <f t="shared" si="43"/>
        <v>42.428571428571431</v>
      </c>
      <c r="Q140" s="314">
        <f t="shared" si="44"/>
        <v>42.428571428571431</v>
      </c>
      <c r="R140" s="240">
        <f t="shared" si="51"/>
        <v>636.42857142857144</v>
      </c>
      <c r="U140" s="8"/>
      <c r="V140" s="12"/>
      <c r="W140" s="292"/>
      <c r="X140" s="312">
        <f t="shared" si="52"/>
        <v>0</v>
      </c>
      <c r="Y140" s="313">
        <f t="shared" si="45"/>
        <v>0</v>
      </c>
      <c r="Z140" s="313"/>
      <c r="AA140" s="313"/>
      <c r="AB140" s="314">
        <f t="shared" si="46"/>
        <v>0</v>
      </c>
      <c r="AC140" s="240">
        <f t="shared" si="47"/>
        <v>0</v>
      </c>
    </row>
    <row r="141" spans="1:29" outlineLevel="1" x14ac:dyDescent="0.25">
      <c r="A141" s="8" t="s">
        <v>51</v>
      </c>
      <c r="B141" s="8" t="s">
        <v>213</v>
      </c>
      <c r="C141" s="8" t="s">
        <v>52</v>
      </c>
      <c r="D141" s="290"/>
      <c r="E141" s="291">
        <v>2</v>
      </c>
      <c r="F141" s="312">
        <f t="shared" si="48"/>
        <v>0</v>
      </c>
      <c r="G141" s="313">
        <f t="shared" si="41"/>
        <v>0</v>
      </c>
      <c r="H141" s="314">
        <f t="shared" si="42"/>
        <v>0</v>
      </c>
      <c r="I141" s="240">
        <f t="shared" si="49"/>
        <v>0</v>
      </c>
      <c r="K141" s="8" t="s">
        <v>213</v>
      </c>
      <c r="L141" s="8" t="s">
        <v>52</v>
      </c>
      <c r="M141" s="290"/>
      <c r="N141" s="291">
        <v>1</v>
      </c>
      <c r="O141" s="312">
        <f t="shared" si="50"/>
        <v>0</v>
      </c>
      <c r="P141" s="313">
        <f t="shared" si="43"/>
        <v>0</v>
      </c>
      <c r="Q141" s="314">
        <f t="shared" si="44"/>
        <v>0</v>
      </c>
      <c r="R141" s="240">
        <f t="shared" si="51"/>
        <v>0</v>
      </c>
      <c r="T141" s="8" t="s">
        <v>213</v>
      </c>
      <c r="U141" s="315" t="s">
        <v>52</v>
      </c>
      <c r="V141" s="316"/>
      <c r="W141" s="311"/>
      <c r="X141" s="312">
        <f t="shared" si="52"/>
        <v>0</v>
      </c>
      <c r="Y141" s="313">
        <f t="shared" si="45"/>
        <v>0</v>
      </c>
      <c r="Z141" s="313"/>
      <c r="AA141" s="313"/>
      <c r="AB141" s="314">
        <f t="shared" si="46"/>
        <v>0</v>
      </c>
      <c r="AC141" s="240">
        <f t="shared" si="47"/>
        <v>0</v>
      </c>
    </row>
    <row r="142" spans="1:29" outlineLevel="1" x14ac:dyDescent="0.25">
      <c r="A142" s="8" t="s">
        <v>53</v>
      </c>
      <c r="D142" s="12"/>
      <c r="E142" s="292"/>
      <c r="H142" s="318"/>
      <c r="M142" s="12"/>
      <c r="N142" s="292"/>
      <c r="Q142" s="318"/>
      <c r="U142" s="8"/>
      <c r="V142" s="12"/>
      <c r="W142" s="319"/>
      <c r="Y142" s="132"/>
      <c r="Z142" s="132"/>
      <c r="AA142" s="132"/>
      <c r="AB142" s="318"/>
    </row>
    <row r="143" spans="1:29" x14ac:dyDescent="0.25">
      <c r="B143" s="293" t="s">
        <v>55</v>
      </c>
      <c r="C143" s="294"/>
      <c r="D143" s="295">
        <f>SUM(D132:D142)</f>
        <v>133754</v>
      </c>
      <c r="E143" s="296">
        <f>SUM(E132:E142)</f>
        <v>170</v>
      </c>
      <c r="G143" s="320">
        <f>SUM(G132:G142)</f>
        <v>9553.8571428571431</v>
      </c>
      <c r="H143" s="321">
        <f>SUM(H132:H142)</f>
        <v>9553.8571428571431</v>
      </c>
      <c r="I143" s="320">
        <f>SUM(I132:I142)</f>
        <v>143307.85714285713</v>
      </c>
      <c r="K143" s="293" t="s">
        <v>55</v>
      </c>
      <c r="L143" s="294"/>
      <c r="M143" s="295">
        <f>SUM(M132:M142)</f>
        <v>72493</v>
      </c>
      <c r="N143" s="296">
        <f>SUM(N132:N142)</f>
        <v>140</v>
      </c>
      <c r="P143" s="320">
        <f>SUM(P132:P142)</f>
        <v>5178.0714285714284</v>
      </c>
      <c r="Q143" s="322">
        <f>SUM(Q132:Q142)</f>
        <v>5178.0714285714284</v>
      </c>
      <c r="R143" s="320">
        <f>SUM(R132:R142)</f>
        <v>77671.07142857142</v>
      </c>
      <c r="T143" s="293" t="s">
        <v>55</v>
      </c>
      <c r="U143" s="294"/>
      <c r="V143" s="295">
        <f>SUM(V132:V142)</f>
        <v>39982</v>
      </c>
      <c r="W143" s="296">
        <f>SUM(W132:W142)</f>
        <v>64</v>
      </c>
      <c r="Y143" s="320">
        <f>SUM(Y132:Y142)</f>
        <v>2855.8571428571427</v>
      </c>
      <c r="Z143" s="320"/>
      <c r="AA143" s="320"/>
      <c r="AB143" s="321">
        <f>SUM(AB132:AB142)</f>
        <v>2855.8571428571427</v>
      </c>
      <c r="AC143" s="320">
        <f>SUM(AC132:AC142)</f>
        <v>42837.857142857145</v>
      </c>
    </row>
    <row r="144" spans="1:29" x14ac:dyDescent="0.25">
      <c r="B144" s="8" t="s">
        <v>261</v>
      </c>
      <c r="D144" s="297">
        <f>D143*$H$107</f>
        <v>14579.186</v>
      </c>
      <c r="E144" s="297"/>
      <c r="G144" s="320"/>
      <c r="H144" s="320"/>
      <c r="I144" s="320"/>
      <c r="K144" s="8" t="s">
        <v>261</v>
      </c>
      <c r="M144" s="297">
        <f>M143*$H$108</f>
        <v>5545.7145</v>
      </c>
      <c r="N144" s="291"/>
      <c r="P144" s="320"/>
      <c r="Q144" s="320"/>
      <c r="R144" s="320"/>
      <c r="T144" s="8" t="s">
        <v>261</v>
      </c>
      <c r="U144" s="8"/>
      <c r="V144" s="297">
        <f>V143*$H$109</f>
        <v>4358.0379999999996</v>
      </c>
      <c r="W144" s="297"/>
      <c r="Y144" s="320"/>
      <c r="Z144" s="320"/>
      <c r="AA144" s="320"/>
      <c r="AB144" s="320"/>
      <c r="AC144" s="320"/>
    </row>
    <row r="145" spans="2:29" ht="12" thickBot="1" x14ac:dyDescent="0.3">
      <c r="B145" s="8" t="s">
        <v>262</v>
      </c>
      <c r="D145" s="298">
        <f>D144/D143</f>
        <v>0.109</v>
      </c>
      <c r="E145" s="297"/>
      <c r="G145" s="320"/>
      <c r="H145" s="320"/>
      <c r="I145" s="320"/>
      <c r="K145" s="8" t="s">
        <v>262</v>
      </c>
      <c r="M145" s="299">
        <f>M144/M143</f>
        <v>7.6499999999999999E-2</v>
      </c>
      <c r="N145" s="297"/>
      <c r="P145" s="320"/>
      <c r="Q145" s="320"/>
      <c r="R145" s="320"/>
      <c r="T145" s="8" t="s">
        <v>262</v>
      </c>
      <c r="U145" s="8"/>
      <c r="V145" s="298">
        <f>V144/V143</f>
        <v>0.10899999999999999</v>
      </c>
      <c r="W145" s="297"/>
      <c r="Y145" s="320"/>
      <c r="Z145" s="320"/>
      <c r="AA145" s="320"/>
      <c r="AB145" s="320"/>
      <c r="AC145" s="320"/>
    </row>
    <row r="146" spans="2:29" ht="15" thickBot="1" x14ac:dyDescent="0.4">
      <c r="B146" s="300" t="s">
        <v>263</v>
      </c>
      <c r="C146" s="301"/>
      <c r="D146" s="323">
        <f>D144*$H$127</f>
        <v>13398271.934</v>
      </c>
      <c r="E146" s="303"/>
      <c r="G146" s="320"/>
      <c r="H146" s="320"/>
      <c r="I146" s="320"/>
      <c r="K146" s="300" t="s">
        <v>263</v>
      </c>
      <c r="L146" s="301"/>
      <c r="M146" s="323">
        <f>M144*$H$127</f>
        <v>5096511.6255000001</v>
      </c>
      <c r="N146" s="303"/>
      <c r="P146" s="320"/>
      <c r="Q146"/>
      <c r="R146" s="285"/>
      <c r="T146" s="300" t="s">
        <v>263</v>
      </c>
      <c r="U146" s="301"/>
      <c r="V146" s="323">
        <f>V144*$H$127</f>
        <v>4005036.9219999998</v>
      </c>
      <c r="W146" s="303"/>
      <c r="Y146" s="320"/>
      <c r="Z146" s="320"/>
      <c r="AA146" s="320"/>
      <c r="AB146" s="320"/>
      <c r="AC146" s="320"/>
    </row>
    <row r="147" spans="2:29" ht="14.5" x14ac:dyDescent="0.35">
      <c r="B147" s="8" t="s">
        <v>269</v>
      </c>
      <c r="C147" s="38"/>
      <c r="D147" s="297">
        <f>H143*D145</f>
        <v>1041.3704285714286</v>
      </c>
      <c r="E147" s="320"/>
      <c r="G147" s="320"/>
      <c r="H147" s="320"/>
      <c r="I147" s="320"/>
      <c r="K147" s="8" t="s">
        <v>269</v>
      </c>
      <c r="L147" s="38"/>
      <c r="M147" s="297">
        <f>Q143*M145</f>
        <v>396.12246428571427</v>
      </c>
      <c r="N147" s="320"/>
      <c r="P147" s="320"/>
      <c r="Q147"/>
      <c r="R147" s="285"/>
      <c r="T147" s="8" t="s">
        <v>269</v>
      </c>
      <c r="U147" s="38"/>
      <c r="V147" s="297">
        <f>AB143*V145</f>
        <v>311.28842857142848</v>
      </c>
      <c r="W147" s="320"/>
      <c r="Y147"/>
      <c r="Z147"/>
      <c r="AA147"/>
      <c r="AB147" s="285"/>
      <c r="AC147" s="320"/>
    </row>
    <row r="148" spans="2:29" ht="14.5" x14ac:dyDescent="0.35">
      <c r="B148" s="8" t="s">
        <v>270</v>
      </c>
      <c r="D148" s="297">
        <f>D147*$H$127</f>
        <v>957019.42385714292</v>
      </c>
      <c r="E148" s="297"/>
      <c r="G148"/>
      <c r="H148" s="285"/>
      <c r="I148" s="297"/>
      <c r="K148" s="8" t="s">
        <v>270</v>
      </c>
      <c r="M148" s="297">
        <f>M147*$H$127</f>
        <v>364036.5446785714</v>
      </c>
      <c r="N148" s="297"/>
      <c r="P148" s="297"/>
      <c r="Q148"/>
      <c r="R148" s="285"/>
      <c r="T148" s="8" t="s">
        <v>270</v>
      </c>
      <c r="U148" s="8"/>
      <c r="V148" s="297">
        <f>V147*$H$127</f>
        <v>286074.06585714279</v>
      </c>
      <c r="W148" s="297"/>
      <c r="Y148"/>
      <c r="Z148"/>
      <c r="AA148"/>
      <c r="AB148" s="285"/>
      <c r="AC148" s="297"/>
    </row>
    <row r="149" spans="2:29" s="38" customFormat="1" ht="15" thickBot="1" x14ac:dyDescent="0.4">
      <c r="B149" s="38" t="s">
        <v>271</v>
      </c>
      <c r="D149" s="320">
        <f>D147+D144</f>
        <v>15620.556428571428</v>
      </c>
      <c r="E149" s="320"/>
      <c r="G149"/>
      <c r="H149" s="285"/>
      <c r="I149" s="320"/>
      <c r="K149" s="38" t="s">
        <v>271</v>
      </c>
      <c r="M149" s="320">
        <f>M147+M144</f>
        <v>5941.8369642857142</v>
      </c>
      <c r="N149" s="320"/>
      <c r="P149" s="320"/>
      <c r="Q149"/>
      <c r="R149" s="285"/>
      <c r="T149" s="38" t="s">
        <v>271</v>
      </c>
      <c r="V149" s="320">
        <f>V147+V144</f>
        <v>4669.3264285714276</v>
      </c>
      <c r="W149" s="320"/>
      <c r="Y149"/>
      <c r="Z149"/>
      <c r="AA149"/>
      <c r="AB149" s="285"/>
      <c r="AC149" s="320"/>
    </row>
    <row r="150" spans="2:29" ht="15" thickBot="1" x14ac:dyDescent="0.4">
      <c r="B150" s="300" t="s">
        <v>272</v>
      </c>
      <c r="C150" s="301"/>
      <c r="D150" s="302">
        <f>D148+D146</f>
        <v>14355291.357857144</v>
      </c>
      <c r="E150" s="303"/>
      <c r="G150"/>
      <c r="H150" s="285"/>
      <c r="I150" s="320"/>
      <c r="K150" s="300" t="s">
        <v>272</v>
      </c>
      <c r="L150" s="301"/>
      <c r="M150" s="302">
        <f>M148+M146</f>
        <v>5460548.1701785717</v>
      </c>
      <c r="N150" s="303"/>
      <c r="P150" s="320"/>
      <c r="Q150"/>
      <c r="R150" s="285"/>
      <c r="T150" s="300" t="s">
        <v>272</v>
      </c>
      <c r="U150" s="301"/>
      <c r="V150" s="302">
        <f>V148+V146</f>
        <v>4291110.9878571425</v>
      </c>
      <c r="W150" s="303"/>
      <c r="Y150"/>
      <c r="Z150"/>
      <c r="AA150"/>
      <c r="AB150" s="285"/>
      <c r="AC150" s="320"/>
    </row>
    <row r="151" spans="2:29" ht="14.5" x14ac:dyDescent="0.35">
      <c r="G151"/>
      <c r="H151" s="285"/>
      <c r="Q151"/>
      <c r="R151" s="285"/>
      <c r="Y151"/>
      <c r="Z151"/>
      <c r="AA151"/>
      <c r="AB151" s="285"/>
    </row>
    <row r="152" spans="2:29" ht="14.5" x14ac:dyDescent="0.35">
      <c r="G152"/>
      <c r="H152" s="285"/>
      <c r="Q152"/>
      <c r="R152" s="285"/>
      <c r="Y152"/>
      <c r="Z152"/>
      <c r="AA152"/>
      <c r="AB152" s="285"/>
    </row>
    <row r="153" spans="2:29" ht="14.5" x14ac:dyDescent="0.35">
      <c r="G153"/>
      <c r="H153" s="285"/>
      <c r="Q153"/>
      <c r="R153" s="285"/>
    </row>
    <row r="154" spans="2:29" ht="14.5" x14ac:dyDescent="0.35">
      <c r="G154"/>
      <c r="H154" s="285"/>
    </row>
    <row r="155" spans="2:29" ht="14.5" x14ac:dyDescent="0.35">
      <c r="G155"/>
      <c r="H155" s="285"/>
    </row>
  </sheetData>
  <mergeCells count="7">
    <mergeCell ref="B79:C79"/>
    <mergeCell ref="B5:C5"/>
    <mergeCell ref="B11:C11"/>
    <mergeCell ref="B19:C19"/>
    <mergeCell ref="B34:C34"/>
    <mergeCell ref="B49:C49"/>
    <mergeCell ref="B64:C64"/>
  </mergeCells>
  <pageMargins left="0.7" right="0.7" top="0.75" bottom="0.75" header="0.3" footer="0.3"/>
  <headerFooter>
    <oddHeader>&amp;C&amp;"Aptos"&amp;12&amp;K000000 LGE Internal Use Only&amp;1#_x000D_</oddHeader>
  </headerFooter>
  <customProperties>
    <customPr name="_pios_id" r:id="rId1"/>
  </customProperties>
  <drawing r:id="rId2"/>
  <tableParts count="6">
    <tablePart r:id="rId3"/>
    <tablePart r:id="rId4"/>
    <tablePart r:id="rId5"/>
    <tablePart r:id="rId6"/>
    <tablePart r:id="rId7"/>
    <tablePart r:id="rId8"/>
  </tableParts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Pivot Master1</vt:lpstr>
      <vt:lpstr>Master 1_BU</vt:lpstr>
      <vt:lpstr>Master 1_BU v2</vt:lpstr>
      <vt:lpstr>Sheet1</vt:lpstr>
      <vt:lpstr>Master 2_STEPS</vt:lpstr>
      <vt:lpstr>Sep Sales Portion</vt:lpstr>
      <vt:lpstr>Map</vt:lpstr>
      <vt:lpstr>Round</vt:lpstr>
      <vt:lpstr>FX</vt:lpstr>
      <vt:lpstr>Aug Sales Portion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Hanbyoul Park/LGECL Demand Generation Part</dc:creator>
  <cp:lastModifiedBy>Hanbyoul Park/LGECL Demand Generation Part</cp:lastModifiedBy>
  <dcterms:created xsi:type="dcterms:W3CDTF">2026-08-25T15:30:05Z</dcterms:created>
  <dcterms:modified xsi:type="dcterms:W3CDTF">2026-09-15T15:16:06Z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